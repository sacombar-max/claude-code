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ercados" sheetId="2" state="visible" r:id="rId4"/>
    <sheet name="Gamma_Catalogo" sheetId="3" state="visible" r:id="rId5"/>
    <sheet name="Brasil" sheetId="4" state="visible" r:id="rId6"/>
    <sheet name="Suiza_DE_CN_ID" sheetId="5" state="visible" r:id="rId7"/>
    <sheet name="Consolidado" sheetId="6" state="visible" r:id="rId8"/>
  </sheets>
  <definedNames>
    <definedName function="false" hidden="true" localSheetId="5" name="_xlnm._FilterDatabase" vbProcedure="false">Consolidado!$A$1:$O$1101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<sst xmlns="http://schemas.openxmlformats.org/spreadsheetml/2006/main" count="5956" uniqueCount="1516">
  <si>
    <t xml:space="preserve">Consolidador de Facturación Mensual — Brasil / China / Alemania / Indonesia</t>
  </si>
  <si>
    <t xml:space="preserve">Cómo usar este archivo cada fin de mes:</t>
  </si>
  <si>
    <t xml:space="preserve">1. Pestaña 'Brasil': borra la fila de ejemplo (fondo amarillo) y pega debajo los datos del mes tal como llegan de Brasil,</t>
  </si>
  <si>
    <t xml:space="preserve">   respetando las columnas: Proforma, Tscode, Cliente, Qty, Ipcode, Description, Sales force, Price USD.</t>
  </si>
  <si>
    <t xml:space="preserve">2. Pestaña 'Suiza_DE_CN_ID': borra la fila de ejemplo y pega los datos del archivo que envía Suiza (agrupa Alemania,</t>
  </si>
  <si>
    <t xml:space="preserve">   China e Indonesia), respetando las columnas: cliente, pf, Ip Code, Description, Brand Line, Quantity, Net Price,</t>
  </si>
  <si>
    <t xml:space="preserve">   Amount, Goods Origin. La columna 'Tscode (automático)' NO se pega: se autocompleta sola buscando el nombre de</t>
  </si>
  <si>
    <t xml:space="preserve">   'cliente' en la columna Alias de la pestaña 'Mercados'. Si un cliente nuevo no aparece, agrégalo ahí (ver punto 6).</t>
  </si>
  <si>
    <t xml:space="preserve">3. La pestaña 'Consolidado' se arma sola con fórmulas. NO está protegida a propósito, para poder armar tablas</t>
  </si>
  <si>
    <t xml:space="preserve">   dinámicas y gráficos directamente sobre ella. Por eso mismo no la edites/arrastres/borres filas a mano ahí</t>
  </si>
  <si>
    <t xml:space="preserve">   (rompe las fórmulas) — para otra vista, créala en una pestaña nueva. Para borrar la fila de ejemplo en 'Brasil'</t>
  </si>
  <si>
    <t xml:space="preserve">   o 'Suiza_DE_CN_ID': selecciona las celdas y presiona Supr/Delete. NO uses clic derecho &gt; 'Eliminar fila'</t>
  </si>
  <si>
    <t xml:space="preserve">   (Delete Row), porque eso corre las fórmulas de Consolidado y las rompe.</t>
  </si>
  <si>
    <t xml:space="preserve">4. 'mercado' = país del CLIENTE (no el país de fabricación): se busca el Tscode de cada fila en la pestaña 'Mercados'.</t>
  </si>
  <si>
    <t xml:space="preserve">   'Goods Origin' sigue siendo el país de fabricación del producto (BR para Brasil, o el código que traiga cada fila de Suiza).</t>
  </si>
  <si>
    <t xml:space="preserve">   'Fuente' indica de dónde vino la fila: 'Brasil' (pestaña Brasil, en Excel) o 'Suiza' (pestaña Suiza_DE_CN_ID,</t>
  </si>
  <si>
    <t xml:space="preserve">   que agrupa Alemania/China/Indonesia, ya sea desde el Excel de Suiza o desde los PDF de proforma).</t>
  </si>
  <si>
    <t xml:space="preserve">5. La pestaña 'Gamma_Catalogo' es la tabla de referencia (catálogo de productos) usada para completar Category, R/C y</t>
  </si>
  <si>
    <t xml:space="preserve">   Mks description por Ip Code. Cuando recibas una versión nueva del archivo Gamma, reemplaza estos datos.</t>
  </si>
  <si>
    <t xml:space="preserve">6. La pestaña 'Mercados' tiene 3 columnas: Tscode | Alias | Mercado. Si aparece un Tscode nuevo (cliente de Brasil) o</t>
  </si>
  <si>
    <t xml:space="preserve">   un cliente nuevo de Suiza sin alias todavía, agrega una fila con su Tscode, su alias (tal como aparece en la columna</t>
  </si>
  <si>
    <t xml:space="preserve">   'cliente' de Suiza) y su mercado. Escribe el texto directamente — no copies celdas desde otro archivo Excel abierto,</t>
  </si>
  <si>
    <t xml:space="preserve">   porque eso puede pegar un vínculo roto a ese otro archivo en vez del texto.</t>
  </si>
  <si>
    <t xml:space="preserve">Capacidad actual: 650 filas de datos para Brasil y 450 filas para Suiza (con margen sobre el volumen</t>
  </si>
  <si>
    <t xml:space="preserve">mensual observado: ~517 filas Brasil, ~343 filas Suiza). Si algún mes se supera la capacidad, avisa para ampliar las filas.</t>
  </si>
  <si>
    <t xml:space="preserve">Si en 'Consolidado' una fila muestra 'Revisar Tscode', el Tscode no está en la pestaña 'Mercados' (agrégalo ahí).</t>
  </si>
  <si>
    <t xml:space="preserve">Si en 'Suiza_DE_CN_ID' la columna Tscode muestra 'Revisar alias', el nombre de 'cliente' no coincide con ningún Alias</t>
  </si>
  <si>
    <t xml:space="preserve">de 'Mercados' (agrega el alias, o revisa que esté escrito igual).</t>
  </si>
  <si>
    <t xml:space="preserve">Si muestra 'Revisar Ip Code' en Category/R-C/Mks description, el Ip Code no está en 'Gamma_Catalogo' (código nuevo o catálogo desactualizado).</t>
  </si>
  <si>
    <t xml:space="preserve">Tscode</t>
  </si>
  <si>
    <t xml:space="preserve">Alias</t>
  </si>
  <si>
    <t xml:space="preserve">Mercado</t>
  </si>
  <si>
    <t xml:space="preserve">0007510593</t>
  </si>
  <si>
    <t xml:space="preserve">774 - CHILE</t>
  </si>
  <si>
    <t xml:space="preserve">TS01683</t>
  </si>
  <si>
    <t xml:space="preserve">776 - CENTRAL AMERICA</t>
  </si>
  <si>
    <t xml:space="preserve">TS01696</t>
  </si>
  <si>
    <t xml:space="preserve">PETIN</t>
  </si>
  <si>
    <t xml:space="preserve">779 - URUGUAY</t>
  </si>
  <si>
    <t xml:space="preserve">TS01790</t>
  </si>
  <si>
    <t xml:space="preserve">TS01886</t>
  </si>
  <si>
    <t xml:space="preserve">YAMAHA</t>
  </si>
  <si>
    <t xml:space="preserve">773 - COLOMBIA</t>
  </si>
  <si>
    <t xml:space="preserve">TS01916</t>
  </si>
  <si>
    <t xml:space="preserve">ITALCAUCHOS</t>
  </si>
  <si>
    <t xml:space="preserve">777 - ECUADOR</t>
  </si>
  <si>
    <t xml:space="preserve">TS01927</t>
  </si>
  <si>
    <t xml:space="preserve">AUTOCENTRO</t>
  </si>
  <si>
    <t xml:space="preserve">780 - PARAGUAY</t>
  </si>
  <si>
    <t xml:space="preserve">TS01928</t>
  </si>
  <si>
    <t xml:space="preserve">CENEU</t>
  </si>
  <si>
    <t xml:space="preserve">TS01932</t>
  </si>
  <si>
    <t xml:space="preserve">DESERT</t>
  </si>
  <si>
    <t xml:space="preserve">781 - PERU'</t>
  </si>
  <si>
    <t xml:space="preserve">TS02378</t>
  </si>
  <si>
    <t xml:space="preserve">ISN S.</t>
  </si>
  <si>
    <t xml:space="preserve">TS02414</t>
  </si>
  <si>
    <t xml:space="preserve">MOTORALMOR</t>
  </si>
  <si>
    <t xml:space="preserve">TS02459</t>
  </si>
  <si>
    <t xml:space="preserve">FAHONDA</t>
  </si>
  <si>
    <t xml:space="preserve">TS02472</t>
  </si>
  <si>
    <t xml:space="preserve">AKT</t>
  </si>
  <si>
    <t xml:space="preserve">TS02592</t>
  </si>
  <si>
    <t xml:space="preserve">MOAUTO</t>
  </si>
  <si>
    <t xml:space="preserve">TS02793</t>
  </si>
  <si>
    <t xml:space="preserve">AUTECO</t>
  </si>
  <si>
    <t xml:space="preserve">TS02804</t>
  </si>
  <si>
    <t xml:space="preserve">TS02815</t>
  </si>
  <si>
    <t xml:space="preserve">GEES</t>
  </si>
  <si>
    <t xml:space="preserve">TS02816</t>
  </si>
  <si>
    <t xml:space="preserve">ROLPARTS</t>
  </si>
  <si>
    <t xml:space="preserve">TS02839</t>
  </si>
  <si>
    <t xml:space="preserve">RENDILLANTAS</t>
  </si>
  <si>
    <t xml:space="preserve">TS02840</t>
  </si>
  <si>
    <t xml:space="preserve">TS02845</t>
  </si>
  <si>
    <t xml:space="preserve">TS02848</t>
  </si>
  <si>
    <t xml:space="preserve">PRESTIGE</t>
  </si>
  <si>
    <t xml:space="preserve">TS02849</t>
  </si>
  <si>
    <t xml:space="preserve">788 - OTHER CARIBE</t>
  </si>
  <si>
    <t xml:space="preserve">TS02850</t>
  </si>
  <si>
    <t xml:space="preserve">TS02861</t>
  </si>
  <si>
    <t xml:space="preserve">INTEGRANDO</t>
  </si>
  <si>
    <t xml:space="preserve">TS02862</t>
  </si>
  <si>
    <t xml:space="preserve">TS02865</t>
  </si>
  <si>
    <t xml:space="preserve">BRIFABRI</t>
  </si>
  <si>
    <t xml:space="preserve">TS03434</t>
  </si>
  <si>
    <t xml:space="preserve">FANALCA</t>
  </si>
  <si>
    <t xml:space="preserve">TS06007</t>
  </si>
  <si>
    <t xml:space="preserve">MULTILLANTA</t>
  </si>
  <si>
    <t xml:space="preserve">782 - BOLIVIA</t>
  </si>
  <si>
    <t xml:space="preserve">TS06039</t>
  </si>
  <si>
    <t xml:space="preserve">TS06035</t>
  </si>
  <si>
    <t xml:space="preserve">Catálogo de productos Gamma (referencia — actualizar cuando llegue versión nueva)</t>
  </si>
  <si>
    <t xml:space="preserve">Ip Code</t>
  </si>
  <si>
    <t xml:space="preserve">Description</t>
  </si>
  <si>
    <t xml:space="preserve">R/C</t>
  </si>
  <si>
    <t xml:space="preserve">Category</t>
  </si>
  <si>
    <t xml:space="preserve">Mks description</t>
  </si>
  <si>
    <t xml:space="preserve">2.75-16 46P REINF Block C</t>
  </si>
  <si>
    <t xml:space="preserve">C</t>
  </si>
  <si>
    <t xml:space="preserve">COMMUTING</t>
  </si>
  <si>
    <t xml:space="preserve">3.00-16REINF 48P(C) Block</t>
  </si>
  <si>
    <t xml:space="preserve">3.25-16 55P REINF Block C</t>
  </si>
  <si>
    <t xml:space="preserve">4.00-18 64P Block K</t>
  </si>
  <si>
    <t xml:space="preserve">3.00-19 54P REINF Block C</t>
  </si>
  <si>
    <t xml:space="preserve">3.25-19 54P Block C</t>
  </si>
  <si>
    <t xml:space="preserve">3.50-19 57P Block C</t>
  </si>
  <si>
    <t xml:space="preserve">4.00-18 64H Block C TOURING SPEC</t>
  </si>
  <si>
    <t xml:space="preserve">3.25-19TL 54S ME11</t>
  </si>
  <si>
    <t xml:space="preserve">3.25-18 52H ME11</t>
  </si>
  <si>
    <t xml:space="preserve">3.25-18REINF 59P ME22</t>
  </si>
  <si>
    <t xml:space="preserve">3.00-17REINF 50PF&amp;R ME22</t>
  </si>
  <si>
    <t xml:space="preserve">2.75-17REINF 47P ME77</t>
  </si>
  <si>
    <t xml:space="preserve">4.00-18 64R Endu2R</t>
  </si>
  <si>
    <t xml:space="preserve">MIX XPLY</t>
  </si>
  <si>
    <t xml:space="preserve">ENDURO STREET</t>
  </si>
  <si>
    <t xml:space="preserve">130/80-17TL 65T Endu3R</t>
  </si>
  <si>
    <t xml:space="preserve">ENDURO ON/OFF</t>
  </si>
  <si>
    <t xml:space="preserve">80/90-21M/C 48SDP Endu3F</t>
  </si>
  <si>
    <t xml:space="preserve">120/90-17M/C 64S Endu3R</t>
  </si>
  <si>
    <t xml:space="preserve">100/90-19M/CTL 57H MT60-F</t>
  </si>
  <si>
    <t xml:space="preserve">2.75-18TL 42PF&amp;amp;R MT65FR</t>
  </si>
  <si>
    <t xml:space="preserve">100/90-18TL 56P MT65</t>
  </si>
  <si>
    <t xml:space="preserve">90/90-10TL 50J SL26</t>
  </si>
  <si>
    <t xml:space="preserve">SCOOTER</t>
  </si>
  <si>
    <t xml:space="preserve">SCOOTER STANDARD</t>
  </si>
  <si>
    <t xml:space="preserve">100/90-10TL 56J SL26</t>
  </si>
  <si>
    <t xml:space="preserve">100/100-18NHS MT320</t>
  </si>
  <si>
    <t xml:space="preserve">CROSS</t>
  </si>
  <si>
    <t xml:space="preserve">3.25-18 52S(C) Block</t>
  </si>
  <si>
    <t xml:space="preserve">3.00-19 49S ME11</t>
  </si>
  <si>
    <t xml:space="preserve">140/90-15M/C 70S ME77</t>
  </si>
  <si>
    <t xml:space="preserve">150/90-15M/CTL 74H MT66-R</t>
  </si>
  <si>
    <t xml:space="preserve">CUSTOM / TOURING X-PLY</t>
  </si>
  <si>
    <t xml:space="preserve">80/90-21 48H MT66-F</t>
  </si>
  <si>
    <t xml:space="preserve">140/90-16TL 71H MT66-R</t>
  </si>
  <si>
    <t xml:space="preserve">3.50-18 56S Block C</t>
  </si>
  <si>
    <t xml:space="preserve">120/90-17M/C 64S MT60-R</t>
  </si>
  <si>
    <t xml:space="preserve">110/90-17M/C 60P MT60-R</t>
  </si>
  <si>
    <t xml:space="preserve">130/90-15M/C 66S MT66-R</t>
  </si>
  <si>
    <t xml:space="preserve">80/90-21M/C 48SFRONT MT90AF</t>
  </si>
  <si>
    <t xml:space="preserve">130/80R17M/CTL 65H TouraR</t>
  </si>
  <si>
    <t xml:space="preserve">R</t>
  </si>
  <si>
    <t xml:space="preserve">RADIAL ZR</t>
  </si>
  <si>
    <t xml:space="preserve">140/80R17M/CTL 69H TouraR</t>
  </si>
  <si>
    <t xml:space="preserve">100/90-19 M/C 57H TL TouraF</t>
  </si>
  <si>
    <t xml:space="preserve">120/90-17M/C 64SFRONT MT66-F</t>
  </si>
  <si>
    <t xml:space="preserve">130/80R17M/CTL 65S TouraR</t>
  </si>
  <si>
    <t xml:space="preserve">150/70R17M/CTL 69V TouraR</t>
  </si>
  <si>
    <t xml:space="preserve">3.00-18M/CTL 47S ME77</t>
  </si>
  <si>
    <t xml:space="preserve">130/90-15M/CTL 66S ME77</t>
  </si>
  <si>
    <t xml:space="preserve">100/80-17M/CTL 52H SpDemF</t>
  </si>
  <si>
    <t xml:space="preserve">SPORT TOURING X-PLY</t>
  </si>
  <si>
    <t xml:space="preserve">110/70-17M/CTL 54H SpDemF</t>
  </si>
  <si>
    <t xml:space="preserve">150/70-17M/CTL 69H SpDemR</t>
  </si>
  <si>
    <t xml:space="preserve">130/70-18M/CTL 63H SpDemR</t>
  </si>
  <si>
    <t xml:space="preserve">80/100-21NHS (H) MT320F</t>
  </si>
  <si>
    <t xml:space="preserve">140/70-17M/CTL 66H SpDemR</t>
  </si>
  <si>
    <t xml:space="preserve">2.75-21TL 45PDP MT43F</t>
  </si>
  <si>
    <t xml:space="preserve">TRIAL</t>
  </si>
  <si>
    <t xml:space="preserve">4.00-18TL 64PDP MT43</t>
  </si>
  <si>
    <t xml:space="preserve">80/100-21M/C 51RMST MT16-F</t>
  </si>
  <si>
    <t xml:space="preserve">120/100-18NHS MT16-R</t>
  </si>
  <si>
    <t xml:space="preserve">110/100-18NHS MT16-R</t>
  </si>
  <si>
    <t xml:space="preserve">2.50-16REINF 41P Block C</t>
  </si>
  <si>
    <t xml:space="preserve">150/70R18M/CTL 70V MT90AR</t>
  </si>
  <si>
    <t xml:space="preserve">190/50ZR17M/CTL(73W) DiablR</t>
  </si>
  <si>
    <t xml:space="preserve">SUPERSPORT</t>
  </si>
  <si>
    <t xml:space="preserve">180/55ZR17M/CTL(73W) DiablR</t>
  </si>
  <si>
    <t xml:space="preserve">160/60ZR17M/CTL(69W) DiablR</t>
  </si>
  <si>
    <t xml:space="preserve">120/70ZR17M/CTL(58W) DiablF</t>
  </si>
  <si>
    <t xml:space="preserve">120/70ZR17M/CTL(58W) Z6-F</t>
  </si>
  <si>
    <t xml:space="preserve">SPORT TOURING RADIAL</t>
  </si>
  <si>
    <t xml:space="preserve">180/55ZR17M/CTL(73W) Z6-R</t>
  </si>
  <si>
    <t xml:space="preserve">160/60ZR17M/CTL(69W) Z6-R</t>
  </si>
  <si>
    <t xml:space="preserve">90/90-18M/C REINF 57P CiDemR</t>
  </si>
  <si>
    <t xml:space="preserve">100/90-19M/CTL 57V LaserF</t>
  </si>
  <si>
    <t xml:space="preserve">110/80-18M/CTL 58H LaserF</t>
  </si>
  <si>
    <t xml:space="preserve">120/80VB16M/CTL(60V) LaserF</t>
  </si>
  <si>
    <t xml:space="preserve">130/80V18M/CTL(66V) LaserR</t>
  </si>
  <si>
    <t xml:space="preserve">150/80VB16M/CTL(71V) LaserR</t>
  </si>
  <si>
    <t xml:space="preserve">160/70B17M/CTL 73V LaserR</t>
  </si>
  <si>
    <t xml:space="preserve">110/80V18M/CTL(58V) LaserF</t>
  </si>
  <si>
    <t xml:space="preserve">130/90-15M/CTL 66S CiDemR</t>
  </si>
  <si>
    <t xml:space="preserve">120/90-16M/CTL 63S CiDemR</t>
  </si>
  <si>
    <t xml:space="preserve">2.75-18M/C REINFTL 48P ME22</t>
  </si>
  <si>
    <t xml:space="preserve">120/70-17M/CTL 58H SpDemF</t>
  </si>
  <si>
    <t xml:space="preserve">120/70ZR17M/CTL (58W) M3-F</t>
  </si>
  <si>
    <t xml:space="preserve">160/60ZR17M/CTL (69W) M3-R</t>
  </si>
  <si>
    <t xml:space="preserve">180/55ZR17M/CTL (73W) M3-R</t>
  </si>
  <si>
    <t xml:space="preserve">190/50ZR17M/CTL (73W) M3-R</t>
  </si>
  <si>
    <t xml:space="preserve">100/80-17M/CTL 52S SpDemF</t>
  </si>
  <si>
    <t xml:space="preserve">130/70-17M/CTL 62S SpDemR</t>
  </si>
  <si>
    <t xml:space="preserve">160/60R17NHSTLSCR1 DBRAIN</t>
  </si>
  <si>
    <t xml:space="preserve">RACING NHS</t>
  </si>
  <si>
    <t xml:space="preserve">110/70-16M/CTL 52P SpDemF</t>
  </si>
  <si>
    <t xml:space="preserve">160/60R17NHSTLSC2 DSBK-R</t>
  </si>
  <si>
    <t xml:space="preserve">150/70-14M/CTL 66S DScooR</t>
  </si>
  <si>
    <t xml:space="preserve">SCOOTER HIGH-PERFORMANCE</t>
  </si>
  <si>
    <t xml:space="preserve">100/80-16M/CTL 50P DScooF</t>
  </si>
  <si>
    <t xml:space="preserve">150/70-13M/CTL 64S DScooR</t>
  </si>
  <si>
    <t xml:space="preserve">120/80-14M/CTL 58S DScooF</t>
  </si>
  <si>
    <t xml:space="preserve">120/80-16M/CTL 60P DScooR</t>
  </si>
  <si>
    <t xml:space="preserve">80/100-21M/C 51MMST(32) ScXMSF</t>
  </si>
  <si>
    <t xml:space="preserve">100/90-19NHS 57M ScXMSR</t>
  </si>
  <si>
    <t xml:space="preserve">110/90-19NHS 62M(32) ScXMSR</t>
  </si>
  <si>
    <t xml:space="preserve">110/70-16M/CTL 52S FFreeF</t>
  </si>
  <si>
    <t xml:space="preserve">180/55R17NHSTLSCD DSBK-R</t>
  </si>
  <si>
    <t xml:space="preserve">160/60R17NHSTLSCD DSBK-R</t>
  </si>
  <si>
    <t xml:space="preserve">180/60B17M/C REINFTL 81H NDragR</t>
  </si>
  <si>
    <t xml:space="preserve">140/80-18M/C70MM+SHeavyDutyScCMHR</t>
  </si>
  <si>
    <t xml:space="preserve">140/75R17M/CTL 67V NDragF</t>
  </si>
  <si>
    <t xml:space="preserve">CUSTOM / TOURING RADIAL</t>
  </si>
  <si>
    <t xml:space="preserve">150/80B16M/CTL 71H NDragF</t>
  </si>
  <si>
    <t xml:space="preserve">180/70B15M/CTL 76H NDragR</t>
  </si>
  <si>
    <t xml:space="preserve">120/70R14M/CTL 55H FFreeF</t>
  </si>
  <si>
    <t xml:space="preserve">SCOOTER RADIALE</t>
  </si>
  <si>
    <t xml:space="preserve">120/70R15M/CTL 56H FFreeF</t>
  </si>
  <si>
    <t xml:space="preserve">160/60R15M/CTL 67H FFreeR</t>
  </si>
  <si>
    <t xml:space="preserve">160/60R14M/CTL 65H FFreeR</t>
  </si>
  <si>
    <t xml:space="preserve">140/70-14M/C REINFTL 68S DScooR</t>
  </si>
  <si>
    <t xml:space="preserve">130/70-16M/CTL 61P FFreeR</t>
  </si>
  <si>
    <t xml:space="preserve">90/90-19M/C 52P Endu3F</t>
  </si>
  <si>
    <t xml:space="preserve">110/90-17M/C 60P Endu3R</t>
  </si>
  <si>
    <t xml:space="preserve">240/40VR18M/CTL (79V) NDragR</t>
  </si>
  <si>
    <t xml:space="preserve">120/70ZR17M/CTL (58W) AngSTF</t>
  </si>
  <si>
    <t xml:space="preserve">180/55ZR17M/CTL (73W) AngSTR</t>
  </si>
  <si>
    <t xml:space="preserve">190/50ZR17M/CTL (73W) AngSTR</t>
  </si>
  <si>
    <t xml:space="preserve">160/60ZR17M/CTL (69W) AngSTR</t>
  </si>
  <si>
    <t xml:space="preserve">130/90-18M/C 69MM+S 6DayER</t>
  </si>
  <si>
    <t xml:space="preserve">ENDURO COMPETITION</t>
  </si>
  <si>
    <t xml:space="preserve">100/90-14M/C REINFTL 57P DScooR</t>
  </si>
  <si>
    <t xml:space="preserve">90/90-14M/CTL 46P DScooF</t>
  </si>
  <si>
    <t xml:space="preserve">120/70R17NHSTLK350 SCD DSBK-F</t>
  </si>
  <si>
    <t xml:space="preserve">130/70R16M/CTL 61S FFreeR</t>
  </si>
  <si>
    <t xml:space="preserve">120/70ZR17M/CTL (58W) M5-F</t>
  </si>
  <si>
    <t xml:space="preserve">180/55ZR17M/CTL (73W) M5-R</t>
  </si>
  <si>
    <t xml:space="preserve">2.75-18M/CTL 42P CiDemF</t>
  </si>
  <si>
    <t xml:space="preserve">160/60ZR17M/CTL (69W) M5-R</t>
  </si>
  <si>
    <t xml:space="preserve">110/90-17M/C 60P TouraR</t>
  </si>
  <si>
    <t xml:space="preserve">80/90-21M/C 48SDP TouraF</t>
  </si>
  <si>
    <t xml:space="preserve">180/55ZR17M/CTL (73W) DRII-R</t>
  </si>
  <si>
    <t xml:space="preserve">190/50ZR17M/CTL (73W) DRII-R</t>
  </si>
  <si>
    <t xml:space="preserve">190/55ZR17M/CTL (75W) DRII-R</t>
  </si>
  <si>
    <t xml:space="preserve">190/55ZR17M/CTL (75W) AngSTR</t>
  </si>
  <si>
    <t xml:space="preserve">110/70ZR17M/CTL 54W DRII-F</t>
  </si>
  <si>
    <t xml:space="preserve">150/60ZR17M/CTL 66W DRII-R</t>
  </si>
  <si>
    <t xml:space="preserve">160/60ZR17M/CTL (69W) DRII-R</t>
  </si>
  <si>
    <t xml:space="preserve">170/60ZR17M/CTL (72W) DRII-R</t>
  </si>
  <si>
    <t xml:space="preserve">110/80R19M/CTL 59V TNextF</t>
  </si>
  <si>
    <t xml:space="preserve">150/70R17M/CTL 69V TNextR</t>
  </si>
  <si>
    <t xml:space="preserve">110/80-17M/CTL 57P SpDemR</t>
  </si>
  <si>
    <t xml:space="preserve">3.50-16M/C REINFTL 58P CiDemR</t>
  </si>
  <si>
    <t xml:space="preserve">90/90-17M/CTL 49P SpDemF</t>
  </si>
  <si>
    <t xml:space="preserve">90/90-18M/C REINFTL 57P MESTRE</t>
  </si>
  <si>
    <t xml:space="preserve">120/70R17NHSTLK350 SCRD DBRAIF</t>
  </si>
  <si>
    <t xml:space="preserve">100/100-18NHS 59M ScXtXR</t>
  </si>
  <si>
    <t xml:space="preserve">110/100-18NHS 64M ScXtXR</t>
  </si>
  <si>
    <t xml:space="preserve">80/100-21M/C 51MMST ScXtXF</t>
  </si>
  <si>
    <t xml:space="preserve">80/100-12NHS 50M ScXtJR</t>
  </si>
  <si>
    <t xml:space="preserve">60/100-14NHS 29M ScXtJF</t>
  </si>
  <si>
    <t xml:space="preserve">100/70R17NHSTLK397 SCD DSBK-F</t>
  </si>
  <si>
    <t xml:space="preserve">120/70ZR17M/CTL (58W)(D) DRII-F</t>
  </si>
  <si>
    <t xml:space="preserve">120/70ZR17M/CTL (58W)V2 SP DSC2-F</t>
  </si>
  <si>
    <t xml:space="preserve">RACING STREET</t>
  </si>
  <si>
    <t xml:space="preserve">200/55ZR17M/CTL (78W)V2 SP DSC2-R</t>
  </si>
  <si>
    <t xml:space="preserve">120/70R17M/CTL 58H DRII-F</t>
  </si>
  <si>
    <t xml:space="preserve">160/60R17M/CTL 69H DRII-R</t>
  </si>
  <si>
    <t xml:space="preserve">130/70R18M/CTL 63V NDragF</t>
  </si>
  <si>
    <t xml:space="preserve">130/80B17M/CTL 65H NDragF</t>
  </si>
  <si>
    <t xml:space="preserve">130/90B16M/CTL 67H NDragF</t>
  </si>
  <si>
    <t xml:space="preserve">180/70R16M/CTL 77H NDragR</t>
  </si>
  <si>
    <t xml:space="preserve">100/80-18M/C REINFTL 59P CiDraR</t>
  </si>
  <si>
    <t xml:space="preserve">80/100-18M/CTL 47P CiDraF</t>
  </si>
  <si>
    <t xml:space="preserve">100/70R17NHSTLK397 SC1 DSBK-F</t>
  </si>
  <si>
    <t xml:space="preserve">100/70R17NHSTLK397 SCR1 DBRAIF</t>
  </si>
  <si>
    <t xml:space="preserve">125/70R17NHSTLK395 SCR1 DBRAIN</t>
  </si>
  <si>
    <t xml:space="preserve">120/70R17NHSTLK350 SCR1 DBRAIF</t>
  </si>
  <si>
    <t xml:space="preserve">180/55ZR17M/CTL (73W)V2 SP DSC2-R</t>
  </si>
  <si>
    <t xml:space="preserve">90/90-12TL 44J SL26</t>
  </si>
  <si>
    <t xml:space="preserve">200/60R17NHSTLK401 SCD DSBK-R</t>
  </si>
  <si>
    <t xml:space="preserve">120/80-17M/CTL 61P SpDemR</t>
  </si>
  <si>
    <t xml:space="preserve">140/60R17M/CTL 63H(R) DRII-R</t>
  </si>
  <si>
    <t xml:space="preserve">RADIAL HR</t>
  </si>
  <si>
    <t xml:space="preserve">120/70ZR17M/CTL (58W)(M) Z8-F</t>
  </si>
  <si>
    <t xml:space="preserve">180/55ZR17M/CTL (73W)(M) Z8-R</t>
  </si>
  <si>
    <t xml:space="preserve">180/55ZR17M/CTL (73W)(O) Z8-R</t>
  </si>
  <si>
    <t xml:space="preserve">190/50ZR17M/CTL (73W)(M) Z8-R</t>
  </si>
  <si>
    <t xml:space="preserve">190/50ZR17M/CTL (73W)(O) Z8-R</t>
  </si>
  <si>
    <t xml:space="preserve">190/55ZR17M/CTL (75W)(M) Z8-R</t>
  </si>
  <si>
    <t xml:space="preserve">120/70-15M/CTL 56S DScooF</t>
  </si>
  <si>
    <t xml:space="preserve">90/90-18M/C REINFTL 57P CiDraR</t>
  </si>
  <si>
    <t xml:space="preserve">120/70ZR17M/CTL (58W)(K) DRII-F</t>
  </si>
  <si>
    <t xml:space="preserve">120/70ZR17M/CTL 58WV2 SC1 DSC2-F</t>
  </si>
  <si>
    <t xml:space="preserve">RACING SUPERSPORT</t>
  </si>
  <si>
    <t xml:space="preserve">120/70ZR17M/CTL 58WV2 SC2 DSC2-F</t>
  </si>
  <si>
    <t xml:space="preserve">180/55ZR17M/CTL 73WV2 SC2 DSC2-R</t>
  </si>
  <si>
    <t xml:space="preserve">180/60ZR17M/CTL 75WV2 SC1 DSC2-R</t>
  </si>
  <si>
    <t xml:space="preserve">190/55ZR17M/CTL 75WV2 SC2 DSC2-R</t>
  </si>
  <si>
    <t xml:space="preserve">190/55ZR17M/CTL (75W)V2 SP DSC2-R</t>
  </si>
  <si>
    <t xml:space="preserve">200/55ZR17M/CTL 78WV2 SC1 DSC2-R</t>
  </si>
  <si>
    <t xml:space="preserve">200/55ZR17M/CTL 78WV2 SC2 DSC2-R</t>
  </si>
  <si>
    <t xml:space="preserve">90/90-21M/CTL 54V TNextF</t>
  </si>
  <si>
    <t xml:space="preserve">110/80R19M/CTL 59V TouraF</t>
  </si>
  <si>
    <t xml:space="preserve">90/90-21M/CTL 54RM+S Karo3F</t>
  </si>
  <si>
    <t xml:space="preserve">150/70-18M/CTL 70RM+S Karo3R</t>
  </si>
  <si>
    <t xml:space="preserve">110/80ZR18M/CTL (58W) AngGTF</t>
  </si>
  <si>
    <t xml:space="preserve">120/70ZR18M/CTL (59W) AngGTF</t>
  </si>
  <si>
    <t xml:space="preserve">160/60ZR17M/CTL (69W) AngGTR</t>
  </si>
  <si>
    <t xml:space="preserve">170/60ZR17M/CTL (72W) AngGTR</t>
  </si>
  <si>
    <t xml:space="preserve">180/55ZR17M/CTL (73W) AngGTR</t>
  </si>
  <si>
    <t xml:space="preserve">190/50ZR17M/CTL (73W) AngGTR</t>
  </si>
  <si>
    <t xml:space="preserve">190/55ZR17M/CTL (75W) AngGTR</t>
  </si>
  <si>
    <t xml:space="preserve">160/60ZR18M/CTL (70W) AngGTR</t>
  </si>
  <si>
    <t xml:space="preserve">130/80B17M/CTL 65H ME888F</t>
  </si>
  <si>
    <t xml:space="preserve">170/80B15M/CTL 77H ME888R</t>
  </si>
  <si>
    <t xml:space="preserve">130/90B16M/C REINFTL 73H ME888R</t>
  </si>
  <si>
    <t xml:space="preserve">150/80B16M/C REINFTL 77H ME888R</t>
  </si>
  <si>
    <t xml:space="preserve">180/65B16M/C REINFTL 81H ME888R</t>
  </si>
  <si>
    <t xml:space="preserve">MT90B16M/CTL 74H ME888R</t>
  </si>
  <si>
    <t xml:space="preserve">MU85B16M/CTL 77H ME888R</t>
  </si>
  <si>
    <t xml:space="preserve">180/55ZR17M/CTL (73W)(A) AngGTR</t>
  </si>
  <si>
    <t xml:space="preserve">190/50ZR17M/CTL (73W)(A) AngGTR</t>
  </si>
  <si>
    <t xml:space="preserve">200/50ZR17M/CTL (75W) DRII-R</t>
  </si>
  <si>
    <t xml:space="preserve">2.75-18M/C 42P* MESTRF</t>
  </si>
  <si>
    <t xml:space="preserve">90/90-18M/C 51P Endu3R</t>
  </si>
  <si>
    <t xml:space="preserve">120/70R17NHSTLK350 SC1 DSBK-F</t>
  </si>
  <si>
    <t xml:space="preserve">120/70R17NHSTLK350 SC2 DSBK-F</t>
  </si>
  <si>
    <t xml:space="preserve">200/60R17NHSTLK401 SC0 DSBK-R</t>
  </si>
  <si>
    <t xml:space="preserve">200/60R17NHSTLK401 SC1 DSBK-R</t>
  </si>
  <si>
    <t xml:space="preserve">200/60R17NHSTLK401 SC2 DSBK-R</t>
  </si>
  <si>
    <t xml:space="preserve">190/55ZR17M/CTL (75W)(A) AngGTR</t>
  </si>
  <si>
    <t xml:space="preserve">110/70R17M/CTL 54H M5-F</t>
  </si>
  <si>
    <t xml:space="preserve">150/60R17M/CTL 66H M5-R</t>
  </si>
  <si>
    <t xml:space="preserve">3.00-18M/CTL 47S CiDemF</t>
  </si>
  <si>
    <t xml:space="preserve">120/70ZR17M/CTL (58W) AngGTF</t>
  </si>
  <si>
    <t xml:space="preserve">110/70R17M/CTL 54H(R) DRII-F</t>
  </si>
  <si>
    <t xml:space="preserve">190/55ZR17M/CTL (75W)(D) AngGTR</t>
  </si>
  <si>
    <t xml:space="preserve">120/70R17NHSTLK350 DBWETF</t>
  </si>
  <si>
    <t xml:space="preserve">165/55R17NHSTLKD RacSMR</t>
  </si>
  <si>
    <t xml:space="preserve">110/80R18M/CTL 58H MT60WF</t>
  </si>
  <si>
    <t xml:space="preserve">MT90B16M/CTL 72HWW ME888F</t>
  </si>
  <si>
    <t xml:space="preserve">130/90-16M/CTL 67HWW ME888F</t>
  </si>
  <si>
    <t xml:space="preserve">130/80B17M/CTL 65HWW ME888F</t>
  </si>
  <si>
    <t xml:space="preserve">100/90-19M/CTL 57HWW ME888F</t>
  </si>
  <si>
    <t xml:space="preserve">170/80B15M/CTL 77HWW ME888R</t>
  </si>
  <si>
    <t xml:space="preserve">150/80B16M/C REINFTL 77HWW ME888R</t>
  </si>
  <si>
    <t xml:space="preserve">MU85B16M/CTL 77HWW ME888R</t>
  </si>
  <si>
    <t xml:space="preserve">MT90B16M/CTL 74HWW ME888R</t>
  </si>
  <si>
    <t xml:space="preserve">130/90B16M/C REINFTL 73HWW ME888R</t>
  </si>
  <si>
    <t xml:space="preserve">180/65B16M/C REINFTL 81HWW ME888R</t>
  </si>
  <si>
    <t xml:space="preserve">MH90-21M/CTL 54HWW ME888F</t>
  </si>
  <si>
    <t xml:space="preserve">140/90B15M/CTL 70H ME888R</t>
  </si>
  <si>
    <t xml:space="preserve">140/90B16M/C REINFTL 77H ME888R</t>
  </si>
  <si>
    <t xml:space="preserve">140/90B16M/C REINFTL 77HWW ME888R</t>
  </si>
  <si>
    <t xml:space="preserve">160/70B17M/C REINFTL 79V ME888R</t>
  </si>
  <si>
    <t xml:space="preserve">100/80R17M/CTL 52H(R) DRII-F</t>
  </si>
  <si>
    <t xml:space="preserve">130/70R17M/CTL 62H(R) DRII-R</t>
  </si>
  <si>
    <t xml:space="preserve">140/70R17M/CTL 66H(R) DRII-R</t>
  </si>
  <si>
    <t xml:space="preserve">100/80R17M/CTL 52H(R) M5-F</t>
  </si>
  <si>
    <t xml:space="preserve">110/70R17M/CTL 54H(R) M5-F</t>
  </si>
  <si>
    <t xml:space="preserve">140/60R17M/CTL 63H(R) M5-R</t>
  </si>
  <si>
    <t xml:space="preserve">140/70ZR18M/CTL (67W)(M) Z8-R</t>
  </si>
  <si>
    <t xml:space="preserve">100/90-19M/CTL 57V TNextF</t>
  </si>
  <si>
    <t xml:space="preserve">160/60ZR17M/CTL (69W) TNextR</t>
  </si>
  <si>
    <t xml:space="preserve">130/70R18M/CTL 63H ME888F</t>
  </si>
  <si>
    <t xml:space="preserve">180/60R16M/CTL 74H ME888R</t>
  </si>
  <si>
    <t xml:space="preserve">110/70R17M/CTL 54H MT60WF</t>
  </si>
  <si>
    <t xml:space="preserve">150/60R17M/CTL 66H MT60WR</t>
  </si>
  <si>
    <t xml:space="preserve">120/70R19M/CTL 60TM+S ScRalF</t>
  </si>
  <si>
    <t xml:space="preserve">170/60R17M/CTL 72TM+S ScRalR</t>
  </si>
  <si>
    <t xml:space="preserve">110/70ZR17M/CTL 54W M7-F</t>
  </si>
  <si>
    <t xml:space="preserve">120/60ZR17M/CTL (55W) M7-F</t>
  </si>
  <si>
    <t xml:space="preserve">150/60ZR17M/CTL 66W M7-R</t>
  </si>
  <si>
    <t xml:space="preserve">160/60ZR17M/CTL (69W) M7-R</t>
  </si>
  <si>
    <t xml:space="preserve">180/55ZR17M/CTL (73W) M7-R</t>
  </si>
  <si>
    <t xml:space="preserve">190/50ZR17M/CTL (73W) M7-R</t>
  </si>
  <si>
    <t xml:space="preserve">190/55ZR17M/CTL (75W) M7-R</t>
  </si>
  <si>
    <t xml:space="preserve">140/70R17M/CTL 66H(R) M5-R</t>
  </si>
  <si>
    <t xml:space="preserve">90/90-21M/C 54MM+S 6DayEF</t>
  </si>
  <si>
    <t xml:space="preserve">140/80-18M/C 70MM+S 6DayER</t>
  </si>
  <si>
    <t xml:space="preserve">110/70ZR17M/CTL 54W(M) Z8-F</t>
  </si>
  <si>
    <t xml:space="preserve">120/70ZR18M/CTL (59W)(M) Z8-F</t>
  </si>
  <si>
    <t xml:space="preserve">110/80ZR18M/CTL (58W)(M) Z8-F</t>
  </si>
  <si>
    <t xml:space="preserve">160/60ZR17M/CTL (69W)(M) Z8-R</t>
  </si>
  <si>
    <t xml:space="preserve">150/70ZR17M/CTL (69W)(M) Z8-R</t>
  </si>
  <si>
    <t xml:space="preserve">160/60ZR18M/CTL (70W)(M) Z8-R</t>
  </si>
  <si>
    <t xml:space="preserve">170/60ZR17M/CTL (72W)(M) Z8-R</t>
  </si>
  <si>
    <t xml:space="preserve">120/70ZR17M/CTL (58W)(A) AngGTF</t>
  </si>
  <si>
    <t xml:space="preserve">100/90-18M/CTL 56H PhantF</t>
  </si>
  <si>
    <t xml:space="preserve">160/60R17M/CTL 69H MT60WR</t>
  </si>
  <si>
    <t xml:space="preserve">180/55R17M/CTL 73H MT60WR</t>
  </si>
  <si>
    <t xml:space="preserve">120/70ZR17M/CTL (58W)(M) M7-F</t>
  </si>
  <si>
    <t xml:space="preserve">180/60ZR17M/CTL (75W)K328KDRacRRR</t>
  </si>
  <si>
    <t xml:space="preserve">120/70ZR17M/CTL (58W)K3 RacRRF</t>
  </si>
  <si>
    <t xml:space="preserve">160/60ZR17M/CTL (69W)K3 RacRRR</t>
  </si>
  <si>
    <t xml:space="preserve">180/55ZR17M/CTL (73W)K3 RacRRR</t>
  </si>
  <si>
    <t xml:space="preserve">190/50ZR17M/CTL (73W)K3 RacRRR</t>
  </si>
  <si>
    <t xml:space="preserve">190/55ZR17M/CTL (75W)K3 RacRRR</t>
  </si>
  <si>
    <t xml:space="preserve">120/70ZR17M/CTL (58W) Trai2F</t>
  </si>
  <si>
    <t xml:space="preserve">110/80R19M/CTL 59V Trai2F</t>
  </si>
  <si>
    <t xml:space="preserve">130/80R17M/CTL 65V Trai2R</t>
  </si>
  <si>
    <t xml:space="preserve">140/80R17M/CTL 69V Trai2R</t>
  </si>
  <si>
    <t xml:space="preserve">150/70R17M/CTL 69V Trai2R</t>
  </si>
  <si>
    <t xml:space="preserve">160/60ZR17M/CTL (69W) Trai2R</t>
  </si>
  <si>
    <t xml:space="preserve">180/55ZR17M/CTL (73W) Trai2R</t>
  </si>
  <si>
    <t xml:space="preserve">190/55ZR17M/CTL (75W) Trai2R</t>
  </si>
  <si>
    <t xml:space="preserve">170/70B16M/CTL 75H ME888R</t>
  </si>
  <si>
    <t xml:space="preserve">125/75R420NHSTLK243 KD RacSMF</t>
  </si>
  <si>
    <t xml:space="preserve">125/75R420NHSTLK243 K1 RacSMF</t>
  </si>
  <si>
    <t xml:space="preserve">125/75R420NHSTLK243 K2 RacSMF</t>
  </si>
  <si>
    <t xml:space="preserve">120/70ZR17M/CTL(58W)K350K1 RacRRF</t>
  </si>
  <si>
    <t xml:space="preserve">120/70ZR17M/CTL(58W)K350K2 RacRRF</t>
  </si>
  <si>
    <t xml:space="preserve">180/55ZR17M/CTL(73W)K267K2 RacRRR</t>
  </si>
  <si>
    <t xml:space="preserve">180/60ZR17M/CTL(75W)K328K1 RacRRR</t>
  </si>
  <si>
    <t xml:space="preserve">180/60ZR17M/CTL(75W)K328K2 RacRRR</t>
  </si>
  <si>
    <t xml:space="preserve">180/60R17NHSTLK328 SC1 DSBK-R</t>
  </si>
  <si>
    <t xml:space="preserve">180/60R17NHSTLK328 SC2 DSBK-R</t>
  </si>
  <si>
    <t xml:space="preserve">90/80-17M/CTL 46S AngCTF</t>
  </si>
  <si>
    <t xml:space="preserve">120/70-17M/CTL 58S AngCTR</t>
  </si>
  <si>
    <t xml:space="preserve">80/90-17M/CTL 44S AngCTF</t>
  </si>
  <si>
    <t xml:space="preserve">80/100-17M/CTL 46S AngCTF</t>
  </si>
  <si>
    <t xml:space="preserve">100/80-17M/CTL 52S AngCTR</t>
  </si>
  <si>
    <t xml:space="preserve">100/90-17M/CTL 55S AngCTR</t>
  </si>
  <si>
    <t xml:space="preserve">3.50-18M/C REINF 62P CiDemR</t>
  </si>
  <si>
    <t xml:space="preserve">80/80-16M/C REINFTL 45J MT15F</t>
  </si>
  <si>
    <t xml:space="preserve">90/80-16M/C REINFTL 51J MT15</t>
  </si>
  <si>
    <t xml:space="preserve">110/80-14M/C REINFTL 59J MT15</t>
  </si>
  <si>
    <t xml:space="preserve">80/100-21M/C 51MMST (32) ScXMSF</t>
  </si>
  <si>
    <t xml:space="preserve">100/90-19NHS 57M(32) ScXMSR</t>
  </si>
  <si>
    <t xml:space="preserve">100/90-19NHS 57M ScXtXR</t>
  </si>
  <si>
    <t xml:space="preserve">110/90-19NHS 62M ScXtXR</t>
  </si>
  <si>
    <t xml:space="preserve">130/70-16M/CTL 61P SpDemR</t>
  </si>
  <si>
    <t xml:space="preserve">130/70-17M/CTL 62H SpDemR</t>
  </si>
  <si>
    <t xml:space="preserve">170/80B15M/CTL 77HGT NDrGTR</t>
  </si>
  <si>
    <t xml:space="preserve">150/80B16M/C REINFTL 77HGT NDrGTR</t>
  </si>
  <si>
    <t xml:space="preserve">180/65B16M/C REINFTL 81HGT NDrGTR</t>
  </si>
  <si>
    <t xml:space="preserve">MU85B16M/CTL 77HGT NDrGTR</t>
  </si>
  <si>
    <t xml:space="preserve">200/55R17M/CTL 78VGT NDrGTR</t>
  </si>
  <si>
    <t xml:space="preserve">180/60R16M/C REINFTL 80HGT NDrGTR</t>
  </si>
  <si>
    <t xml:space="preserve">120/70R19M/CTL 60V(E) TNextF</t>
  </si>
  <si>
    <t xml:space="preserve">150/90B15M/C REINFTL 80H ME888R</t>
  </si>
  <si>
    <t xml:space="preserve">160/80B16M/CTL 75H ME888R</t>
  </si>
  <si>
    <t xml:space="preserve">150/70B18M/C REINFTL 76H ME888R</t>
  </si>
  <si>
    <t xml:space="preserve">80/80-14M/C REINFTL 43P FFreeF</t>
  </si>
  <si>
    <t xml:space="preserve">90/80-14M/C REINFTL 49P FFreeR</t>
  </si>
  <si>
    <t xml:space="preserve">70/90-17M/CTL 38S AngCTF</t>
  </si>
  <si>
    <t xml:space="preserve">80/90-17M/CTL 44S AngCTR</t>
  </si>
  <si>
    <t xml:space="preserve">150/60R17M/C (RD)TL 66H DRII-R</t>
  </si>
  <si>
    <t xml:space="preserve">180/55B18M/C REINFTL 80H ME888R</t>
  </si>
  <si>
    <t xml:space="preserve">180/60R16M/C REINFTL 80H ME888R</t>
  </si>
  <si>
    <t xml:space="preserve">110/70ZR17M/CTL 54W DR3-F</t>
  </si>
  <si>
    <t xml:space="preserve">120/60ZR17M/CTL (55W) DR3-F</t>
  </si>
  <si>
    <t xml:space="preserve">120/70ZR17M/CTL (58W) DR3-F</t>
  </si>
  <si>
    <t xml:space="preserve">150/60ZR17M/CTL 66W DR3-R</t>
  </si>
  <si>
    <t xml:space="preserve">160/60ZR17M/CTL (69W) DR3-R</t>
  </si>
  <si>
    <t xml:space="preserve">180/55ZR17M/CTL (73W) DR3-R</t>
  </si>
  <si>
    <t xml:space="preserve">190/50ZR17M/CTL (73W) DR3-R</t>
  </si>
  <si>
    <t xml:space="preserve">190/55ZR17M/CTL (75W) DR3-R</t>
  </si>
  <si>
    <t xml:space="preserve">120/70ZR17M/CTL (58W) MT60WF</t>
  </si>
  <si>
    <t xml:space="preserve">180/55ZR17M/CTL (73W) MT60WR</t>
  </si>
  <si>
    <t xml:space="preserve">120/60ZR17M/CTL (55W) ROD01F</t>
  </si>
  <si>
    <t xml:space="preserve">2.75-18M/C 42P SupCTF</t>
  </si>
  <si>
    <t xml:space="preserve">80/100-18M/CTL 47P SupCTF</t>
  </si>
  <si>
    <t xml:space="preserve">60/100-17M/C 33L SupCTF</t>
  </si>
  <si>
    <t xml:space="preserve">90/90-18M/C 51P SupCTR</t>
  </si>
  <si>
    <t xml:space="preserve">100/80-18M/CTL 53P SupCTR</t>
  </si>
  <si>
    <t xml:space="preserve">80/100-14M/C REINF 49L SupCTR</t>
  </si>
  <si>
    <t xml:space="preserve">150/80R16M/CTL 71V ME888F</t>
  </si>
  <si>
    <t xml:space="preserve">120/70ZR19M/CTL (60W) ME888F</t>
  </si>
  <si>
    <t xml:space="preserve">180/70R16M/CTL 77V ME888R</t>
  </si>
  <si>
    <t xml:space="preserve">200/50ZR17M/CTL 75W ME888R</t>
  </si>
  <si>
    <t xml:space="preserve">120/70ZR17M/CTL (58W)(HWM) ROD01F</t>
  </si>
  <si>
    <t xml:space="preserve">180/55ZR17M/CTL (73W)(HWM) ROD01R</t>
  </si>
  <si>
    <t xml:space="preserve">190/50ZR17M/CTL (73W)(HWM) ROD01R</t>
  </si>
  <si>
    <t xml:space="preserve">190/55ZR17M/CTL (75W)(HWM) ROD01R</t>
  </si>
  <si>
    <t xml:space="preserve">150/70R17M/CTL 69H(R) TouraR</t>
  </si>
  <si>
    <t xml:space="preserve">140/70R17NHSTLK388 SCR1 DBRAIN</t>
  </si>
  <si>
    <t xml:space="preserve">150/70R17M/CTL 69H PhantR</t>
  </si>
  <si>
    <t xml:space="preserve">100/80-14M/C REINFTL 54S AngCTR</t>
  </si>
  <si>
    <t xml:space="preserve">150/60-17M/CTL 66S AngCTR</t>
  </si>
  <si>
    <t xml:space="preserve">120/70R17NHSTLK350 K1 RacRSF</t>
  </si>
  <si>
    <t xml:space="preserve">120/70R17NHSTLK350 K2 RacRSF</t>
  </si>
  <si>
    <t xml:space="preserve">180/60R17NHSTLK328 K1 RacRSR</t>
  </si>
  <si>
    <t xml:space="preserve">180/60R17NHSTLK328 K2 RacRSR</t>
  </si>
  <si>
    <t xml:space="preserve">200/60R17NHSTLK401 K1 RacRSR</t>
  </si>
  <si>
    <t xml:space="preserve">200/60R17NHSTLK401 K2 RacRSR</t>
  </si>
  <si>
    <t xml:space="preserve">110/70-17M/CTL 54S AngCTF</t>
  </si>
  <si>
    <t xml:space="preserve">180/70B15M/CTL 76H ME888R</t>
  </si>
  <si>
    <t xml:space="preserve">180/60B17M/CTL 75V ME888R</t>
  </si>
  <si>
    <t xml:space="preserve">200/50R18M/C REINFTL 82H ME888R</t>
  </si>
  <si>
    <t xml:space="preserve">200/55R17M/CTL 78V ME888R</t>
  </si>
  <si>
    <t xml:space="preserve">200/60R16M/CTL 79V ME888R</t>
  </si>
  <si>
    <t xml:space="preserve">240/40VR18M/CTL (79V) ME888R</t>
  </si>
  <si>
    <t xml:space="preserve">180/55ZR18M/CTL (74W) ME888R</t>
  </si>
  <si>
    <t xml:space="preserve">2.50-17M/C REINF 43P ME22</t>
  </si>
  <si>
    <t xml:space="preserve">2.75-17M/C REINF 47P ME22</t>
  </si>
  <si>
    <t xml:space="preserve">2.75-17M/C REINF 47P CTCroR</t>
  </si>
  <si>
    <t xml:space="preserve">3.00-17M/C REINF 50P CTCroR</t>
  </si>
  <si>
    <t xml:space="preserve">110/90-17M/C 60P CTCroR</t>
  </si>
  <si>
    <t xml:space="preserve">200/65R17NHSTLK452 SCD DSBK-R</t>
  </si>
  <si>
    <t xml:space="preserve">100/90-18M/CTL 56P SupCTR</t>
  </si>
  <si>
    <t xml:space="preserve">240/45ZR17M/CTL (82W) DR3-R</t>
  </si>
  <si>
    <t xml:space="preserve">120/70B21M/C REINFTL 68HWW ME888F</t>
  </si>
  <si>
    <t xml:space="preserve">2.50-17M/C 38P SupCTF</t>
  </si>
  <si>
    <t xml:space="preserve">2.75-17M/C REINF 47P SupCTR</t>
  </si>
  <si>
    <t xml:space="preserve">90/90-18M/CTL 51P SupCTR</t>
  </si>
  <si>
    <t xml:space="preserve">200/60R17NHSTLK401 KD RacRSR</t>
  </si>
  <si>
    <t xml:space="preserve">165/55R17NHSTLK0 RacSMR</t>
  </si>
  <si>
    <t xml:space="preserve">165/55R17NHSTLK1 RacSMR</t>
  </si>
  <si>
    <t xml:space="preserve">165/55R17NHSTLK2 RacSMR</t>
  </si>
  <si>
    <t xml:space="preserve">120/70R17NHSTLK350 SC3 DSBK-F</t>
  </si>
  <si>
    <t xml:space="preserve">180/60R17NHSTLK328 SC3 DSBK-R</t>
  </si>
  <si>
    <t xml:space="preserve">200/60R17NHSTLK401 SC3 DSBK-R</t>
  </si>
  <si>
    <t xml:space="preserve">90/90-21M/C 54MM+S (K) 6DayEF</t>
  </si>
  <si>
    <t xml:space="preserve">170/60R17M/CTL 72V(B) TNextR</t>
  </si>
  <si>
    <t xml:space="preserve">120/70ZR19M/CTL 60W(D) Trai2F</t>
  </si>
  <si>
    <t xml:space="preserve">170/60ZR17M/CTL 72W(D) Trai2R</t>
  </si>
  <si>
    <t xml:space="preserve">110/100-18M/C 64MMST 360MSR</t>
  </si>
  <si>
    <t xml:space="preserve">110/100-18M/C 64MMST 360MHR</t>
  </si>
  <si>
    <t xml:space="preserve">120/100-18M/C 68MMST 360MSR</t>
  </si>
  <si>
    <t xml:space="preserve">120/100-18M/C 68MMST 360MHR</t>
  </si>
  <si>
    <t xml:space="preserve">100/100-18M/C 59MMST 360MSR</t>
  </si>
  <si>
    <t xml:space="preserve">100/100-18M/C 59MMST 360MHR</t>
  </si>
  <si>
    <t xml:space="preserve">120/70-14M/CTL 55S DRScoF</t>
  </si>
  <si>
    <t xml:space="preserve">120/70R14M/CTL 55H DRScoF</t>
  </si>
  <si>
    <t xml:space="preserve">120/80-14M/CTL 58S DRScoF</t>
  </si>
  <si>
    <t xml:space="preserve">120/70-15M/CTL 56S DRScoF</t>
  </si>
  <si>
    <t xml:space="preserve">120/70R15M/CTL 56H DRScoF</t>
  </si>
  <si>
    <t xml:space="preserve">120/70R16M/CTL 57H DRScoF</t>
  </si>
  <si>
    <t xml:space="preserve">150/70-13M/CTL 64S DRScoR</t>
  </si>
  <si>
    <t xml:space="preserve">150/70-14M/CTL 66S DRScoR</t>
  </si>
  <si>
    <t xml:space="preserve">160/60R14M/CTL 65H DRScoR</t>
  </si>
  <si>
    <t xml:space="preserve">160/60R15M/CTL 67H DRScoR</t>
  </si>
  <si>
    <t xml:space="preserve">110/70-12TL 47P AngScF</t>
  </si>
  <si>
    <t xml:space="preserve">110/90-12TL 64P AngScF</t>
  </si>
  <si>
    <t xml:space="preserve">120/70-12TL 51P AngScF</t>
  </si>
  <si>
    <t xml:space="preserve">120/70-12TL 51S AngScF</t>
  </si>
  <si>
    <t xml:space="preserve">110/70-13M/CTL 48P AngScF</t>
  </si>
  <si>
    <t xml:space="preserve">110/90-13M/CTL 56P AngScF</t>
  </si>
  <si>
    <t xml:space="preserve">120/70-13M/CTL 53P AngScF</t>
  </si>
  <si>
    <t xml:space="preserve">90/80-14M/C REINFTL 49S AngScF</t>
  </si>
  <si>
    <t xml:space="preserve">120/70-14M/CTL 55P AngScF</t>
  </si>
  <si>
    <t xml:space="preserve">120/70-15M/CTL 56P AngScF</t>
  </si>
  <si>
    <t xml:space="preserve">120/70-15M/CTL 56S AngScF</t>
  </si>
  <si>
    <t xml:space="preserve">100/80-16M/CTL 50P AngScF</t>
  </si>
  <si>
    <t xml:space="preserve">110/70-16M/CTL 52P AngScF</t>
  </si>
  <si>
    <t xml:space="preserve">110/70-16M/CTL 52S AngScF</t>
  </si>
  <si>
    <t xml:space="preserve">120/70-12REINFTL 58P AngScR</t>
  </si>
  <si>
    <t xml:space="preserve">130/70-12REINFTL 62P AngScR</t>
  </si>
  <si>
    <t xml:space="preserve">140/70-12REINFTL 65P AngScR</t>
  </si>
  <si>
    <t xml:space="preserve">130/70-13M/C REINFTL 63P AngScR</t>
  </si>
  <si>
    <t xml:space="preserve">140/60-13M/C REINFTL 63P AngScR</t>
  </si>
  <si>
    <t xml:space="preserve">130/60-13M/C REINFTL 60P AngScR</t>
  </si>
  <si>
    <t xml:space="preserve">140/60-14M/C REINFTL 64P AngScR</t>
  </si>
  <si>
    <t xml:space="preserve">140/70-14M/C REINFTL 68P AngScR</t>
  </si>
  <si>
    <t xml:space="preserve">140/70-14M/C REINFTL 68S AngScR</t>
  </si>
  <si>
    <t xml:space="preserve">150/70-14M/CTL 66P AngScR</t>
  </si>
  <si>
    <t xml:space="preserve">150/70-14M/CTL 66S AngScR</t>
  </si>
  <si>
    <t xml:space="preserve">120/80-16M/CTL 60P AngScR</t>
  </si>
  <si>
    <t xml:space="preserve">130/70-16M/CTL 61P AngScR</t>
  </si>
  <si>
    <t xml:space="preserve">130/70R16M/CTL 61S AngScR</t>
  </si>
  <si>
    <t xml:space="preserve">130/80-16M/CTL 64P AngScR</t>
  </si>
  <si>
    <t xml:space="preserve">140/70-16M/CTL 65P AngScR</t>
  </si>
  <si>
    <t xml:space="preserve">90/90-17M/CTL 49S AngCTF</t>
  </si>
  <si>
    <t xml:space="preserve">260/40VR18M/CTL (84V) ME888R</t>
  </si>
  <si>
    <t xml:space="preserve">120/70R19M/CTL 60V Trai2F</t>
  </si>
  <si>
    <t xml:space="preserve">170/60R17M/CTL 72V Trai2R</t>
  </si>
  <si>
    <t xml:space="preserve">150/70R18M/CTL 70V Trai2R</t>
  </si>
  <si>
    <t xml:space="preserve">150/70R18M/CTL 70V TNextR</t>
  </si>
  <si>
    <t xml:space="preserve">150/70R18M/CTL 70VM+S ScRaSR</t>
  </si>
  <si>
    <t xml:space="preserve">120/70R19M/CTL 60VM+S ScRaSF</t>
  </si>
  <si>
    <t xml:space="preserve">170/60R17M/CTL 72VM+S ScRaSR</t>
  </si>
  <si>
    <t xml:space="preserve">120/70ZR17M/CTL (58W)(D) DR3-F</t>
  </si>
  <si>
    <t xml:space="preserve">110/70R17M/CTL 54HM+S ScRaSF</t>
  </si>
  <si>
    <t xml:space="preserve">150/60R17M/CTL 66HM+S ScRaSR</t>
  </si>
  <si>
    <t xml:space="preserve">130/60B19M/CTL 61H NDragF</t>
  </si>
  <si>
    <t xml:space="preserve">180/55B18M/C REINFTL 80HGT NDrGTR</t>
  </si>
  <si>
    <t xml:space="preserve">120/70ZR17M/CTL (58W)V3 SP DSC3-F</t>
  </si>
  <si>
    <t xml:space="preserve">200/60ZR17M/CTL (80W)V3 SP DSC3-R</t>
  </si>
  <si>
    <t xml:space="preserve">125/75R420NHSTL RSMRaF</t>
  </si>
  <si>
    <t xml:space="preserve">125/75R17NHSTL RSMRaF</t>
  </si>
  <si>
    <t xml:space="preserve">165/55R17NHSTL RSMRaR</t>
  </si>
  <si>
    <t xml:space="preserve">180/60R17NHSTLK328 KD RacRSR</t>
  </si>
  <si>
    <t xml:space="preserve">120/70R17NHSTLK350 SC1 DSBK-R</t>
  </si>
  <si>
    <t xml:space="preserve">120/70R17NHSTLK350 SC2 DSBK-R</t>
  </si>
  <si>
    <t xml:space="preserve">140/60-14M/C REINFTL 64S AngScR</t>
  </si>
  <si>
    <t xml:space="preserve">130/80-15M/CTL 63S AngScR</t>
  </si>
  <si>
    <t xml:space="preserve">100/80R17M/CTL 52H DR3-F</t>
  </si>
  <si>
    <t xml:space="preserve">110/70R17M/CTL 54H DR3-F</t>
  </si>
  <si>
    <t xml:space="preserve">150/60R17M/CTL 66H DR3-R</t>
  </si>
  <si>
    <t xml:space="preserve">200/60R17NHSTLK401 SCRD DBRAIN</t>
  </si>
  <si>
    <t xml:space="preserve">200/60R17NHSTLK401 SCR1 DBRAIN</t>
  </si>
  <si>
    <t xml:space="preserve">120/80-14M/CTL 58P AngScR</t>
  </si>
  <si>
    <t xml:space="preserve">2.75-18M/CTL 42P CTCroF</t>
  </si>
  <si>
    <t xml:space="preserve">90/90-18M/CTL 51P CTCroR</t>
  </si>
  <si>
    <t xml:space="preserve">120/70ZR18M/CTL (59W) MT60WF</t>
  </si>
  <si>
    <t xml:space="preserve">150/70R17M/CTL 69VM+S ScRaSR</t>
  </si>
  <si>
    <t xml:space="preserve">100/90-19M/CTL 57VM+S ScRaSF</t>
  </si>
  <si>
    <t xml:space="preserve">130/80R17M/CTL 65VM+S ScRaSR</t>
  </si>
  <si>
    <t xml:space="preserve">140/80R17M/CTL 69VM+S ScRaSR</t>
  </si>
  <si>
    <t xml:space="preserve">90/90-21M/C 54MMST 360MSF</t>
  </si>
  <si>
    <t xml:space="preserve">140/80-18M/C 70MMST 360MSR</t>
  </si>
  <si>
    <t xml:space="preserve">90/90-21M/C 54MMST 360MHF</t>
  </si>
  <si>
    <t xml:space="preserve">140/80-18M/C 70MMST 360MHR</t>
  </si>
  <si>
    <t xml:space="preserve">90/100-16NHS 51M ScMXSR</t>
  </si>
  <si>
    <t xml:space="preserve">100/90-19NHS 57M ScMXSR</t>
  </si>
  <si>
    <t xml:space="preserve">140/70-13M/CTL 61P AngScR</t>
  </si>
  <si>
    <t xml:space="preserve">90/80-16M/C REINFTL 51S AngScF</t>
  </si>
  <si>
    <t xml:space="preserve">100/80-14M/C REINFTL 54S AngScR</t>
  </si>
  <si>
    <t xml:space="preserve">160/70B17M/C REINFTL 79VGT NDrGTR</t>
  </si>
  <si>
    <t xml:space="preserve">130/90B16M/C REINFTL 73HGT NDrGTR</t>
  </si>
  <si>
    <t xml:space="preserve">100/70-17M/CTL 49S AngCTR</t>
  </si>
  <si>
    <t xml:space="preserve">110/80-14M/C REINFTL 59S AngScR</t>
  </si>
  <si>
    <t xml:space="preserve">90/90-10TL 50J AngScF</t>
  </si>
  <si>
    <t xml:space="preserve">3.50-10REINFTL 59J AngScF</t>
  </si>
  <si>
    <t xml:space="preserve">100/90-10TL 56J AngScF</t>
  </si>
  <si>
    <t xml:space="preserve">3.00-10REINFTL 50J AngScF</t>
  </si>
  <si>
    <t xml:space="preserve">80/100-10TL 46J AngScF</t>
  </si>
  <si>
    <t xml:space="preserve">80/90-10TL 44J AngScF</t>
  </si>
  <si>
    <t xml:space="preserve">100/90-12REINFTL 64P DRScxF</t>
  </si>
  <si>
    <t xml:space="preserve">120/70ZR17M/CTL (58W) DRC2-F</t>
  </si>
  <si>
    <t xml:space="preserve">160/60ZR17M/CTL (69W) DRC2-R</t>
  </si>
  <si>
    <t xml:space="preserve">180/55ZR17M/CTL (73W) DRC2-R</t>
  </si>
  <si>
    <t xml:space="preserve">190/50ZR17M/CTL (73W) DRC2-R</t>
  </si>
  <si>
    <t xml:space="preserve">190/55ZR17M/CTL (75W) DRC2-R</t>
  </si>
  <si>
    <t xml:space="preserve">200/55ZR17M/CTL (78W) DRC2-R</t>
  </si>
  <si>
    <t xml:space="preserve">120/65ZR17M/CTL (56W) DR3-F</t>
  </si>
  <si>
    <t xml:space="preserve">2.50-17M/CTL 38P SupCTF</t>
  </si>
  <si>
    <t xml:space="preserve">2.75-17M/CTL 41P SupCTF</t>
  </si>
  <si>
    <t xml:space="preserve">2.75-17M/C REINFTL 47P SupCTR</t>
  </si>
  <si>
    <t xml:space="preserve">3.00-17M/C 45P SupCTR</t>
  </si>
  <si>
    <t xml:space="preserve">3.00-17M/CTL 45P SupCTR</t>
  </si>
  <si>
    <t xml:space="preserve">2.50-18M/C 40P SupCTF</t>
  </si>
  <si>
    <t xml:space="preserve">120/70R17M/CTL 58HM+S ScRaSF</t>
  </si>
  <si>
    <t xml:space="preserve">160/60R15M/CTL 67HM+S ScRaSR</t>
  </si>
  <si>
    <t xml:space="preserve">110/70-11TL 45L AngScF</t>
  </si>
  <si>
    <t xml:space="preserve">120/70-11REINFTL 56L AngScR</t>
  </si>
  <si>
    <t xml:space="preserve">130/90B16M/CTL 67H MT60WF</t>
  </si>
  <si>
    <t xml:space="preserve">150/80B16M/C REINFTL 77H MT60WR</t>
  </si>
  <si>
    <t xml:space="preserve">110/70-12TL 47P DRScoF</t>
  </si>
  <si>
    <t xml:space="preserve">120/70-12REINFTL 58P DRScoF</t>
  </si>
  <si>
    <t xml:space="preserve">130/70-12REINFTL 62P DRScoR</t>
  </si>
  <si>
    <t xml:space="preserve">110/70-14M/C REINFTL 56S AngScR</t>
  </si>
  <si>
    <t xml:space="preserve">80/80-14M/C REINFTL 43S AngScF</t>
  </si>
  <si>
    <t xml:space="preserve">80/80-17M/C REINFTL 46S AngCTF</t>
  </si>
  <si>
    <t xml:space="preserve">100/80-16M/CTL 50P RODScF</t>
  </si>
  <si>
    <t xml:space="preserve">120/80-16M/CTL 60P RODScR</t>
  </si>
  <si>
    <t xml:space="preserve">100/80-14M/CTL 48P DScooF</t>
  </si>
  <si>
    <t xml:space="preserve">190/55ZR17M/CTL (75W)(D) DR3-R</t>
  </si>
  <si>
    <t xml:space="preserve">110/70-13M/CTL 48S AngScF</t>
  </si>
  <si>
    <t xml:space="preserve">130/70-18M/CTL 63H LaserR</t>
  </si>
  <si>
    <t xml:space="preserve">90/90-21M/CTL 54H TouraF</t>
  </si>
  <si>
    <t xml:space="preserve">110/80-19M/CTL 59H TouraF</t>
  </si>
  <si>
    <t xml:space="preserve">150/70R17M/CTL 69H TouraR</t>
  </si>
  <si>
    <t xml:space="preserve">180/55ZR17M/CTL (73W)V3 SP DSC3-R</t>
  </si>
  <si>
    <t xml:space="preserve">120/70R17NHSTLK350 KD RacRSF</t>
  </si>
  <si>
    <t xml:space="preserve">110/70R17NHSTLSC1 DSBK-F</t>
  </si>
  <si>
    <t xml:space="preserve">140/70R17NHSTLSC1 DSBK-R</t>
  </si>
  <si>
    <t xml:space="preserve">150/70-13M/CTL 64S AngScR</t>
  </si>
  <si>
    <t xml:space="preserve">100/90-19NHS 57M S32MHR</t>
  </si>
  <si>
    <t xml:space="preserve">80/100-21NHS 51R ScCMHF</t>
  </si>
  <si>
    <t xml:space="preserve">100/100-18NHS 59R ScCMHR</t>
  </si>
  <si>
    <t xml:space="preserve">120/60ZR17M/CTL (55W) AnGT2F</t>
  </si>
  <si>
    <t xml:space="preserve">120/70ZR17M/CTL (58W) AnGT2F</t>
  </si>
  <si>
    <t xml:space="preserve">120/70ZR17M/CTL (58W)(A) AnGT2F</t>
  </si>
  <si>
    <t xml:space="preserve">120/70R19M/CTL 60V AnGT2F</t>
  </si>
  <si>
    <t xml:space="preserve">150/70ZR17M/CTL (69W) AnGT2R</t>
  </si>
  <si>
    <t xml:space="preserve">160/60ZR17M/CTL (69W) AnGT2R</t>
  </si>
  <si>
    <t xml:space="preserve">170/60R17M/CTL 72V AnGT2R</t>
  </si>
  <si>
    <t xml:space="preserve">170/60ZR17M/CTL (72W) AnGT2R</t>
  </si>
  <si>
    <t xml:space="preserve">180/55ZR17M/CTL (73W) AnGT2R</t>
  </si>
  <si>
    <t xml:space="preserve">180/55ZR17M/CTL (73W)(A) AnGT2R</t>
  </si>
  <si>
    <t xml:space="preserve">190/50ZR17M/CTL (73W) AnGT2R</t>
  </si>
  <si>
    <t xml:space="preserve">190/50ZR17M/CTL (73W)(A) AnGT2R</t>
  </si>
  <si>
    <t xml:space="preserve">190/55ZR17M/CTL (75W) AnGT2R</t>
  </si>
  <si>
    <t xml:space="preserve">190/55ZR17M/CTL (75W)(A) AnGT2R</t>
  </si>
  <si>
    <t xml:space="preserve">120/70R18M/CTL 59VM+S ScRaSF</t>
  </si>
  <si>
    <t xml:space="preserve">180/55R17M/CTL 73VM+S ScRaSR</t>
  </si>
  <si>
    <t xml:space="preserve">190/55ZR17M/CTL (75W)V3 SP DSC3-R</t>
  </si>
  <si>
    <t xml:space="preserve">110/70-16M/CTL 52S RODScF</t>
  </si>
  <si>
    <t xml:space="preserve">110/70R17NHSTLK469 SCR1 DBRAIF</t>
  </si>
  <si>
    <t xml:space="preserve">130/70-18M/CTL 63H PhantR</t>
  </si>
  <si>
    <t xml:space="preserve">90/80-17M/CTL 46S DRC2-F</t>
  </si>
  <si>
    <t xml:space="preserve">110/70-17M/CTL 54H ROD01F</t>
  </si>
  <si>
    <t xml:space="preserve">100/90-19M/CTL 57V ROD01F</t>
  </si>
  <si>
    <t xml:space="preserve">130/70-17M/CTL 62H ROD01R</t>
  </si>
  <si>
    <t xml:space="preserve">130/70R17M/CTL 62V ME888F</t>
  </si>
  <si>
    <t xml:space="preserve">140/75R17M/CTL 67V ME888F</t>
  </si>
  <si>
    <t xml:space="preserve">140/75ZR17M/CTL 67W ME888F</t>
  </si>
  <si>
    <t xml:space="preserve">120/70ZR18M/CTL (59W) ME888F</t>
  </si>
  <si>
    <t xml:space="preserve">130/60VR18M/CTL (60V) ME888F</t>
  </si>
  <si>
    <t xml:space="preserve">130/70R18M/CTL 63V ME888F</t>
  </si>
  <si>
    <t xml:space="preserve">120/70-21M/CTL 62V ME888F</t>
  </si>
  <si>
    <t xml:space="preserve">160/80-15M/C 74S ME888R</t>
  </si>
  <si>
    <t xml:space="preserve">200/70B15M/CTL 82H ME888R</t>
  </si>
  <si>
    <t xml:space="preserve">140/80B17M/CTL 69V ME888R</t>
  </si>
  <si>
    <t xml:space="preserve">170/60R17M/C REINFTL 78V ME888R</t>
  </si>
  <si>
    <t xml:space="preserve">210/50ZR17M/CTL (78W) ME888R</t>
  </si>
  <si>
    <t xml:space="preserve">160/60R18M/C REINFTL 76V ME888R</t>
  </si>
  <si>
    <t xml:space="preserve">210/40R18M/CTL 73H ME888R</t>
  </si>
  <si>
    <t xml:space="preserve">280/35VR18M/CTL (84V) ME888R</t>
  </si>
  <si>
    <t xml:space="preserve">300/35VR18M/CTL (87V) ME888R</t>
  </si>
  <si>
    <t xml:space="preserve">110/70ZR17M/CTL 54WV3 SC1 DSC3-F</t>
  </si>
  <si>
    <t xml:space="preserve">140/70ZR17M/CTL 66WV3 SC1 DSC3-R</t>
  </si>
  <si>
    <t xml:space="preserve">120/70R19M/CTL 60VM+S KaroSF</t>
  </si>
  <si>
    <t xml:space="preserve">90/90-21M/CTL 54VM+S KaroSF</t>
  </si>
  <si>
    <t xml:space="preserve">150/70R17M/CTL 69VM+S KaroSR</t>
  </si>
  <si>
    <t xml:space="preserve">170/60R17M/CTL 72VM+S KaroSR</t>
  </si>
  <si>
    <t xml:space="preserve">150/70R18M/CTL 70VM+S KaroSR</t>
  </si>
  <si>
    <t xml:space="preserve">200/65R17NHSTLK452 KD RacRSR</t>
  </si>
  <si>
    <t xml:space="preserve">100/90-16M/CTL 54H ROD01F</t>
  </si>
  <si>
    <t xml:space="preserve">110/90-16M/CTL 59V ROD01F</t>
  </si>
  <si>
    <t xml:space="preserve">100/80-17M/CTL 52H ROD01F</t>
  </si>
  <si>
    <t xml:space="preserve">110/80-17M/CTL 57H ROD01F</t>
  </si>
  <si>
    <t xml:space="preserve">100/90-18M/CTL 56H ROD01F</t>
  </si>
  <si>
    <t xml:space="preserve">100/90-18M/CTL 56V ROD01F</t>
  </si>
  <si>
    <t xml:space="preserve">130/90-16M/CTL 67V ROD01R</t>
  </si>
  <si>
    <t xml:space="preserve">130/80-17M/CTL 65H ROD01R</t>
  </si>
  <si>
    <t xml:space="preserve">140/70-17M/CTL 66H ROD01R</t>
  </si>
  <si>
    <t xml:space="preserve">140/80-17M/CTL 69V ROD01R</t>
  </si>
  <si>
    <t xml:space="preserve">150/70-17M/CTL 69V ROD01R</t>
  </si>
  <si>
    <t xml:space="preserve">110/90-18M/CTL 61H ROD01R</t>
  </si>
  <si>
    <t xml:space="preserve">120/80-18M/CTL 62H ROD01R</t>
  </si>
  <si>
    <t xml:space="preserve">3.25-19M/CTL 54V ROD01F</t>
  </si>
  <si>
    <t xml:space="preserve">4.00-18M/CTL 64V ROD01R</t>
  </si>
  <si>
    <t xml:space="preserve">130/70-17M/CTL 62S AngCTR</t>
  </si>
  <si>
    <t xml:space="preserve">180/55ZR17M/CTL (73W)(D) DR3-R</t>
  </si>
  <si>
    <t xml:space="preserve">120/70R17M/CTL 58VM+S ScRaSF</t>
  </si>
  <si>
    <t xml:space="preserve">110/80R19M/CTL 59HM+S ScRaSF</t>
  </si>
  <si>
    <t xml:space="preserve">70/100-19NHS 42M ScXMSF</t>
  </si>
  <si>
    <t xml:space="preserve">110/90-19NHS 62M ScMXSR</t>
  </si>
  <si>
    <t xml:space="preserve">120/90-18M/C 65RM+S 6DayER</t>
  </si>
  <si>
    <t xml:space="preserve">120/70ZR17M/CTL 58WV3 SC1 DSC3-F</t>
  </si>
  <si>
    <t xml:space="preserve">120/70ZR17M/CTL 58WV3 SC2 DSC3-F</t>
  </si>
  <si>
    <t xml:space="preserve">160/60ZR17M/CTL 69WV3 SC1 DSC3-R</t>
  </si>
  <si>
    <t xml:space="preserve">160/60ZR17M/CTL 69WV3 SC2 DSC3-R</t>
  </si>
  <si>
    <t xml:space="preserve">180/55ZR17M/CTL 73WV3 SC2 DSC3-R</t>
  </si>
  <si>
    <t xml:space="preserve">180/60ZR17M/CTL 75WV3 SC1 DSC3-R</t>
  </si>
  <si>
    <t xml:space="preserve">180/60ZR17M/CTL 75WV3 SC2 DSC3-R</t>
  </si>
  <si>
    <t xml:space="preserve">190/55ZR17M/CTL 75WV3 SC2 DSC3-R</t>
  </si>
  <si>
    <t xml:space="preserve">200/55ZR17M/CTL 78WV3 SC1 DSC3-R</t>
  </si>
  <si>
    <t xml:space="preserve">200/55ZR17M/CTL 78WV3 SC2 DSC3-R</t>
  </si>
  <si>
    <t xml:space="preserve">190/50ZR17M/CTL (73W)V3 SP DSC3-R</t>
  </si>
  <si>
    <t xml:space="preserve">200/55ZR17M/CTL (78W)V3 SP DSC3-R</t>
  </si>
  <si>
    <t xml:space="preserve">120/70R17NHSTLKR1 RacRaF</t>
  </si>
  <si>
    <t xml:space="preserve">190/60R17NHSTLKR1 RacRaR</t>
  </si>
  <si>
    <t xml:space="preserve">2.50-17M/C REINF 43P AngCTF</t>
  </si>
  <si>
    <t xml:space="preserve">2.75-17M/C REINF 47P AngCTR</t>
  </si>
  <si>
    <t xml:space="preserve">100/90-14M/C REINFTL 57P AngScR</t>
  </si>
  <si>
    <t xml:space="preserve">120/70-15M/CTL 56S RODScF</t>
  </si>
  <si>
    <t xml:space="preserve">150/70-14M/CTL 66S RODScR</t>
  </si>
  <si>
    <t xml:space="preserve">120/70ZR17M/CTL(58W)V3SP(C)DSC3-F</t>
  </si>
  <si>
    <t xml:space="preserve">200/60ZR17M/CTL(80W)V3SP(C)DSC3-R</t>
  </si>
  <si>
    <t xml:space="preserve">180/55ZR17M/CTL (73W)(C) MT60WR</t>
  </si>
  <si>
    <t xml:space="preserve">125/70R17NHSTLK514 SCD DSBK-F</t>
  </si>
  <si>
    <t xml:space="preserve">130/90-16M/CTL 67H ROD01F</t>
  </si>
  <si>
    <t xml:space="preserve">150/80-16M/CTL 71H ROD01R</t>
  </si>
  <si>
    <t xml:space="preserve">90/90-21M/C 54S TouraF</t>
  </si>
  <si>
    <t xml:space="preserve">120/70R17M/CTL 58VM+S KaroSF</t>
  </si>
  <si>
    <t xml:space="preserve">180/55R17M/CTL 73VM+S KaroSR</t>
  </si>
  <si>
    <t xml:space="preserve">130/80R17M/CTL 65VM+S KaroSR</t>
  </si>
  <si>
    <t xml:space="preserve">110/85-19NHS 61M ScXMSR</t>
  </si>
  <si>
    <t xml:space="preserve">80/100-21M/C 51MMST S32MHF</t>
  </si>
  <si>
    <t xml:space="preserve">110/100-18NHS 64M ScCMSR</t>
  </si>
  <si>
    <t xml:space="preserve">120/100-18NHS 68M ScCMSR</t>
  </si>
  <si>
    <t xml:space="preserve">120/80-14M/CTL 58S RODScF</t>
  </si>
  <si>
    <t xml:space="preserve">150/70-13M/CTL 64S RODScR</t>
  </si>
  <si>
    <t xml:space="preserve">110/70R17M/CTL 54H(RN) DRII-F</t>
  </si>
  <si>
    <t xml:space="preserve">150/60R17M/CTL 66H(RN) DRII-R</t>
  </si>
  <si>
    <t xml:space="preserve">180/55ZR17M/CTL (73W)(E) ROD01R</t>
  </si>
  <si>
    <t xml:space="preserve">140/70-17M/CTL 66S AngCTR</t>
  </si>
  <si>
    <t xml:space="preserve">150/70-14M/CTL 66S(B) AngScR</t>
  </si>
  <si>
    <t xml:space="preserve">190/60R17NHSTLK328 KRD RacRaR</t>
  </si>
  <si>
    <t xml:space="preserve">120/70R17NHSTLV2 SC2 DSC2-F</t>
  </si>
  <si>
    <t xml:space="preserve">130/80B17M/CTL 65H CruisF</t>
  </si>
  <si>
    <t xml:space="preserve">180/65B16M/C REINFTL 81H CruisR</t>
  </si>
  <si>
    <t xml:space="preserve">130/60B19M/CTL 61H CruisF</t>
  </si>
  <si>
    <t xml:space="preserve">150/80B16M/C REINFTL 77H CruisR</t>
  </si>
  <si>
    <t xml:space="preserve">100/90-19M/CTL 57H CruisF</t>
  </si>
  <si>
    <t xml:space="preserve">160/70B17M/C REINFTL 79V CruisR</t>
  </si>
  <si>
    <t xml:space="preserve">130/90B16M/C REINFTL 73H CruisR</t>
  </si>
  <si>
    <t xml:space="preserve">150/80-16M/CTL 71H CruisF</t>
  </si>
  <si>
    <t xml:space="preserve">180/70B16M/CTL 77H CruisR</t>
  </si>
  <si>
    <t xml:space="preserve">180/55B18M/C REINFTL 80H CruisR</t>
  </si>
  <si>
    <t xml:space="preserve">120/70ZR19M/CTL (60W) CruisF</t>
  </si>
  <si>
    <t xml:space="preserve">240/40VR18M/CTL (79V) CruisR</t>
  </si>
  <si>
    <t xml:space="preserve">180/55ZR18M/CTL (74W) CruisR</t>
  </si>
  <si>
    <t xml:space="preserve">180/60R16M/C REINFTL 80H CruisR</t>
  </si>
  <si>
    <t xml:space="preserve">200/55R17M/CTL 78V CruisR</t>
  </si>
  <si>
    <t xml:space="preserve">MU85B16M/CTL 77H CruisR</t>
  </si>
  <si>
    <t xml:space="preserve">150/70B18M/C REINFTL 76H CruisR</t>
  </si>
  <si>
    <t xml:space="preserve">MT90B16M/CTL 74H CruisR</t>
  </si>
  <si>
    <t xml:space="preserve">130/70R18M/CTL 63H CruisF</t>
  </si>
  <si>
    <t xml:space="preserve">200/55R16M/CTL 77H CruisR</t>
  </si>
  <si>
    <t xml:space="preserve">130/90B16M/C REINFTL 73H CruisF</t>
  </si>
  <si>
    <t xml:space="preserve">3.00-18M/C REINFTL 52P ME22</t>
  </si>
  <si>
    <t xml:space="preserve">3.50-18M/C REINF 62P ME22</t>
  </si>
  <si>
    <t xml:space="preserve">120/70ZR17M/CTL (58W)(A) M9-F</t>
  </si>
  <si>
    <t xml:space="preserve">180/55ZR17M/CTL (73W)(A) M9-R</t>
  </si>
  <si>
    <t xml:space="preserve">110/70R17NHSTLV2 SC1 DSC2-F</t>
  </si>
  <si>
    <t xml:space="preserve">70/90-17M/CTL 38S DRSpoF</t>
  </si>
  <si>
    <t xml:space="preserve">80/90-17M/CTL 44S DRSpoR</t>
  </si>
  <si>
    <t xml:space="preserve">90/80-17M/CTL 46S DRSpoR</t>
  </si>
  <si>
    <t xml:space="preserve">80/80-17M/C REINFTL 46S DRSpoF</t>
  </si>
  <si>
    <t xml:space="preserve">100/80-17M/CTL 52S DRSpoF</t>
  </si>
  <si>
    <t xml:space="preserve">110/70-17M/CTL 54S DRSpoF</t>
  </si>
  <si>
    <t xml:space="preserve">120/70-17M/CTL 58S DRSpoR</t>
  </si>
  <si>
    <t xml:space="preserve">130/70-17M/CTL 62S DRSpoR</t>
  </si>
  <si>
    <t xml:space="preserve">140/70-17M/CTL 66S DRSpoR</t>
  </si>
  <si>
    <t xml:space="preserve">150/60-17M/CTL 66S DRSpoR</t>
  </si>
  <si>
    <t xml:space="preserve">120/70ZR17M/CTL (58W) M9-F</t>
  </si>
  <si>
    <t xml:space="preserve">160/60ZR17M/CTL (69W) M9-R</t>
  </si>
  <si>
    <t xml:space="preserve">180/55ZR17M/CTL (73W) M9-R</t>
  </si>
  <si>
    <t xml:space="preserve">190/50ZR17M/CTL (73W) M9-R</t>
  </si>
  <si>
    <t xml:space="preserve">190/55ZR17M/CTL (75W) M9-R</t>
  </si>
  <si>
    <t xml:space="preserve">200/55ZR17M/CTL (78W) M9-R</t>
  </si>
  <si>
    <t xml:space="preserve">90/90-21M/CTL 54H(E) MT60-F</t>
  </si>
  <si>
    <t xml:space="preserve">120/90-17M/C 64S(E) MT60-R</t>
  </si>
  <si>
    <t xml:space="preserve">120/80-12TL 55P DRScxR</t>
  </si>
  <si>
    <t xml:space="preserve">110/70ZR17M/CTL 54W M9-F</t>
  </si>
  <si>
    <t xml:space="preserve">150/60ZR17M/CTL 66W M9-R</t>
  </si>
  <si>
    <t xml:space="preserve">180/60ZR17M/CTL (75W) M9-R</t>
  </si>
  <si>
    <t xml:space="preserve">110/70R17M/CTL 54H M9-F</t>
  </si>
  <si>
    <t xml:space="preserve">140/70R17M/CTL 66H M9-R</t>
  </si>
  <si>
    <t xml:space="preserve">150/60R17M/CTL 66H M9-R</t>
  </si>
  <si>
    <t xml:space="preserve">180/55ZR17M/CTL(73W)(HWM-B)ROD01R</t>
  </si>
  <si>
    <t xml:space="preserve">90/90-19M/CTL 52H ROD01F</t>
  </si>
  <si>
    <t xml:space="preserve">110/70-17M/CTL 54S DRC2-R</t>
  </si>
  <si>
    <t xml:space="preserve">200/60R17NHSTLK401 K0 RacRSR</t>
  </si>
  <si>
    <t xml:space="preserve">260/40VR18M/CTL (84V) CruisR</t>
  </si>
  <si>
    <t xml:space="preserve">110/70ZR17M/CTL 54WV3 SP DSC3-F</t>
  </si>
  <si>
    <t xml:space="preserve">140/70ZR17M/CTL 66WV3 SP DSC3-R</t>
  </si>
  <si>
    <t xml:space="preserve">70/100-19NHS 42M S32MHF</t>
  </si>
  <si>
    <t xml:space="preserve">90/100-16NHS 51M S32MHR</t>
  </si>
  <si>
    <t xml:space="preserve">90/90-14M/CTL 46P* AngScF</t>
  </si>
  <si>
    <t xml:space="preserve">100/90-14M/C REINFTL 57P* AngScR</t>
  </si>
  <si>
    <t xml:space="preserve">90/90-12TL 44J* AngScF</t>
  </si>
  <si>
    <t xml:space="preserve">100/90-10TL 56J* AngScR</t>
  </si>
  <si>
    <t xml:space="preserve">3.50-10REINFTL 59J* AngScF</t>
  </si>
  <si>
    <t xml:space="preserve">90/90-10TL 50J* AngScF</t>
  </si>
  <si>
    <t xml:space="preserve">80/100-12NHS 50M ScMXSR</t>
  </si>
  <si>
    <t xml:space="preserve">90/90-21M/C 54H KaroSF</t>
  </si>
  <si>
    <t xml:space="preserve">150/70R18M/C 70H KaroSR</t>
  </si>
  <si>
    <t xml:space="preserve">90/90-21M/CTL 54H KaroSF</t>
  </si>
  <si>
    <t xml:space="preserve">150/70R18M/CTL 70H KaroSR</t>
  </si>
  <si>
    <t xml:space="preserve">100/80-17M/CTL 52S DRC2-R</t>
  </si>
  <si>
    <t xml:space="preserve">3.00-18M/C REINFTL 52P CiDemR</t>
  </si>
  <si>
    <t xml:space="preserve">100/90-19M/CTL 57H NDragF</t>
  </si>
  <si>
    <t xml:space="preserve">100/90-19M/CTL 57H ME888F</t>
  </si>
  <si>
    <t xml:space="preserve">90/90-21M/CTL 54V Trai2F</t>
  </si>
  <si>
    <t xml:space="preserve">200/55ZR17M/CTL(78W)V3SP(E)DSC3-R</t>
  </si>
  <si>
    <t xml:space="preserve">200/65R17NHSTLSC0 K452 DSBK-R</t>
  </si>
  <si>
    <t xml:space="preserve">125/70R17NHSTLSC1 DSBK-F</t>
  </si>
  <si>
    <t xml:space="preserve">100/90-19M/CTL 57H TouraF</t>
  </si>
  <si>
    <t xml:space="preserve">120/70ZR17M/CTL (58W)(K) DR3-F</t>
  </si>
  <si>
    <t xml:space="preserve">130/60B19M/C REINFTL 66H CruisF</t>
  </si>
  <si>
    <t xml:space="preserve">80/100-18M/CTL 47P ROD01F</t>
  </si>
  <si>
    <t xml:space="preserve">90/90-18M/CTL 51P ROD01R</t>
  </si>
  <si>
    <t xml:space="preserve">70/90-14M/CTL 34S DRSpoF</t>
  </si>
  <si>
    <t xml:space="preserve">80/90-14M/CTL 40S DRSpoF</t>
  </si>
  <si>
    <t xml:space="preserve">90/90-14M/CTL 46S DRSpoR</t>
  </si>
  <si>
    <t xml:space="preserve">100/90-14M/C REINFTL 57S DRSpoR</t>
  </si>
  <si>
    <t xml:space="preserve">140/80-18M/C 70MM+S SOFT 6DayER</t>
  </si>
  <si>
    <t xml:space="preserve">110/70-13M/CTL 48P RODScF</t>
  </si>
  <si>
    <t xml:space="preserve">90/80-14M/C REINFTL 49S DRC2-F</t>
  </si>
  <si>
    <t xml:space="preserve">80/80-14M/C REINFTL 43S DRSpoF</t>
  </si>
  <si>
    <t xml:space="preserve">90/80-14M/C REINFTL 49S DRSpoF</t>
  </si>
  <si>
    <t xml:space="preserve">100/80-14M/CTL 48S DRSpoR</t>
  </si>
  <si>
    <t xml:space="preserve">110/70-17M/CTL 54SM+S KaroSF</t>
  </si>
  <si>
    <t xml:space="preserve">140/70-17M/CTL 66SM+S KaroSR</t>
  </si>
  <si>
    <t xml:space="preserve">130/70-16M/CTL 61S AngScR</t>
  </si>
  <si>
    <t xml:space="preserve">140/70R17M/CTL 66H DR3-R</t>
  </si>
  <si>
    <t xml:space="preserve">125/75R17NHSTLK420 KD RacSMF</t>
  </si>
  <si>
    <t xml:space="preserve">160/60R18M/CTL 70V CruisF</t>
  </si>
  <si>
    <t xml:space="preserve">120/70ZR17M/CTL (58W)(E) ROD01F</t>
  </si>
  <si>
    <t xml:space="preserve">110/70-14M/CTL 50P DRScoF</t>
  </si>
  <si>
    <t xml:space="preserve">130/70-13M/C REINFTL 63P DRScoR</t>
  </si>
  <si>
    <t xml:space="preserve">100/80-17M/CTL 52H CruisF</t>
  </si>
  <si>
    <t xml:space="preserve">140/75R15M/CTL 65H CruisR</t>
  </si>
  <si>
    <t xml:space="preserve">120/80-18M/C 62RMST 360MSR</t>
  </si>
  <si>
    <t xml:space="preserve">120/70R17M/CTL 58H DRScoF</t>
  </si>
  <si>
    <t xml:space="preserve">180/60R16M/C REINFTL 80H(I)CruisR</t>
  </si>
  <si>
    <t xml:space="preserve">110/80R18M/CTL 58HM+S ScRaSF</t>
  </si>
  <si>
    <t xml:space="preserve">120/70-16M/CTL 57P SpDemF</t>
  </si>
  <si>
    <t xml:space="preserve">140/70-15M/C REINFTL 69P SpDemR</t>
  </si>
  <si>
    <t xml:space="preserve">130/80-17M/CTL 65H SpDemR</t>
  </si>
  <si>
    <t xml:space="preserve">80/90-21M/C 48RM+S 6DayEF</t>
  </si>
  <si>
    <t xml:space="preserve">2.50-10NHS 33J ScXMSF</t>
  </si>
  <si>
    <t xml:space="preserve">60/100-12NHS 36M ScXMSF</t>
  </si>
  <si>
    <t xml:space="preserve">2.75-10NHS 37J ScXMSR</t>
  </si>
  <si>
    <t xml:space="preserve">80/100-12NHS 50M ScXMSR</t>
  </si>
  <si>
    <t xml:space="preserve">90/100-14NHS 49M ScXMSR</t>
  </si>
  <si>
    <t xml:space="preserve">90/100-21M/C 57MM+S S32MHF</t>
  </si>
  <si>
    <t xml:space="preserve">110/90-19NHS 62M S32MHR</t>
  </si>
  <si>
    <t xml:space="preserve">120/80-19NHS 63M S32MHR</t>
  </si>
  <si>
    <t xml:space="preserve">100/80-10TL 53L AngScF</t>
  </si>
  <si>
    <t xml:space="preserve">110/80-10TL 58J AngScF</t>
  </si>
  <si>
    <t xml:space="preserve">120/70-10REINFTL 54L AngScR</t>
  </si>
  <si>
    <t xml:space="preserve">120/90-10TL 66J AngScF</t>
  </si>
  <si>
    <t xml:space="preserve">130/70-10REINFTL 59L AngScR</t>
  </si>
  <si>
    <t xml:space="preserve">130/90-10TL 61J AngScF</t>
  </si>
  <si>
    <t xml:space="preserve">130/70-11REINFTL 60L AngScR</t>
  </si>
  <si>
    <t xml:space="preserve">110/100-12TL 67J AngScF</t>
  </si>
  <si>
    <t xml:space="preserve">3.00-10REINFTL 50J RODScR</t>
  </si>
  <si>
    <t xml:space="preserve">90/90-10TL 50J RODScR</t>
  </si>
  <si>
    <t xml:space="preserve">100/80-10TL 53L RODScR</t>
  </si>
  <si>
    <t xml:space="preserve">100/90-10REINFTL 61J RODScR</t>
  </si>
  <si>
    <t xml:space="preserve">110/80-10TL 58L RODScR</t>
  </si>
  <si>
    <t xml:space="preserve">120/90-10TL 66L RODScR</t>
  </si>
  <si>
    <t xml:space="preserve">130/70-10REINFTL 59L RODScR</t>
  </si>
  <si>
    <t xml:space="preserve">130/90-10TL 61L RODScR</t>
  </si>
  <si>
    <t xml:space="preserve">130/70-11REINFTL 60L RODScR</t>
  </si>
  <si>
    <t xml:space="preserve">110/90-12TL 64P RODScF</t>
  </si>
  <si>
    <t xml:space="preserve">120/70-12TL 51P RODScF</t>
  </si>
  <si>
    <t xml:space="preserve">130/70-12REINFTL 62L RODScR</t>
  </si>
  <si>
    <t xml:space="preserve">130/70-12REINFTL 62P RODScR</t>
  </si>
  <si>
    <t xml:space="preserve">140/70-12TL 60L RODScR</t>
  </si>
  <si>
    <t xml:space="preserve">110/90-13M/CTL 56P RODScF</t>
  </si>
  <si>
    <t xml:space="preserve">120/70-13M/CTL 53L RODScR</t>
  </si>
  <si>
    <t xml:space="preserve">130/60-13M/CTL 53P RODScF</t>
  </si>
  <si>
    <t xml:space="preserve">140/60-13M/CTL 57L RODScR</t>
  </si>
  <si>
    <t xml:space="preserve">90/90-14M/CTL 46P RODScF</t>
  </si>
  <si>
    <t xml:space="preserve">120/70-14M/CTL 55S RODScF</t>
  </si>
  <si>
    <t xml:space="preserve">110/70-16M/CTL 52P RODScF</t>
  </si>
  <si>
    <t xml:space="preserve">140/70-12REINFTL 65P RODScR</t>
  </si>
  <si>
    <t xml:space="preserve">130/70-13M/C REINFTL 63P RODScR</t>
  </si>
  <si>
    <t xml:space="preserve">100/90-14M/C REINFTL 57P RODScR</t>
  </si>
  <si>
    <t xml:space="preserve">140/60-14M/C REINFTL 64P RODScR</t>
  </si>
  <si>
    <t xml:space="preserve">140/70-14M/C REINFTL 68P RODScR</t>
  </si>
  <si>
    <t xml:space="preserve">130/70-16M/CTL 61S RODScR</t>
  </si>
  <si>
    <t xml:space="preserve">130/80-16M/CTL 64P RODScR</t>
  </si>
  <si>
    <t xml:space="preserve">140/70-16M/CTL 65P RODScR</t>
  </si>
  <si>
    <t xml:space="preserve">110/80-14M/CTL 53PDP TouraF</t>
  </si>
  <si>
    <t xml:space="preserve">130/70-13M/CTL 57PDP TouraR</t>
  </si>
  <si>
    <t xml:space="preserve">90/90-21M/CTL 54VM+S (A) ScRaSF</t>
  </si>
  <si>
    <t xml:space="preserve">120/70ZR17M/CTL (58W) R01seF</t>
  </si>
  <si>
    <t xml:space="preserve">160/60ZR17M/CTL (69W) R01seR</t>
  </si>
  <si>
    <t xml:space="preserve">180/55ZR17M/CTL (73W) R01seR</t>
  </si>
  <si>
    <t xml:space="preserve">190/50ZR17M/CTL (73W) R01seR</t>
  </si>
  <si>
    <t xml:space="preserve">190/55ZR17M/CTL (75W) R01seR</t>
  </si>
  <si>
    <t xml:space="preserve">100/90-18M/CTL 56H SpDemF</t>
  </si>
  <si>
    <t xml:space="preserve">100/90-17M/CTL 55P SupCTR</t>
  </si>
  <si>
    <t xml:space="preserve">140/80-18M/C70MM+SSUPERSOFT6DayER</t>
  </si>
  <si>
    <t xml:space="preserve">130/70ZR16M/CTL (61W) DR3-F</t>
  </si>
  <si>
    <t xml:space="preserve">130/70ZR16M/CTL (61W) M7-F</t>
  </si>
  <si>
    <t xml:space="preserve">125/70R17NHSTLSC2 DSBK-F</t>
  </si>
  <si>
    <t xml:space="preserve">125/70R17NHSTLSC3 DSBK-F</t>
  </si>
  <si>
    <t xml:space="preserve">140/70R17NHSTLSC2 DSBK-R</t>
  </si>
  <si>
    <t xml:space="preserve">190/60R17NHSTLSC3 DSBK-R</t>
  </si>
  <si>
    <t xml:space="preserve">200/65R17NHSTLSC1 DSBK-R</t>
  </si>
  <si>
    <t xml:space="preserve">200/65R17NHSTLSC3 DSBK-R</t>
  </si>
  <si>
    <t xml:space="preserve">110/80R19M/CTL 59RMST ScRalF</t>
  </si>
  <si>
    <t xml:space="preserve">150/70R17M/CTL 69RM+S ScRalR</t>
  </si>
  <si>
    <t xml:space="preserve">190/60R17NHSTLSC0 DSBK-R</t>
  </si>
  <si>
    <t xml:space="preserve">190/60R17NHSTLSC1 DSBK-R</t>
  </si>
  <si>
    <t xml:space="preserve">190/60R17NHSTLSCD DSBK-R</t>
  </si>
  <si>
    <t xml:space="preserve">200/55ZR17M/CTL (78W)K401K1RacRRR</t>
  </si>
  <si>
    <t xml:space="preserve">200/55ZR17M/CTL (78W)K401K2RacRRR</t>
  </si>
  <si>
    <t xml:space="preserve">200/55ZR17M/CTL (78W)K401K3RacRRR</t>
  </si>
  <si>
    <t xml:space="preserve">80/100-21M/C 51RMST ScCMSF</t>
  </si>
  <si>
    <t xml:space="preserve">120/70R17NHSTL RacTDF</t>
  </si>
  <si>
    <t xml:space="preserve">180/55R17NHSTL RacTDR</t>
  </si>
  <si>
    <t xml:space="preserve">190/55R17NHSTL RacTDR</t>
  </si>
  <si>
    <t xml:space="preserve">200/55R17NHSTL RacTDR</t>
  </si>
  <si>
    <t xml:space="preserve">125/75R17NHSTLK1 RacSMF</t>
  </si>
  <si>
    <t xml:space="preserve">125/75R17NHSTLK2 RacSMF</t>
  </si>
  <si>
    <t xml:space="preserve">100/90-19M/C 57S TouraF</t>
  </si>
  <si>
    <t xml:space="preserve">90/90-21M/C 54RMST Race ScRalF</t>
  </si>
  <si>
    <t xml:space="preserve">120/70ZR17M/CTL (58W)(N) TNextF</t>
  </si>
  <si>
    <t xml:space="preserve">110/70R17M/CTL 54H(R) DR3-F</t>
  </si>
  <si>
    <t xml:space="preserve">140/70R17M/CTL 66H(R) DR3-R</t>
  </si>
  <si>
    <t xml:space="preserve">120/70ZR17M/CTL (58W)(E) DR3-F</t>
  </si>
  <si>
    <t xml:space="preserve">190/55ZR17M/CTL (75W)(E) DR3-R</t>
  </si>
  <si>
    <t xml:space="preserve">120/80-10NHSTLSC1 DSBK-R</t>
  </si>
  <si>
    <t xml:space="preserve">120/80-10NHSTLSCR1 DBRAIN</t>
  </si>
  <si>
    <t xml:space="preserve">100/80-10NHSTLSCR1 DBRAIF</t>
  </si>
  <si>
    <t xml:space="preserve">100/80-10NHSTLSC1 DSBK-F</t>
  </si>
  <si>
    <t xml:space="preserve">200/65R17NHSTLSCX DSBK-R</t>
  </si>
  <si>
    <t xml:space="preserve">200/65R17NHSTLSC2 DSBK-R</t>
  </si>
  <si>
    <t xml:space="preserve">180/60R17NHSTL RacTDR</t>
  </si>
  <si>
    <t xml:space="preserve">120/70-15M/CTL 56P KaroSF</t>
  </si>
  <si>
    <t xml:space="preserve">140/70-14M/CTL 62P KaroSR</t>
  </si>
  <si>
    <t xml:space="preserve">180/60ZR17M/CTL (75W)KD RacRRR</t>
  </si>
  <si>
    <t xml:space="preserve">130/80B17M/CTL 65H(I) CruisF</t>
  </si>
  <si>
    <t xml:space="preserve">200/65R17NHSTLK620 SCD DSBK-R</t>
  </si>
  <si>
    <t xml:space="preserve">170/60R17M/CTL 72V TNxt2R</t>
  </si>
  <si>
    <t xml:space="preserve">110/80R19M/CTL 59V TNxt2F</t>
  </si>
  <si>
    <t xml:space="preserve">170/60ZR17M/CTL 72W TNxt2R</t>
  </si>
  <si>
    <t xml:space="preserve">90/90-21M/CTL 54V TNxt2F</t>
  </si>
  <si>
    <t xml:space="preserve">100/90-19M/CTL 57V TNxt2F</t>
  </si>
  <si>
    <t xml:space="preserve">150/70R18M/CTL 70V TNxt2R</t>
  </si>
  <si>
    <t xml:space="preserve">150/70R17M/CTL 69V TNxt2R</t>
  </si>
  <si>
    <t xml:space="preserve">120/70R19M/CTL 60V(B) TNxt2F</t>
  </si>
  <si>
    <t xml:space="preserve">170/60R17M/CTL 72V(B) TNxt2R</t>
  </si>
  <si>
    <t xml:space="preserve">130/80R17M/CTL 65V TNxt2R</t>
  </si>
  <si>
    <t xml:space="preserve">140/80R17M/CTL 69V TNxt2R</t>
  </si>
  <si>
    <t xml:space="preserve">90/90-21M/C 54SMST (A) MT60-F</t>
  </si>
  <si>
    <t xml:space="preserve">110/80-18M/C 58SMST MT90AR</t>
  </si>
  <si>
    <t xml:space="preserve">120/80-18M/C 62SDP TouraR</t>
  </si>
  <si>
    <t xml:space="preserve">130/80-17M/C 65SDP TouraR</t>
  </si>
  <si>
    <t xml:space="preserve">120/80-18M/CTL 62TMST MT60-R</t>
  </si>
  <si>
    <t xml:space="preserve">120/90-17M/C 64SMST MT90AR</t>
  </si>
  <si>
    <t xml:space="preserve">110/80-19M/CTL 59HDP TouraF</t>
  </si>
  <si>
    <t xml:space="preserve">110/80-18M/C 58TMST MT60-R</t>
  </si>
  <si>
    <t xml:space="preserve">130/70R16M/CTL 61S RODScR</t>
  </si>
  <si>
    <t xml:space="preserve">130/70B18M/CTL 63H CruisF</t>
  </si>
  <si>
    <t xml:space="preserve">150/70R17M/CTL 69V AngGTR</t>
  </si>
  <si>
    <t xml:space="preserve">110/70ZR17M/CTL 54W DR4C-F</t>
  </si>
  <si>
    <t xml:space="preserve">120/70ZR17M/CTL (58W) DR4C-F</t>
  </si>
  <si>
    <t xml:space="preserve">150/60ZR17M/CTL 66W DR4C-R</t>
  </si>
  <si>
    <t xml:space="preserve">160/60ZR17M/CTL (69W) DR4C-R</t>
  </si>
  <si>
    <t xml:space="preserve">180/55ZR17M/CTL (73W) DR4C-R</t>
  </si>
  <si>
    <t xml:space="preserve">180/60ZR17M/CTL (75W) DR4C-R</t>
  </si>
  <si>
    <t xml:space="preserve">190/55ZR17M/CTL (75W) DR4C-R</t>
  </si>
  <si>
    <t xml:space="preserve">190/50ZR17M/CTL (73W) DR4C-R</t>
  </si>
  <si>
    <t xml:space="preserve">200/55ZR17M/CTL (78W) DR4C-R</t>
  </si>
  <si>
    <t xml:space="preserve">110/70R17M/CTL 54H DR4-F</t>
  </si>
  <si>
    <t xml:space="preserve">110/70ZR17M/CTL 54W DR4-F</t>
  </si>
  <si>
    <t xml:space="preserve">120/70ZR17M/CTL (58W) DR4-F</t>
  </si>
  <si>
    <t xml:space="preserve">120/70ZR17M/CTL (58W)(C) DR4-F</t>
  </si>
  <si>
    <t xml:space="preserve">120/60ZR17M/CTL (55W) DR4-F</t>
  </si>
  <si>
    <t xml:space="preserve">140/70R17M/CTL 66H DR4-R</t>
  </si>
  <si>
    <t xml:space="preserve">150/60R17M/CTL 66H DR4-R</t>
  </si>
  <si>
    <t xml:space="preserve">150/60ZR17M/CTL 66W DR4-R</t>
  </si>
  <si>
    <t xml:space="preserve">160/60ZR17M/CTL (69W) DR4-R</t>
  </si>
  <si>
    <t xml:space="preserve">180/55ZR17M/CTL (73W) DR4-R</t>
  </si>
  <si>
    <t xml:space="preserve">180/55ZR17M/CTL (73W)(C) DR4-R</t>
  </si>
  <si>
    <t xml:space="preserve">180/60ZR17M/CTL (75W) DR4-R</t>
  </si>
  <si>
    <t xml:space="preserve">190/55ZR17M/CTL (75W) DR4-R</t>
  </si>
  <si>
    <t xml:space="preserve">190/50ZR17M/CTL (73W) DR4-R</t>
  </si>
  <si>
    <t xml:space="preserve">200/55ZR17M/CTL (78W) DR4-R</t>
  </si>
  <si>
    <t xml:space="preserve">150/60R17M/CTL 66H(R) DR3-R</t>
  </si>
  <si>
    <t xml:space="preserve">90/90-19M/C 52PDP TouraF</t>
  </si>
  <si>
    <t xml:space="preserve">90/90-21M/CTL 54HDP TouraF</t>
  </si>
  <si>
    <t xml:space="preserve">90/90-21M/CTL 54HMST MT60-F</t>
  </si>
  <si>
    <t xml:space="preserve">140/80-17M/CTL 69HMST MT60-R</t>
  </si>
  <si>
    <t xml:space="preserve">130/80-17M/CTL 65HMST MT60-R</t>
  </si>
  <si>
    <t xml:space="preserve">130/80-17M/C 65SMST Endu3R</t>
  </si>
  <si>
    <t xml:space="preserve">140/80-17M/C 69HMST Endu3R</t>
  </si>
  <si>
    <t xml:space="preserve">140/80-18M/C 70SMST Endu3R</t>
  </si>
  <si>
    <t xml:space="preserve">90/90-21M/C 54SMST MT90AF</t>
  </si>
  <si>
    <t xml:space="preserve">140/80-18M/C 70SMST MT90AR</t>
  </si>
  <si>
    <t xml:space="preserve">120/70-15M/CTL 56S* AngScF</t>
  </si>
  <si>
    <t xml:space="preserve">150/70-14M/CTL 66S* AngScR</t>
  </si>
  <si>
    <t xml:space="preserve">100/90-12TL 59L DScooF</t>
  </si>
  <si>
    <t xml:space="preserve">110/90-12TL 64L DScooR</t>
  </si>
  <si>
    <t xml:space="preserve">120/70-14M/CTL 55S DRSpoF</t>
  </si>
  <si>
    <t xml:space="preserve">140/70-14M/C REINFTL 68S DRSpoR</t>
  </si>
  <si>
    <t xml:space="preserve">90/80-14M/C REINFTL 49S RODScF</t>
  </si>
  <si>
    <t xml:space="preserve">100/80-14M/C REINFTL 54S RODScF</t>
  </si>
  <si>
    <t xml:space="preserve">120/90-17M/C 64RM+S MT21-R</t>
  </si>
  <si>
    <t xml:space="preserve">130/90-18M/C 69RM+S MT21-R</t>
  </si>
  <si>
    <t xml:space="preserve">90/90-21M/C 54RM+S MT21-F</t>
  </si>
  <si>
    <t xml:space="preserve">80/90-21M/C 48PM+S MT21-F</t>
  </si>
  <si>
    <t xml:space="preserve">110/80-18M/C 58PM+S MT21-R</t>
  </si>
  <si>
    <t xml:space="preserve">120/80-18M/C 62RM+S MT21-R</t>
  </si>
  <si>
    <t xml:space="preserve">120/90-18M/C 65RM+S MT21-R</t>
  </si>
  <si>
    <t xml:space="preserve">130/90-17M/C 68PM+S MT21-R</t>
  </si>
  <si>
    <t xml:space="preserve">100/90-12TL 59J AngScF</t>
  </si>
  <si>
    <t xml:space="preserve">100/90-10TL 56J DRScoF</t>
  </si>
  <si>
    <t xml:space="preserve">110/80-14M/C REINFTL 59S RODScF</t>
  </si>
  <si>
    <t xml:space="preserve">110/70-12TL 47P RODScF</t>
  </si>
  <si>
    <t xml:space="preserve">110/70-13M/CTL 48P DRScoF</t>
  </si>
  <si>
    <t xml:space="preserve">120/70-13M/CTL 53P DRScoF</t>
  </si>
  <si>
    <t xml:space="preserve">100/80-14M/C REINFTL 54S DRScoF</t>
  </si>
  <si>
    <t xml:space="preserve">110/70-13M/C REINFTL 54S DRScoR</t>
  </si>
  <si>
    <t xml:space="preserve">170/60ZR17M/CTL 72W(U) Trai2R</t>
  </si>
  <si>
    <t xml:space="preserve">80/100-21M/C 51MMST STADIUMScXMSF</t>
  </si>
  <si>
    <t xml:space="preserve">120/80-19NHS 63MSTADIUM ScXMSR</t>
  </si>
  <si>
    <t xml:space="preserve">80/100-21M/C 51MMST STADIUMS32MHF</t>
  </si>
  <si>
    <t xml:space="preserve">110/90-19NHS 62MSTADIUM S32MHR</t>
  </si>
  <si>
    <t xml:space="preserve">160/70ZR17M/CTL 73W ROD01R</t>
  </si>
  <si>
    <t xml:space="preserve">120/70-12TL 51P RODScR</t>
  </si>
  <si>
    <t xml:space="preserve">3.50-10REINFTL 59J RODScR</t>
  </si>
  <si>
    <t xml:space="preserve">120/70-10REINFTL 54L RODScR</t>
  </si>
  <si>
    <t xml:space="preserve">130/60-13M/C REINFTL 60P RODScR</t>
  </si>
  <si>
    <t xml:space="preserve">130/60-13M/CTL 53L RODScR</t>
  </si>
  <si>
    <t xml:space="preserve">140/70-13M/CTL 61P DRScoR</t>
  </si>
  <si>
    <t xml:space="preserve">90/90-12TL 44J AngScF</t>
  </si>
  <si>
    <t xml:space="preserve">120/70-12TL 51L AngScF</t>
  </si>
  <si>
    <t xml:space="preserve">130/70-12TL 56L AngScR</t>
  </si>
  <si>
    <t xml:space="preserve">80/100-21M/C 51MMST R 360MSF</t>
  </si>
  <si>
    <t xml:space="preserve">100/90-19NHS 57MR 360MSR</t>
  </si>
  <si>
    <t xml:space="preserve">110/90-19NHS 62MR 360MSR</t>
  </si>
  <si>
    <t xml:space="preserve">120/80-19NHS 63MR 360MSR</t>
  </si>
  <si>
    <t xml:space="preserve">80/100-21M/C 51MMST R 360MHF</t>
  </si>
  <si>
    <t xml:space="preserve">100/90-19NHS 57MR 360MHR</t>
  </si>
  <si>
    <t xml:space="preserve">110/90-19NHS 62MR 360MHR</t>
  </si>
  <si>
    <t xml:space="preserve">120/80-19NHS 63MR 360MHR</t>
  </si>
  <si>
    <t xml:space="preserve">70/100-17NHS 40M ScXMSF</t>
  </si>
  <si>
    <t xml:space="preserve">110/90-17NHS 60M ScXMSR</t>
  </si>
  <si>
    <t xml:space="preserve">120/90-19NHS 66M ScXtXR</t>
  </si>
  <si>
    <t xml:space="preserve">110/90-16M/CTL 59V SpDemF</t>
  </si>
  <si>
    <t xml:space="preserve">120/80V16M/CTL (60V) SpDemF</t>
  </si>
  <si>
    <t xml:space="preserve">110/80-18M/CTL 58V SpDemF</t>
  </si>
  <si>
    <t xml:space="preserve">110/90-18M/CTL 61V SpDemF</t>
  </si>
  <si>
    <t xml:space="preserve">100/90-19M/CTL 57V SpDemF</t>
  </si>
  <si>
    <t xml:space="preserve">130/90-16M/CTL 67V SpDemR</t>
  </si>
  <si>
    <t xml:space="preserve">150/70-16M/CTL 68S SpDemR</t>
  </si>
  <si>
    <t xml:space="preserve">150/80V16M/CTL (71V) SpDemR</t>
  </si>
  <si>
    <t xml:space="preserve">130/90-17M/CTL 68V SpDemR</t>
  </si>
  <si>
    <t xml:space="preserve">120/90-18M/CTL 65V SpDemR</t>
  </si>
  <si>
    <t xml:space="preserve">130/80-18M/CTL 66V SpDemR</t>
  </si>
  <si>
    <t xml:space="preserve">140/70-18M/CTL 67V SpDemR</t>
  </si>
  <si>
    <t xml:space="preserve">3.00-17M/C REINFTL 50P SupCTR</t>
  </si>
  <si>
    <t xml:space="preserve">180/55ZR17M/CTL (73W)(M) ROD01R</t>
  </si>
  <si>
    <t xml:space="preserve">90/90-19M/C 52PDP MT60-F</t>
  </si>
  <si>
    <t xml:space="preserve">100/90-19M/CTL 57H TNextF</t>
  </si>
  <si>
    <t xml:space="preserve">150/70R17M/CTL 69H TNextR</t>
  </si>
  <si>
    <t xml:space="preserve">120/70ZR17M/CTL (58W)(R) TNextF</t>
  </si>
  <si>
    <t xml:space="preserve">160/60ZR17M/CTL (69W)(R) TNextR</t>
  </si>
  <si>
    <t xml:space="preserve">110/80R19M/CTL 59V(R) TNextF</t>
  </si>
  <si>
    <t xml:space="preserve">150/70R17M/CTL 69V(R) TNextR</t>
  </si>
  <si>
    <t xml:space="preserve">120/70R19M/CTL 60V(R) TNextF</t>
  </si>
  <si>
    <t xml:space="preserve">170/60R17M/CTL 72V(R) TNextR</t>
  </si>
  <si>
    <t xml:space="preserve">120/70ZR17M/CTL (58W)(R) DR3-F</t>
  </si>
  <si>
    <t xml:space="preserve">160/60ZR17M/CTL (69W)(R) DR3-R</t>
  </si>
  <si>
    <t xml:space="preserve">180/55ZR17M/CTL (73W)(R) DR3-R</t>
  </si>
  <si>
    <t xml:space="preserve">120/70ZR17M/CTL (58W)(R) DRII-F</t>
  </si>
  <si>
    <t xml:space="preserve">160/60ZR17M/CTL (69W)(R) DRII-R</t>
  </si>
  <si>
    <t xml:space="preserve">140/80-18M/C 70MM+S MEDIUM 6DayER</t>
  </si>
  <si>
    <t xml:space="preserve">90/90-21M/C 54MMST SOFT 6DayLF</t>
  </si>
  <si>
    <t xml:space="preserve">90/100-21M/C57MMSTSUPERSOFT6DayLF</t>
  </si>
  <si>
    <t xml:space="preserve">200/60ZR17M/CTL (80W) DR4-R</t>
  </si>
  <si>
    <t xml:space="preserve">260/35VR21M/CTL (83V) CruisR</t>
  </si>
  <si>
    <t xml:space="preserve">190/60R17NHSTLSCX DSBK-R</t>
  </si>
  <si>
    <t xml:space="preserve">180/55ZR17M/CTL (73W)(M) DR3-R</t>
  </si>
  <si>
    <t xml:space="preserve">100/90-12NHSTLSC1 DSBK-F</t>
  </si>
  <si>
    <t xml:space="preserve">100/90-12NHSTLSCR1 DBRAIF</t>
  </si>
  <si>
    <t xml:space="preserve">120/80-12NHSTLSCR1 DBRAIN</t>
  </si>
  <si>
    <t xml:space="preserve">120/80-12NHSTLSC1 DSBK-R</t>
  </si>
  <si>
    <t xml:space="preserve">90/90-21M/CTL 54V KaroSF</t>
  </si>
  <si>
    <t xml:space="preserve">150/70R18M/CTL 70V KaroSR</t>
  </si>
  <si>
    <t xml:space="preserve">150/70R17M/CTL 69V KaroSR</t>
  </si>
  <si>
    <t xml:space="preserve">100/90-19M/CTL 57V KaroSF</t>
  </si>
  <si>
    <t xml:space="preserve">140/80R17M/CTL 69V KaroSR</t>
  </si>
  <si>
    <t xml:space="preserve">90/100-21M/C 57MM+S ScXMSF</t>
  </si>
  <si>
    <t xml:space="preserve">90/100-21M/C 57RM+S 6DayEF</t>
  </si>
  <si>
    <t xml:space="preserve">110/70-13M/C REINFTL 54S AngScR</t>
  </si>
  <si>
    <t xml:space="preserve">110/70-13M/C REINFTL 54S RODScR</t>
  </si>
  <si>
    <t xml:space="preserve">120/70-15M/CTL 56S DRScxF</t>
  </si>
  <si>
    <t xml:space="preserve">140/70-14M/C REINFTL 68S DRScxR</t>
  </si>
  <si>
    <t xml:space="preserve">140/80-18NHS 70MEXTRA SOFT 6DayER</t>
  </si>
  <si>
    <t xml:space="preserve">110/70R17M/CTL 54VSC1 DSC4-F</t>
  </si>
  <si>
    <t xml:space="preserve">110/70R17M/CTL 54VSC3 DSC4-F</t>
  </si>
  <si>
    <t xml:space="preserve">120/70R17M/CTL 58VSC1 DSC4-F</t>
  </si>
  <si>
    <t xml:space="preserve">120/70R17M/CTL 58VSC2 DSC4-F</t>
  </si>
  <si>
    <t xml:space="preserve">120/70R17M/CTL 58VSC3 DSC4-F</t>
  </si>
  <si>
    <t xml:space="preserve">120/70ZR17M/CTL (58W)SP DSC4-F</t>
  </si>
  <si>
    <t xml:space="preserve">120/70ZR17M/CTL(58W)V4SP(C)DSC4-F</t>
  </si>
  <si>
    <t xml:space="preserve">140/70R17M/CTL 66VV4 SC1 DSC4-R</t>
  </si>
  <si>
    <t xml:space="preserve">140/70R17M/CTL 66VV4 SC3 DSC4-R</t>
  </si>
  <si>
    <t xml:space="preserve">150/60R17M/CTL 66VV4 SC3 DSC4-R</t>
  </si>
  <si>
    <t xml:space="preserve">180/55ZR17M/CTL (73W)SP DSC4-R</t>
  </si>
  <si>
    <t xml:space="preserve">180/60ZR17M/CTL (75W)SP DSC4-R</t>
  </si>
  <si>
    <t xml:space="preserve">190/55ZR17M/CTL (75W)SP DSC4-R</t>
  </si>
  <si>
    <t xml:space="preserve">200/55ZR17M/CTL (78W)SP DSC4-R</t>
  </si>
  <si>
    <t xml:space="preserve">200/60ZR17M/CTL (80W)SP DSC4-R</t>
  </si>
  <si>
    <t xml:space="preserve">180/60R17M/CTL 75VV4 SC1 DSC4-R</t>
  </si>
  <si>
    <t xml:space="preserve">180/60R17M/CTL 75VV4 SC2 DSC4-R</t>
  </si>
  <si>
    <t xml:space="preserve">180/60R17M/CTL 75VV4 SC3 DSC4-R</t>
  </si>
  <si>
    <t xml:space="preserve">200/55R17M/CTL 78VV4 SC1 DSC4-R</t>
  </si>
  <si>
    <t xml:space="preserve">200/55R17M/CTL 78VV4 SC2 DSC4-R</t>
  </si>
  <si>
    <t xml:space="preserve">200/55R17M/CTL 78VV4 SC3 DSC4-R</t>
  </si>
  <si>
    <t xml:space="preserve">200/60R17M/CTL 80VV4 SC1 DSC4-R</t>
  </si>
  <si>
    <t xml:space="preserve">200/60R17M/CTL 80VV4 SC3 DSC4-R</t>
  </si>
  <si>
    <t xml:space="preserve">120/70ZR19M/CTL 60W R01seF</t>
  </si>
  <si>
    <t xml:space="preserve">170/60ZR17M/CTL 72W R01seR</t>
  </si>
  <si>
    <t xml:space="preserve">120/90-19NHS 66MSTADIUM ScXMSR</t>
  </si>
  <si>
    <t xml:space="preserve">90/90-21M/C 54SDP Endu3F</t>
  </si>
  <si>
    <t xml:space="preserve">120/80-18M/C 62SDP Endu3R</t>
  </si>
  <si>
    <t xml:space="preserve">200/60ZR17M/CTL (80W) DR4C-R</t>
  </si>
  <si>
    <t xml:space="preserve">80/90-21M/C 48RDP MT70F</t>
  </si>
  <si>
    <t xml:space="preserve">110/80-18M/C 58RDP MT70</t>
  </si>
  <si>
    <t xml:space="preserve">110/70-13M/CTL 48P(Y) DScooF</t>
  </si>
  <si>
    <t xml:space="preserve">130/70-13M/C REINFTL 63P(Y)DScooR</t>
  </si>
  <si>
    <t xml:space="preserve">125/70R17NHSTLK1 RacRSF</t>
  </si>
  <si>
    <t xml:space="preserve">200/65R17NHSTLK0 RacRSR</t>
  </si>
  <si>
    <t xml:space="preserve">100/90-19M/CTL 57SM+S Karo4F</t>
  </si>
  <si>
    <t xml:space="preserve">130/80R17M/CTL 65QM+S Karo4R</t>
  </si>
  <si>
    <t xml:space="preserve">140/80R17M/CTL 69QM+S Karo4R</t>
  </si>
  <si>
    <t xml:space="preserve">140/80-18M/CTL 70SM+S Karo4R</t>
  </si>
  <si>
    <t xml:space="preserve">160/70R17M/CTL 73V CruisF</t>
  </si>
  <si>
    <t xml:space="preserve">180/70R16M/CTL 77V CruisR</t>
  </si>
  <si>
    <t xml:space="preserve">140/70-14M/C REINFTL 68S RODScR</t>
  </si>
  <si>
    <t xml:space="preserve">100/90-12TL 59J RODScR</t>
  </si>
  <si>
    <t xml:space="preserve">80/80-14M/C REINFTL 43S RODScR</t>
  </si>
  <si>
    <t xml:space="preserve">200/60R17NHSTL DBWET</t>
  </si>
  <si>
    <t xml:space="preserve">190/55ZR17M/CTL (75W)(C) DR4-R</t>
  </si>
  <si>
    <t xml:space="preserve">200/55ZR17M/CTL (78W)(C) DR4-R</t>
  </si>
  <si>
    <t xml:space="preserve">90/90-21M/CTL 54HDP Endu3F</t>
  </si>
  <si>
    <t xml:space="preserve">110/70ZR17M/CTL 54WV4 SP DSC4-F</t>
  </si>
  <si>
    <t xml:space="preserve">140/70ZR17M/CTL 66WV4 SP DSC4-R</t>
  </si>
  <si>
    <t xml:space="preserve">150/60ZR17M/CTL 66WV4 SP DSC4-R</t>
  </si>
  <si>
    <t xml:space="preserve">190/50ZR17M/CTL (73W)V4 SP DSC4-R</t>
  </si>
  <si>
    <t xml:space="preserve">190/55R17M/CTL 75VV4 SC2 DSC4-R</t>
  </si>
  <si>
    <t xml:space="preserve">120/70ZR19M/CTL 60W M9-F</t>
  </si>
  <si>
    <t xml:space="preserve">170/60ZR17M/CTL 72W M9-R</t>
  </si>
  <si>
    <t xml:space="preserve">90/90-21M/CTL 54RM+S ScRalF</t>
  </si>
  <si>
    <t xml:space="preserve">150/70R18M/CTL 70RM+S ScRalR</t>
  </si>
  <si>
    <t xml:space="preserve">MH90-21M/CTL 54H ME888F</t>
  </si>
  <si>
    <t xml:space="preserve">130/70B18M/CTL 63H ME888F</t>
  </si>
  <si>
    <t xml:space="preserve">90/90-21M/CTL 54H ME888F</t>
  </si>
  <si>
    <t xml:space="preserve">120/70B21M/C REINFTL 68H ME888F</t>
  </si>
  <si>
    <t xml:space="preserve">120/70B21M/C REINFTL 68H CruisF</t>
  </si>
  <si>
    <t xml:space="preserve">110/90-19M/CTL 62H ME888F</t>
  </si>
  <si>
    <t xml:space="preserve">150/80-16M/CTL 71H ME888F</t>
  </si>
  <si>
    <t xml:space="preserve">120/70B17M/CTL 58V ME888F</t>
  </si>
  <si>
    <t xml:space="preserve">130/60-21M/CTL 63H ME888F</t>
  </si>
  <si>
    <t xml:space="preserve">MH90-21M/CTL 54H CruisF</t>
  </si>
  <si>
    <t xml:space="preserve">130/60B21M/CTL 63H CruisF</t>
  </si>
  <si>
    <t xml:space="preserve">80/90-21M/CTL 48H ME888F</t>
  </si>
  <si>
    <t xml:space="preserve">100/90-18M/CTL 56H ME888F</t>
  </si>
  <si>
    <t xml:space="preserve">120/90-17M/C 64S ME888F</t>
  </si>
  <si>
    <t xml:space="preserve">110/90-19M/CTL 62H CruisF</t>
  </si>
  <si>
    <t xml:space="preserve">140/80-17M/CTL 69H ME888F</t>
  </si>
  <si>
    <t xml:space="preserve">140/70B18M/C REINFTL 73H ME888F</t>
  </si>
  <si>
    <t xml:space="preserve">110/90-19M/CTL 62H NDragF</t>
  </si>
  <si>
    <t xml:space="preserve">110/70R17NHSTLV4 SC1 DSC4-F</t>
  </si>
  <si>
    <t xml:space="preserve">120/70R17NHSTLV4 SC1 DSC4-F</t>
  </si>
  <si>
    <t xml:space="preserve">120/70R17NHSTLV4 SC2 DSC4-F</t>
  </si>
  <si>
    <t xml:space="preserve">140/70R17NHSTLV4 SC1 DSC4-R</t>
  </si>
  <si>
    <t xml:space="preserve">180/60R17NHSTLV4 SC1 DSC4-R</t>
  </si>
  <si>
    <t xml:space="preserve">180/60R17NHSTLV4 SC2 DSC4-R</t>
  </si>
  <si>
    <t xml:space="preserve">190/55R17NHSTLV4 SC2 DSC4-R</t>
  </si>
  <si>
    <t xml:space="preserve">200/55R17NHSTLV4 SC2 DSC4-R</t>
  </si>
  <si>
    <t xml:space="preserve">90/90-21M/C 54SM+S KaroSF</t>
  </si>
  <si>
    <t xml:space="preserve">120/80-18M/C 62SM+S KaroSR</t>
  </si>
  <si>
    <t xml:space="preserve">120/70-15M/CTL 56S TouraF</t>
  </si>
  <si>
    <t xml:space="preserve">150/70-14M/CTL 66S TouraR</t>
  </si>
  <si>
    <t xml:space="preserve">200/65R17NHSTLSCQ DSBK-R</t>
  </si>
  <si>
    <t xml:space="preserve">90/90-12TL 44J RODScR</t>
  </si>
  <si>
    <t xml:space="preserve">140/60-13M/C REINFTL 63P RODScR</t>
  </si>
  <si>
    <t xml:space="preserve">90/100-16NHS 51M ScXMSR</t>
  </si>
  <si>
    <t xml:space="preserve">120/80-19NHS 63M ScMXSR</t>
  </si>
  <si>
    <t xml:space="preserve">110/80-18M/C 58SDP Endu3R</t>
  </si>
  <si>
    <t xml:space="preserve">90/90V21M/CTL (54V) TNxt2F</t>
  </si>
  <si>
    <t xml:space="preserve">150/70ZR18M/CTL 70W TNxt2R</t>
  </si>
  <si>
    <t xml:space="preserve">180/55B18M/C REINFTL 80H ME888F</t>
  </si>
  <si>
    <t xml:space="preserve">180/50B21M/CTL 74V ME888F</t>
  </si>
  <si>
    <t xml:space="preserve">120/100-18M/C68MMSTHEAVYDUTScCMHR</t>
  </si>
  <si>
    <t xml:space="preserve">110/80R19M/CTL 59TM+S Karo4F</t>
  </si>
  <si>
    <t xml:space="preserve">150/70R17M/CTL 69TM+S Karo4R</t>
  </si>
  <si>
    <t xml:space="preserve">120/70R19M/CTL 60TM+S Karo4F</t>
  </si>
  <si>
    <t xml:space="preserve">170/60R17M/CTL 72TM+S Karo4R</t>
  </si>
  <si>
    <t xml:space="preserve">150/70R18M/CTL 70TM+S Karo4R</t>
  </si>
  <si>
    <t xml:space="preserve">100/90-18M/CTL 56V Trai3F</t>
  </si>
  <si>
    <t xml:space="preserve">100/90-19M/CTL 57V Trai3F</t>
  </si>
  <si>
    <t xml:space="preserve">110/80R19M/CTL 59V Trai3F</t>
  </si>
  <si>
    <t xml:space="preserve">120/70R19M/CTL 60V Trai3F</t>
  </si>
  <si>
    <t xml:space="preserve">120/70ZR19M/CTL 60W Trai3F</t>
  </si>
  <si>
    <t xml:space="preserve">120/70ZR19M/CTL 60W(D) Trai3F</t>
  </si>
  <si>
    <t xml:space="preserve">90/90V21M/CTL (54V) Trai3F</t>
  </si>
  <si>
    <t xml:space="preserve">130/80R17M/CTL 65V Trai3R</t>
  </si>
  <si>
    <t xml:space="preserve">140/80R17M/CTL 69V Trai3R</t>
  </si>
  <si>
    <t xml:space="preserve">150/70R17M/CTL 69V Trai3R</t>
  </si>
  <si>
    <t xml:space="preserve">170/60R17M/CTL 72V Trai3R</t>
  </si>
  <si>
    <t xml:space="preserve">170/60ZR17M/CTL 72W Trai3R</t>
  </si>
  <si>
    <t xml:space="preserve">170/60ZR17M/CTL 72W(D) Trai3R</t>
  </si>
  <si>
    <t xml:space="preserve">150/70ZR18M/CTL 70W Trai3R</t>
  </si>
  <si>
    <t xml:space="preserve">125/70R17NHSTLK650 SCD DSBK-F</t>
  </si>
  <si>
    <t xml:space="preserve">195/70R17NHSTLK672 SCD DSBK-R</t>
  </si>
  <si>
    <t xml:space="preserve">120/70R17M/CTL 58VV4 SC1 DSC4-R</t>
  </si>
  <si>
    <t xml:space="preserve">110/70R17M/CTL 54VK1 RacRRF</t>
  </si>
  <si>
    <t xml:space="preserve">140/70R17M/CTL 66VK1 RacRRR</t>
  </si>
  <si>
    <t xml:space="preserve">150/80R17M/CTL 72V CruisF</t>
  </si>
  <si>
    <t xml:space="preserve">240/50R16M/CTL 84V CruisR</t>
  </si>
  <si>
    <t xml:space="preserve">110/70R17NHSTLSCD DSBK-F</t>
  </si>
  <si>
    <t xml:space="preserve">140/70-14M/CTL 62S DRScxR</t>
  </si>
  <si>
    <t xml:space="preserve">120/90-18NHS 65M ScMXSR</t>
  </si>
  <si>
    <t xml:space="preserve">100/80-17M/CTL 52S AngCTF</t>
  </si>
  <si>
    <t xml:space="preserve">130/90B16M/CTL 67H ME888F</t>
  </si>
  <si>
    <t xml:space="preserve">130/90B16M/C REINFTL 73H ME888F</t>
  </si>
  <si>
    <t xml:space="preserve">130/90B16M/C REINFTL 73H NDragF</t>
  </si>
  <si>
    <t xml:space="preserve">2.75-18M/CTL 42P SupCTF</t>
  </si>
  <si>
    <t xml:space="preserve">110/90-17M/C 60PDP TouraR</t>
  </si>
  <si>
    <t xml:space="preserve">100/90-19M/CTL 57H(B) TouraF</t>
  </si>
  <si>
    <t xml:space="preserve">120/70ZR17M/CTL (58W) Trai3F</t>
  </si>
  <si>
    <t xml:space="preserve">180/55ZR17M/CTL (73W) Trai3R</t>
  </si>
  <si>
    <t xml:space="preserve">110/80R19M/CTL 59V ROD02F</t>
  </si>
  <si>
    <t xml:space="preserve">150/70R17M/CTL 69V ROD02R</t>
  </si>
  <si>
    <t xml:space="preserve">160/60ZR17M/CTL (69W) ROD02R</t>
  </si>
  <si>
    <t xml:space="preserve">190/50ZR17M/CTL (73W) ROD02R</t>
  </si>
  <si>
    <t xml:space="preserve">190/55ZR17M/CTL (75W) ROD02R</t>
  </si>
  <si>
    <t xml:space="preserve">190/55ZR17M/CTL (75W) (O) ROD02R</t>
  </si>
  <si>
    <t xml:space="preserve">110/100-18M/C64MMSTHeavyDutScCMHR</t>
  </si>
  <si>
    <t xml:space="preserve">190/60R17NHSTLK0 RacRSR</t>
  </si>
  <si>
    <t xml:space="preserve">190/60R17NHSTLKD RacRSR</t>
  </si>
  <si>
    <t xml:space="preserve">120/90-17M/CTL 64HM+S ScRaSR</t>
  </si>
  <si>
    <t xml:space="preserve">140/80-18M/C 70RM+S Race ScRalR</t>
  </si>
  <si>
    <t xml:space="preserve">110/80-17M/CTL 57H SpDemF</t>
  </si>
  <si>
    <t xml:space="preserve">140/80-18M/C 70R M+S MT21-R</t>
  </si>
  <si>
    <t xml:space="preserve">110/90-18M/CTL 61H ME888F</t>
  </si>
  <si>
    <t xml:space="preserve">140/90-15M/CTL 70H MT66-R</t>
  </si>
  <si>
    <t xml:space="preserve">90/90-18M/CTL 51H LaserF</t>
  </si>
  <si>
    <t xml:space="preserve">120/70B21M/C REINFTL 68H NDragF</t>
  </si>
  <si>
    <t xml:space="preserve">130/90B16M/C REINFTL 73H(I)CruisF</t>
  </si>
  <si>
    <t xml:space="preserve">110/80-14M/CTL 53P DRScxF</t>
  </si>
  <si>
    <t xml:space="preserve">80/100-14NHS 40M ScXMSF</t>
  </si>
  <si>
    <t xml:space="preserve">120/90-18M/C 65M M+S MEDIUM6DayER</t>
  </si>
  <si>
    <t xml:space="preserve">110/80-18M/C 58R M+S MEDIUM6DayER</t>
  </si>
  <si>
    <t xml:space="preserve">90/90-21M/CTL 54T M+S (B) Karo4F</t>
  </si>
  <si>
    <t xml:space="preserve">150/70-17M/CTL 69T M+S (B) Karo4R</t>
  </si>
  <si>
    <t xml:space="preserve">160/60ZR17M/CTL (69W) Trai3R</t>
  </si>
  <si>
    <t xml:space="preserve">110/80R18M/CTL 58V Trai3F</t>
  </si>
  <si>
    <t xml:space="preserve">120/70ZR17M/CTL (58W) CE DSC4-F</t>
  </si>
  <si>
    <t xml:space="preserve">200/55ZR17M/CTL (78W) CE DSC4-R</t>
  </si>
  <si>
    <t xml:space="preserve">120/90-17M/CTL 64H Trai3R</t>
  </si>
  <si>
    <t xml:space="preserve">100/70R17NHSTL K397 SC2 DSBK-F</t>
  </si>
  <si>
    <t xml:space="preserve">110/90-19NHS 62M STADIUM ScXMSR</t>
  </si>
  <si>
    <t xml:space="preserve">140/70R17M/CTL 66H (R) DRII-R</t>
  </si>
  <si>
    <t xml:space="preserve">240/45ZR17M/CTL (82W) DR4-R</t>
  </si>
  <si>
    <t xml:space="preserve">130/80R17M/CTL 65H KaroSR</t>
  </si>
  <si>
    <t xml:space="preserve">120/75ZR17M/CTL (60W) V4 SPDSC4-F</t>
  </si>
  <si>
    <t xml:space="preserve">160/60R17M/CTL 69V V4 SC1 DSC4-R</t>
  </si>
  <si>
    <t xml:space="preserve">190/55ZR17M/CTL (75W) (R) DR3-R</t>
  </si>
  <si>
    <t xml:space="preserve">150/70R18M/CTL 70V (R) TNextR</t>
  </si>
  <si>
    <t xml:space="preserve">110/70R17M/CTL 54H (R) M9-F</t>
  </si>
  <si>
    <t xml:space="preserve">140/70R17M/CTL 66H (R) M9-R</t>
  </si>
  <si>
    <t xml:space="preserve">150/60R17M/CTL 66H (R) M9-R</t>
  </si>
  <si>
    <t xml:space="preserve">110/80R19M/CTL 59V (R) Trai3F</t>
  </si>
  <si>
    <t xml:space="preserve">90/90-21M/CTL 54V (R) Trai3F</t>
  </si>
  <si>
    <t xml:space="preserve">150/70R17M/CTL 69V (R) Trai3R</t>
  </si>
  <si>
    <t xml:space="preserve">150/70R18M/CTL 70V (R) Trai3R</t>
  </si>
  <si>
    <t xml:space="preserve">120/70-14M/C REINFTL 61P DScooR</t>
  </si>
  <si>
    <t xml:space="preserve">110/90-17M/C 60P DP MT60-R</t>
  </si>
  <si>
    <t xml:space="preserve">180/55R17NHSTL V4 SC3 DSC4-R</t>
  </si>
  <si>
    <t xml:space="preserve">120/80-12NHSTL SC2 DSBK-R</t>
  </si>
  <si>
    <t xml:space="preserve">130/80-17M/C 65S DP TouraR</t>
  </si>
  <si>
    <t xml:space="preserve">90/90-21M/CTL 54V MT90AF</t>
  </si>
  <si>
    <t xml:space="preserve">90/90-21M/CTL 54H NDragF</t>
  </si>
  <si>
    <t xml:space="preserve">110/90-16M/CTL 59S ME77F</t>
  </si>
  <si>
    <t xml:space="preserve">120/80-18M/C 62S MST MT90AR</t>
  </si>
  <si>
    <t xml:space="preserve">120/90-17M/C 64S TouraR</t>
  </si>
  <si>
    <t xml:space="preserve">130/60B19M/CTL 61H ME888F</t>
  </si>
  <si>
    <t xml:space="preserve">100/90V18M/CTL (56V) LaserF</t>
  </si>
  <si>
    <t xml:space="preserve">3.25-19M/CTL 54H LaserF</t>
  </si>
  <si>
    <t xml:space="preserve">MT90B16M/CTL 72H CruisF</t>
  </si>
  <si>
    <t xml:space="preserve">120/80-10NHSTL SC2 DSBK-R</t>
  </si>
  <si>
    <t xml:space="preserve">180/60R16M/C REINFTL80H(I)CruisR</t>
  </si>
  <si>
    <t xml:space="preserve">180/55ZR17M/CTL (73W) (C) DR3-R</t>
  </si>
  <si>
    <t xml:space="preserve">110/80-14M/CTL 53P M+S ScRaSF</t>
  </si>
  <si>
    <t xml:space="preserve">130/70-13M/CTL 57P M+S ScRaSR</t>
  </si>
  <si>
    <t xml:space="preserve">120/80-18M/C 62H M+S KaroSR</t>
  </si>
  <si>
    <t xml:space="preserve">110/80R19M/CTL 59V AngGTF</t>
  </si>
  <si>
    <t xml:space="preserve">110/80R19M/CTL 59V M+S ScRaSF</t>
  </si>
  <si>
    <t xml:space="preserve">MT90B16M/CTL 72H ME888F</t>
  </si>
  <si>
    <t xml:space="preserve">80/100-21M/C 51M MST S32MSF</t>
  </si>
  <si>
    <t xml:space="preserve">120/80-19NHS 63M S32MSR</t>
  </si>
  <si>
    <t xml:space="preserve">110/90-19NHS 62M S32MSR</t>
  </si>
  <si>
    <t xml:space="preserve">120/90-19NHS 66M S32MSR</t>
  </si>
  <si>
    <t xml:space="preserve">130/90B16M/C REINFTL 73H DPWC-F</t>
  </si>
  <si>
    <t xml:space="preserve">150/80B16M/C REINFTL 77H DPWC-R</t>
  </si>
  <si>
    <t xml:space="preserve">130/60B19M/CTL 61H DPWC-F</t>
  </si>
  <si>
    <t xml:space="preserve">180/55B18M/C REINFTL 80H DPWC-R</t>
  </si>
  <si>
    <t xml:space="preserve">160/70R17M/CTL 73V DPWC-F</t>
  </si>
  <si>
    <t xml:space="preserve">180/70R16M/CTL 77V DPWC-R</t>
  </si>
  <si>
    <t xml:space="preserve">160/60R18M/CTL 70V DPWC-F</t>
  </si>
  <si>
    <t xml:space="preserve">240/40VR18M/CTL (79V) DPWC-R</t>
  </si>
  <si>
    <t xml:space="preserve">260/40VR18M/CTL (84V) DPWC-R</t>
  </si>
  <si>
    <t xml:space="preserve">150/80B16M/CTL 71H DPWC-F</t>
  </si>
  <si>
    <t xml:space="preserve">100/90-19M/CTL 57H DPWC-F</t>
  </si>
  <si>
    <t xml:space="preserve">110/90-19M/CTL 62H DPWC-F</t>
  </si>
  <si>
    <t xml:space="preserve">130/60B21M/CTL 63H DPWC-F</t>
  </si>
  <si>
    <t xml:space="preserve">160/70B17M/C REINFTL 79V DPWC-R</t>
  </si>
  <si>
    <t xml:space="preserve">180/70B16M/CTL 77H DPWC-R</t>
  </si>
  <si>
    <t xml:space="preserve">110/70ZR17M/CTL 54W S1-F</t>
  </si>
  <si>
    <t xml:space="preserve">120/70ZR17M/CTL (58W) S1-F</t>
  </si>
  <si>
    <t xml:space="preserve">150/60ZR17M/CTL 66W S1-R</t>
  </si>
  <si>
    <t xml:space="preserve">190/55ZR17M/CTL (75W) S1-R</t>
  </si>
  <si>
    <t xml:space="preserve">200/55ZR17M/CTL (78W) S1-R</t>
  </si>
  <si>
    <t xml:space="preserve">190/50ZR17M/CTL (73W) S1-R</t>
  </si>
  <si>
    <t xml:space="preserve">180/55ZR17M/CTL (73W) S1-R</t>
  </si>
  <si>
    <t xml:space="preserve">160/60ZR17M/CTL (69W) S1-R</t>
  </si>
  <si>
    <t xml:space="preserve">120/70ZR17M/CTL (58W) S1RS-F</t>
  </si>
  <si>
    <t xml:space="preserve">180/55ZR17M/CTL (73W) S1RS-R</t>
  </si>
  <si>
    <t xml:space="preserve">190/55ZR17M/CTL (75W) S1RS-R</t>
  </si>
  <si>
    <t xml:space="preserve">200/55ZR17M/CTL (78W) S1RS-R</t>
  </si>
  <si>
    <t xml:space="preserve">200/60ZR17M/CTL (80W) S1RS-R</t>
  </si>
  <si>
    <t xml:space="preserve">140/80-18NHS 70M ScCMSR</t>
  </si>
  <si>
    <t xml:space="preserve">90/90-10TL 50J DRScoR</t>
  </si>
  <si>
    <t xml:space="preserve">90/90-12TL 44J DRScoR</t>
  </si>
  <si>
    <t xml:space="preserve">120/70ZR17M/CTL (58W)(B)K3RacRRF</t>
  </si>
  <si>
    <t xml:space="preserve">120/80-18M/C 62R M+S MT21-R</t>
  </si>
  <si>
    <t xml:space="preserve">4.00-18M/CTL 64H ME77</t>
  </si>
  <si>
    <t xml:space="preserve">140/80-18M/C 70M M+S ScCMHR</t>
  </si>
  <si>
    <t xml:space="preserve">150/70-18M/CTL 70T M+S Karo4R</t>
  </si>
  <si>
    <t xml:space="preserve">120/70ZR17M/CTL (58W) (M) ROD02F</t>
  </si>
  <si>
    <t xml:space="preserve">180/55ZR17M/CTL (73W) (M) ROD02R</t>
  </si>
  <si>
    <t xml:space="preserve">120/70ZR17M/CTL (58W) (D) DR4-F</t>
  </si>
  <si>
    <t xml:space="preserve">110/70-12TL 47P DRScxF</t>
  </si>
  <si>
    <t xml:space="preserve">120/70-12REINFTL 58P DRScxR</t>
  </si>
  <si>
    <t xml:space="preserve">130/70-12REINFTL 62P DRScxR</t>
  </si>
  <si>
    <t xml:space="preserve">120/70-13M/CTL 53P DRScxF</t>
  </si>
  <si>
    <t xml:space="preserve">130/70-13M/C REINFTL 63P DRScxR</t>
  </si>
  <si>
    <t xml:space="preserve">100/80-12TL 56P DRScoR</t>
  </si>
  <si>
    <t xml:space="preserve">110/80R19M/CTL 59V M+S KaroSF</t>
  </si>
  <si>
    <t xml:space="preserve">200/55ZR17M/CTL(78W)V4SP(C)DSC4-R</t>
  </si>
  <si>
    <t xml:space="preserve">90/100-21M/C 57R MST Rally 6DayEF</t>
  </si>
  <si>
    <t xml:space="preserve">140/80-18M/C 70R M+S Rally Karo4R</t>
  </si>
  <si>
    <t xml:space="preserve">100/90-19M/CTL 57H KaroSF</t>
  </si>
  <si>
    <t xml:space="preserve">120/70R19M/CTL 60V TNextF</t>
  </si>
  <si>
    <t xml:space="preserve">120/70ZR19M/CTL 60W TNxt2F</t>
  </si>
  <si>
    <t xml:space="preserve">100/90-19M/CTL 57V (E) ROD01F</t>
  </si>
  <si>
    <t xml:space="preserve">150/70-17M/CTL 69V (E) ROD01R</t>
  </si>
  <si>
    <t xml:space="preserve">120/70ZR17M/CTL (58W) (E) DR4-F </t>
  </si>
  <si>
    <t xml:space="preserve">160/60ZR17M/CTL (69W) (E) DR4-R </t>
  </si>
  <si>
    <t xml:space="preserve">100/90-19NHS 57M S32MSR</t>
  </si>
  <si>
    <t xml:space="preserve">140/70R17M/CTL 66H M5-R</t>
  </si>
  <si>
    <t xml:space="preserve">130/70-14M/C REINFTL 64P AngScR</t>
  </si>
  <si>
    <t xml:space="preserve">100/70R17NHSTL K487 SCD DSBK-F</t>
  </si>
  <si>
    <t xml:space="preserve">100/70R17NHSTL K488 SCD DSBK-F</t>
  </si>
  <si>
    <t xml:space="preserve">120/70R17M/CTL 58H DR3-F</t>
  </si>
  <si>
    <t xml:space="preserve">120/80V16M/CTL (60V) LaserF</t>
  </si>
  <si>
    <t xml:space="preserve">120/70ZR19M/CTL 60W (C) Trai2F</t>
  </si>
  <si>
    <t xml:space="preserve">120/70R19M/CTL 60V ROD02F</t>
  </si>
  <si>
    <t xml:space="preserve">170/60R17M/CTL 72V ROD02R</t>
  </si>
  <si>
    <t xml:space="preserve">110/70-13M/CTL 48P DRScxF</t>
  </si>
  <si>
    <t xml:space="preserve">140/70R18M/CTL 67H M+S ScRaSR</t>
  </si>
  <si>
    <t xml:space="preserve">110/70R17M/CTL 54H DRC2-F</t>
  </si>
  <si>
    <t xml:space="preserve">140/70R17M/CTL 66H DRC2-R</t>
  </si>
  <si>
    <t xml:space="preserve">150/60R17M/CTL 66H DRC2-R</t>
  </si>
  <si>
    <t xml:space="preserve">120/70ZR17M/CTL (58W) DiablF</t>
  </si>
  <si>
    <t xml:space="preserve">160/60ZR17M/CTL (69W) DiablR</t>
  </si>
  <si>
    <t xml:space="preserve">180/55ZR17M/CTL (73W) DiablR</t>
  </si>
  <si>
    <t xml:space="preserve">120/70ZR17M/CTL (58W) AnGT3F</t>
  </si>
  <si>
    <t xml:space="preserve">180/55ZR17M/CTL (73W) AnGT3R</t>
  </si>
  <si>
    <t xml:space="preserve">190/50ZR17M/CTL (73W) AnGT3R</t>
  </si>
  <si>
    <t xml:space="preserve">190/55ZR17M/CTL (75W) AnGT3R</t>
  </si>
  <si>
    <t xml:space="preserve">120/70R19M/CTL 60V AnGT3F</t>
  </si>
  <si>
    <t xml:space="preserve">170/60R17M/CTL 72V AnGT3R</t>
  </si>
  <si>
    <t xml:space="preserve">160/60ZR17M/CTL (69W) AnGT3R</t>
  </si>
  <si>
    <t xml:space="preserve">90/90-10TL 50J AngSc2</t>
  </si>
  <si>
    <t xml:space="preserve">100/90-10TL 56J AngSc2</t>
  </si>
  <si>
    <t xml:space="preserve">90/90-12TL 44J AngSc2</t>
  </si>
  <si>
    <t xml:space="preserve">110/70-12TL 47P AngSc2</t>
  </si>
  <si>
    <t xml:space="preserve">120/70-12TL 51P AngSc2</t>
  </si>
  <si>
    <t xml:space="preserve">130/70-12REINFTL 62P AngSc2</t>
  </si>
  <si>
    <t xml:space="preserve">110/70-13M/C REINFTL 54S AngSc2</t>
  </si>
  <si>
    <t xml:space="preserve">130/70-13M/C REINFTL 63S AngSc2</t>
  </si>
  <si>
    <t xml:space="preserve">110/80-14M/C REINFTL 59S AngSc2</t>
  </si>
  <si>
    <t xml:space="preserve">140/70-14M/C REINFTL 68S AngSc2</t>
  </si>
  <si>
    <t xml:space="preserve">120/70-15M/CTL 56S AngSc2</t>
  </si>
  <si>
    <t xml:space="preserve">110/80R19M/CTL 59V Kar4SF</t>
  </si>
  <si>
    <t xml:space="preserve">120/70R19M/CTL 60V Kar4SF</t>
  </si>
  <si>
    <t xml:space="preserve">90/90-21M/CTL 54V Kar4SF</t>
  </si>
  <si>
    <t xml:space="preserve">140/80R17M/CTL 69V Kar4SR</t>
  </si>
  <si>
    <t xml:space="preserve">150/70R17M/CTL 69V Kar4SR</t>
  </si>
  <si>
    <t xml:space="preserve">170/60R17M/CTL 72V Kar4SR</t>
  </si>
  <si>
    <t xml:space="preserve">150/70R18M/CTL 70V Kar4SR</t>
  </si>
  <si>
    <t xml:space="preserve">120/70ZR17M/CTL (58W) (C) DR4C-F</t>
  </si>
  <si>
    <t xml:space="preserve">180/55ZR17M/CTL (73W) (C) DR4C-R</t>
  </si>
  <si>
    <t xml:space="preserve">190/55ZR17M/CTL (75W) (C) DR4C-R</t>
  </si>
  <si>
    <t xml:space="preserve">100/90-19M/CTL 57V M+S ScRaSF</t>
  </si>
  <si>
    <t xml:space="preserve">110/70R17M/CTL 54H (R) MT60WF</t>
  </si>
  <si>
    <t xml:space="preserve">150/60R17M/CTL 66H (R) MT60WR</t>
  </si>
  <si>
    <t xml:space="preserve">120/90-18NHS 65M S32MSR</t>
  </si>
  <si>
    <t xml:space="preserve">90/100-12NHS 65M S32MSR</t>
  </si>
  <si>
    <t xml:space="preserve">120/70R19M/CTL 60V TNxt2F</t>
  </si>
  <si>
    <t xml:space="preserve">120/70ZR17M/CTL (58W) (B) AnGT3F</t>
  </si>
  <si>
    <t xml:space="preserve">3.00-17M/C REINF 50P ME22</t>
  </si>
  <si>
    <t xml:space="preserve">3.25-18M/C REINF 59P ME22</t>
  </si>
  <si>
    <t xml:space="preserve">120/90-18M/C 65R M+S MT21-R</t>
  </si>
  <si>
    <t xml:space="preserve">80/90-21M/C 48P M+S MT21-F</t>
  </si>
  <si>
    <t xml:space="preserve">120/70ZR17M/CTL (58W) (R) DR4-F</t>
  </si>
  <si>
    <t xml:space="preserve">160/60ZR17M/CTL (69W) (R) DR4-R</t>
  </si>
  <si>
    <t xml:space="preserve">160/60ZR17M/CTL (69W) (R) Trai3R</t>
  </si>
  <si>
    <t xml:space="preserve">100/90-19M/CTL 57S M+S (B) Karo4F</t>
  </si>
  <si>
    <t xml:space="preserve">100/70R15NHSTL SC1 DSBK-F</t>
  </si>
  <si>
    <t xml:space="preserve">120/70R15NHSTL SC1 DSBK-R</t>
  </si>
  <si>
    <t xml:space="preserve">120/70ZR17M/CTL (58W) (C) S1RS-F</t>
  </si>
  <si>
    <t xml:space="preserve">190/55ZR17M/CTL (75W) (C) S1RS-R</t>
  </si>
  <si>
    <t xml:space="preserve">120/70R17NHSTL V4 SC1 REAR DSC4-R</t>
  </si>
  <si>
    <t xml:space="preserve">120/70R17NHSTL V4 SC3 DSC4-F</t>
  </si>
  <si>
    <t xml:space="preserve">140/70R17NHSTL V4 SC3 DSC4-R</t>
  </si>
  <si>
    <t xml:space="preserve">160/60R17NHSTL V4 SC1 DSC4-R</t>
  </si>
  <si>
    <t xml:space="preserve">180/60R17NHSTL V4 SC3 DSC4-R</t>
  </si>
  <si>
    <t xml:space="preserve">200/60R17NHSTL V4 SC1 DSC4-R</t>
  </si>
  <si>
    <t xml:space="preserve">200/55R17NHSTL V4 SC1 DSC4-R</t>
  </si>
  <si>
    <t xml:space="preserve">200/60R17NHSTL V4 SC3 DSC4-R</t>
  </si>
  <si>
    <t xml:space="preserve">120/80-18M/C 62S M+S ScRaSR</t>
  </si>
  <si>
    <t xml:space="preserve">150/70R17M/CTL 69V M+S ScRaSR</t>
  </si>
  <si>
    <t xml:space="preserve">120/70R19M/CTL 60V M+S ScRaSF</t>
  </si>
  <si>
    <t xml:space="preserve">170/60R17M/CTL 72V M+S ScRaSR</t>
  </si>
  <si>
    <t xml:space="preserve">150/70R18M/CTL 70V M+S ScRaSR</t>
  </si>
  <si>
    <t xml:space="preserve">110/70R17NHSTL V4 SC3 DSC4-F</t>
  </si>
  <si>
    <t xml:space="preserve">180/55ZR17M/CTL (73W) (C) S1RS-R</t>
  </si>
  <si>
    <t xml:space="preserve">190/55ZR17M/CTL (75W) (A) AnGT3R</t>
  </si>
  <si>
    <t xml:space="preserve">100/70R15NHSTL SCR1 DBRAIF</t>
  </si>
  <si>
    <t xml:space="preserve">120/70R15NHSTL SCR1 DBRAIN</t>
  </si>
  <si>
    <t xml:space="preserve">100/70R17NHSTL SC1 DSC4-F</t>
  </si>
  <si>
    <t xml:space="preserve">120/70ZR17M/CTL (58W) (C) AnGT3F</t>
  </si>
  <si>
    <t xml:space="preserve">180/55ZR17M/CTL (73W) (C) AnGT3R</t>
  </si>
  <si>
    <t xml:space="preserve">Proforma</t>
  </si>
  <si>
    <t xml:space="preserve">Cliente</t>
  </si>
  <si>
    <t xml:space="preserve">Qty</t>
  </si>
  <si>
    <t xml:space="preserve">Ipcode</t>
  </si>
  <si>
    <t xml:space="preserve">Sales force</t>
  </si>
  <si>
    <t xml:space="preserve">Price USD</t>
  </si>
  <si>
    <t xml:space="preserve">ITALCAUCHOS C.L. (EJEMPLO - BORRAR)</t>
  </si>
  <si>
    <t xml:space="preserve">cliente</t>
  </si>
  <si>
    <t xml:space="preserve">Tscode (automático)</t>
  </si>
  <si>
    <t xml:space="preserve">pf</t>
  </si>
  <si>
    <t xml:space="preserve">Brand Line</t>
  </si>
  <si>
    <t xml:space="preserve">Quantity</t>
  </si>
  <si>
    <t xml:space="preserve">Net Price</t>
  </si>
  <si>
    <t xml:space="preserve">Amount</t>
  </si>
  <si>
    <t xml:space="preserve">Goods Origin</t>
  </si>
  <si>
    <t xml:space="preserve">akt</t>
  </si>
  <si>
    <t xml:space="preserve">Moto METZELER</t>
  </si>
  <si>
    <t xml:space="preserve">CN</t>
  </si>
  <si>
    <t xml:space="preserve">mercado</t>
  </si>
  <si>
    <t xml:space="preserve">FAC</t>
  </si>
  <si>
    <t xml:space="preserve">SEP</t>
  </si>
  <si>
    <t xml:space="preserve">Fuente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</si>
</sst>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3" t="s">
        <v>13</v>
      </c>
    </row>
    <row r="16" customFormat="false" ht="15" hidden="false" customHeight="true" outlineLevel="0" collapsed="false">
      <c r="A16" s="3" t="s">
        <v>14</v>
      </c>
    </row>
    <row r="17" customFormat="false" ht="15" hidden="false" customHeight="true" outlineLevel="0" collapsed="false">
      <c r="A17" s="3" t="s">
        <v>15</v>
      </c>
    </row>
    <row r="18" customFormat="false" ht="15" hidden="false" customHeight="true" outlineLevel="0" collapsed="false">
      <c r="A18" s="3" t="s">
        <v>16</v>
      </c>
    </row>
    <row r="19" customFormat="false" ht="15" hidden="false" customHeight="true" outlineLevel="0" collapsed="false">
      <c r="A19" s="3" t="s">
        <v>17</v>
      </c>
    </row>
    <row r="20" customFormat="false" ht="15" hidden="false" customHeight="true" outlineLevel="0" collapsed="false">
      <c r="A20" s="3" t="s">
        <v>18</v>
      </c>
    </row>
    <row r="21" customFormat="false" ht="15" hidden="false" customHeight="true" outlineLevel="0" collapsed="false">
      <c r="A21" s="3" t="s">
        <v>19</v>
      </c>
    </row>
    <row r="22" customFormat="false" ht="15" hidden="false" customHeight="true" outlineLevel="0" collapsed="false">
      <c r="A22" s="3" t="s">
        <v>20</v>
      </c>
    </row>
    <row r="23" customFormat="false" ht="15" hidden="false" customHeight="true" outlineLevel="0" collapsed="false">
      <c r="A23" s="3" t="s">
        <v>21</v>
      </c>
    </row>
    <row r="24" customFormat="false" ht="15" hidden="false" customHeight="true" outlineLevel="0" collapsed="false">
      <c r="A24" s="3" t="s">
        <v>22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3" t="s">
        <v>23</v>
      </c>
    </row>
    <row r="27" customFormat="false" ht="15" hidden="false" customHeight="true" outlineLevel="0" collapsed="false">
      <c r="A27" s="3" t="s">
        <v>24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3" t="s">
        <v>25</v>
      </c>
    </row>
    <row r="30" customFormat="false" ht="15" hidden="false" customHeight="true" outlineLevel="0" collapsed="false">
      <c r="A30" s="3" t="s">
        <v>26</v>
      </c>
    </row>
    <row r="31" customFormat="false" ht="15" hidden="false" customHeight="true" outlineLevel="0" collapsed="false">
      <c r="A31" s="3" t="s">
        <v>27</v>
      </c>
    </row>
    <row r="32" customFormat="false" ht="15" hidden="false" customHeight="true" outlineLevel="0" collapsed="false">
      <c r="A32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4"/>
  </cols>
  <sheetData>
    <row r="1" customFormat="false" ht="15" hidden="false" customHeight="true" outlineLevel="0" collapsed="false">
      <c r="A1" s="4" t="s">
        <v>29</v>
      </c>
      <c r="B1" s="4" t="s">
        <v>30</v>
      </c>
      <c r="C1" s="4" t="s">
        <v>31</v>
      </c>
    </row>
    <row r="2" customFormat="false" ht="15" hidden="false" customHeight="true" outlineLevel="0" collapsed="false">
      <c r="A2" s="5" t="s">
        <v>32</v>
      </c>
      <c r="B2" s="5"/>
      <c r="C2" s="5" t="s">
        <v>33</v>
      </c>
    </row>
    <row r="3" customFormat="false" ht="15" hidden="false" customHeight="true" outlineLevel="0" collapsed="false">
      <c r="A3" s="5" t="s">
        <v>34</v>
      </c>
      <c r="B3" s="5"/>
      <c r="C3" s="5" t="s">
        <v>35</v>
      </c>
    </row>
    <row r="4" customFormat="false" ht="15" hidden="false" customHeight="true" outlineLevel="0" collapsed="false">
      <c r="A4" s="5" t="s">
        <v>36</v>
      </c>
      <c r="B4" s="5" t="s">
        <v>37</v>
      </c>
      <c r="C4" s="5" t="s">
        <v>38</v>
      </c>
    </row>
    <row r="5" customFormat="false" ht="15" hidden="false" customHeight="true" outlineLevel="0" collapsed="false">
      <c r="A5" s="5" t="s">
        <v>39</v>
      </c>
      <c r="B5" s="5"/>
      <c r="C5" s="5" t="s">
        <v>33</v>
      </c>
    </row>
    <row r="6" customFormat="false" ht="15" hidden="false" customHeight="true" outlineLevel="0" collapsed="false">
      <c r="A6" s="5" t="s">
        <v>40</v>
      </c>
      <c r="B6" s="5" t="s">
        <v>41</v>
      </c>
      <c r="C6" s="5" t="s">
        <v>42</v>
      </c>
    </row>
    <row r="7" customFormat="false" ht="15" hidden="false" customHeight="true" outlineLevel="0" collapsed="false">
      <c r="A7" s="5" t="s">
        <v>43</v>
      </c>
      <c r="B7" s="5" t="s">
        <v>44</v>
      </c>
      <c r="C7" s="5" t="s">
        <v>45</v>
      </c>
    </row>
    <row r="8" customFormat="false" ht="15" hidden="false" customHeight="true" outlineLevel="0" collapsed="false">
      <c r="A8" s="5" t="s">
        <v>46</v>
      </c>
      <c r="B8" s="5" t="s">
        <v>47</v>
      </c>
      <c r="C8" s="5" t="s">
        <v>48</v>
      </c>
    </row>
    <row r="9" customFormat="false" ht="15" hidden="false" customHeight="true" outlineLevel="0" collapsed="false">
      <c r="A9" s="5" t="s">
        <v>49</v>
      </c>
      <c r="B9" s="5" t="s">
        <v>50</v>
      </c>
      <c r="C9" s="5" t="s">
        <v>48</v>
      </c>
    </row>
    <row r="10" customFormat="false" ht="15" hidden="false" customHeight="true" outlineLevel="0" collapsed="false">
      <c r="A10" s="5" t="s">
        <v>51</v>
      </c>
      <c r="B10" s="5" t="s">
        <v>52</v>
      </c>
      <c r="C10" s="5" t="s">
        <v>53</v>
      </c>
    </row>
    <row r="11" customFormat="false" ht="15" hidden="false" customHeight="true" outlineLevel="0" collapsed="false">
      <c r="A11" s="5" t="s">
        <v>54</v>
      </c>
      <c r="B11" s="5" t="s">
        <v>55</v>
      </c>
      <c r="C11" s="5" t="s">
        <v>35</v>
      </c>
    </row>
    <row r="12" customFormat="false" ht="15" hidden="false" customHeight="true" outlineLevel="0" collapsed="false">
      <c r="A12" s="5" t="s">
        <v>56</v>
      </c>
      <c r="B12" s="5" t="s">
        <v>57</v>
      </c>
      <c r="C12" s="5" t="s">
        <v>45</v>
      </c>
    </row>
    <row r="13" customFormat="false" ht="15" hidden="false" customHeight="true" outlineLevel="0" collapsed="false">
      <c r="A13" s="5" t="s">
        <v>58</v>
      </c>
      <c r="B13" s="5" t="s">
        <v>59</v>
      </c>
      <c r="C13" s="5" t="s">
        <v>35</v>
      </c>
    </row>
    <row r="14" customFormat="false" ht="15" hidden="false" customHeight="true" outlineLevel="0" collapsed="false">
      <c r="A14" s="5" t="s">
        <v>60</v>
      </c>
      <c r="B14" s="5" t="s">
        <v>61</v>
      </c>
      <c r="C14" s="5" t="s">
        <v>42</v>
      </c>
    </row>
    <row r="15" customFormat="false" ht="15" hidden="false" customHeight="true" outlineLevel="0" collapsed="false">
      <c r="A15" s="5" t="s">
        <v>62</v>
      </c>
      <c r="B15" s="5" t="s">
        <v>63</v>
      </c>
      <c r="C15" s="5" t="s">
        <v>35</v>
      </c>
    </row>
    <row r="16" customFormat="false" ht="15" hidden="false" customHeight="true" outlineLevel="0" collapsed="false">
      <c r="A16" s="5" t="s">
        <v>64</v>
      </c>
      <c r="B16" s="5" t="s">
        <v>65</v>
      </c>
      <c r="C16" s="5" t="s">
        <v>42</v>
      </c>
    </row>
    <row r="17" customFormat="false" ht="15" hidden="false" customHeight="true" outlineLevel="0" collapsed="false">
      <c r="A17" s="5" t="s">
        <v>66</v>
      </c>
      <c r="B17" s="5"/>
      <c r="C17" s="5" t="s">
        <v>35</v>
      </c>
    </row>
    <row r="18" customFormat="false" ht="15" hidden="false" customHeight="true" outlineLevel="0" collapsed="false">
      <c r="A18" s="5" t="s">
        <v>67</v>
      </c>
      <c r="B18" s="5" t="s">
        <v>68</v>
      </c>
      <c r="C18" s="5" t="s">
        <v>42</v>
      </c>
    </row>
    <row r="19" customFormat="false" ht="15" hidden="false" customHeight="true" outlineLevel="0" collapsed="false">
      <c r="A19" s="5" t="s">
        <v>69</v>
      </c>
      <c r="B19" s="5" t="s">
        <v>70</v>
      </c>
      <c r="C19" s="5" t="s">
        <v>42</v>
      </c>
    </row>
    <row r="20" customFormat="false" ht="15" hidden="false" customHeight="true" outlineLevel="0" collapsed="false">
      <c r="A20" s="5" t="s">
        <v>71</v>
      </c>
      <c r="B20" s="5" t="s">
        <v>72</v>
      </c>
      <c r="C20" s="5" t="s">
        <v>35</v>
      </c>
    </row>
    <row r="21" customFormat="false" ht="15" hidden="false" customHeight="true" outlineLevel="0" collapsed="false">
      <c r="A21" s="5" t="s">
        <v>73</v>
      </c>
      <c r="B21" s="5"/>
      <c r="C21" s="5" t="s">
        <v>35</v>
      </c>
    </row>
    <row r="22" customFormat="false" ht="15" hidden="false" customHeight="true" outlineLevel="0" collapsed="false">
      <c r="A22" s="5" t="s">
        <v>74</v>
      </c>
      <c r="B22" s="5"/>
      <c r="C22" s="5" t="s">
        <v>35</v>
      </c>
    </row>
    <row r="23" customFormat="false" ht="15" hidden="false" customHeight="true" outlineLevel="0" collapsed="false">
      <c r="A23" s="5" t="s">
        <v>75</v>
      </c>
      <c r="B23" s="5" t="s">
        <v>76</v>
      </c>
      <c r="C23" s="5" t="s">
        <v>35</v>
      </c>
    </row>
    <row r="24" customFormat="false" ht="15" hidden="false" customHeight="true" outlineLevel="0" collapsed="false">
      <c r="A24" s="5" t="s">
        <v>77</v>
      </c>
      <c r="B24" s="5"/>
      <c r="C24" s="5" t="s">
        <v>78</v>
      </c>
    </row>
    <row r="25" customFormat="false" ht="15" hidden="false" customHeight="true" outlineLevel="0" collapsed="false">
      <c r="A25" s="5" t="s">
        <v>79</v>
      </c>
      <c r="B25" s="5"/>
      <c r="C25" s="5" t="s">
        <v>78</v>
      </c>
    </row>
    <row r="26" customFormat="false" ht="15" hidden="false" customHeight="true" outlineLevel="0" collapsed="false">
      <c r="A26" s="5" t="s">
        <v>80</v>
      </c>
      <c r="B26" s="5" t="s">
        <v>81</v>
      </c>
      <c r="C26" s="5" t="s">
        <v>42</v>
      </c>
    </row>
    <row r="27" customFormat="false" ht="15" hidden="false" customHeight="true" outlineLevel="0" collapsed="false">
      <c r="A27" s="5" t="s">
        <v>82</v>
      </c>
      <c r="B27" s="5"/>
      <c r="C27" s="5" t="s">
        <v>42</v>
      </c>
    </row>
    <row r="28" customFormat="false" ht="15" hidden="false" customHeight="true" outlineLevel="0" collapsed="false">
      <c r="A28" s="5" t="s">
        <v>83</v>
      </c>
      <c r="B28" s="5" t="s">
        <v>84</v>
      </c>
      <c r="C28" s="5" t="s">
        <v>53</v>
      </c>
    </row>
    <row r="29" customFormat="false" ht="15" hidden="false" customHeight="true" outlineLevel="0" collapsed="false">
      <c r="A29" s="5" t="s">
        <v>85</v>
      </c>
      <c r="B29" s="5" t="s">
        <v>86</v>
      </c>
      <c r="C29" s="5" t="s">
        <v>42</v>
      </c>
    </row>
    <row r="30" customFormat="false" ht="15" hidden="false" customHeight="true" outlineLevel="0" collapsed="false">
      <c r="A30" s="5" t="s">
        <v>87</v>
      </c>
      <c r="B30" s="5" t="s">
        <v>88</v>
      </c>
      <c r="C30" s="5" t="s">
        <v>89</v>
      </c>
    </row>
    <row r="31" customFormat="false" ht="15" hidden="false" customHeight="true" outlineLevel="0" collapsed="false">
      <c r="A31" s="5" t="s">
        <v>90</v>
      </c>
      <c r="B31" s="5"/>
      <c r="C31" s="5" t="s">
        <v>33</v>
      </c>
    </row>
    <row r="32" customFormat="false" ht="15" hidden="false" customHeight="false" outlineLevel="0" collapsed="false">
      <c r="A32" s="1" t="s">
        <v>91</v>
      </c>
      <c r="C32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26"/>
  </cols>
  <sheetData>
    <row r="1" customFormat="false" ht="15" hidden="false" customHeight="true" outlineLevel="0" collapsed="false">
      <c r="A1" s="3" t="s">
        <v>92</v>
      </c>
    </row>
    <row r="2" customFormat="false" ht="15" hidden="false" customHeight="true" outlineLevel="0" collapsed="false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</row>
    <row r="3" customFormat="false" ht="15" hidden="false" customHeight="true" outlineLevel="0" collapsed="false">
      <c r="A3" s="5" t="n">
        <v>109200</v>
      </c>
      <c r="B3" s="5" t="s">
        <v>98</v>
      </c>
      <c r="C3" s="5" t="s">
        <v>99</v>
      </c>
      <c r="D3" s="5" t="s">
        <v>100</v>
      </c>
      <c r="E3" s="5" t="s">
        <v>100</v>
      </c>
    </row>
    <row r="4" customFormat="false" ht="15" hidden="false" customHeight="true" outlineLevel="0" collapsed="false">
      <c r="A4" s="5" t="n">
        <v>109400</v>
      </c>
      <c r="B4" s="5" t="s">
        <v>101</v>
      </c>
      <c r="C4" s="5" t="s">
        <v>99</v>
      </c>
      <c r="D4" s="5" t="s">
        <v>100</v>
      </c>
      <c r="E4" s="5" t="s">
        <v>100</v>
      </c>
    </row>
    <row r="5" customFormat="false" ht="15" hidden="false" customHeight="true" outlineLevel="0" collapsed="false">
      <c r="A5" s="5" t="n">
        <v>109500</v>
      </c>
      <c r="B5" s="5" t="s">
        <v>102</v>
      </c>
      <c r="C5" s="5" t="s">
        <v>99</v>
      </c>
      <c r="D5" s="5" t="s">
        <v>100</v>
      </c>
      <c r="E5" s="5" t="s">
        <v>100</v>
      </c>
    </row>
    <row r="6" customFormat="false" ht="15" hidden="false" customHeight="true" outlineLevel="0" collapsed="false">
      <c r="A6" s="5" t="n">
        <v>109700</v>
      </c>
      <c r="B6" s="5" t="s">
        <v>103</v>
      </c>
      <c r="C6" s="5" t="s">
        <v>99</v>
      </c>
      <c r="D6" s="5" t="s">
        <v>100</v>
      </c>
      <c r="E6" s="5" t="s">
        <v>100</v>
      </c>
    </row>
    <row r="7" customFormat="false" ht="15" hidden="false" customHeight="true" outlineLevel="0" collapsed="false">
      <c r="A7" s="5" t="n">
        <v>109800</v>
      </c>
      <c r="B7" s="5" t="s">
        <v>104</v>
      </c>
      <c r="C7" s="5" t="s">
        <v>99</v>
      </c>
      <c r="D7" s="5" t="s">
        <v>100</v>
      </c>
      <c r="E7" s="5" t="s">
        <v>100</v>
      </c>
    </row>
    <row r="8" customFormat="false" ht="15" hidden="false" customHeight="true" outlineLevel="0" collapsed="false">
      <c r="A8" s="5" t="n">
        <v>109900</v>
      </c>
      <c r="B8" s="5" t="s">
        <v>105</v>
      </c>
      <c r="C8" s="5" t="s">
        <v>99</v>
      </c>
      <c r="D8" s="5" t="s">
        <v>100</v>
      </c>
      <c r="E8" s="5" t="s">
        <v>100</v>
      </c>
    </row>
    <row r="9" customFormat="false" ht="15" hidden="false" customHeight="true" outlineLevel="0" collapsed="false">
      <c r="A9" s="5" t="n">
        <v>110000</v>
      </c>
      <c r="B9" s="5" t="s">
        <v>106</v>
      </c>
      <c r="C9" s="5" t="s">
        <v>99</v>
      </c>
      <c r="D9" s="5" t="s">
        <v>100</v>
      </c>
      <c r="E9" s="5" t="s">
        <v>100</v>
      </c>
    </row>
    <row r="10" customFormat="false" ht="15" hidden="false" customHeight="true" outlineLevel="0" collapsed="false">
      <c r="A10" s="5" t="n">
        <v>110100</v>
      </c>
      <c r="B10" s="5" t="s">
        <v>107</v>
      </c>
      <c r="C10" s="5" t="s">
        <v>99</v>
      </c>
      <c r="D10" s="5" t="s">
        <v>100</v>
      </c>
      <c r="E10" s="5" t="s">
        <v>100</v>
      </c>
    </row>
    <row r="11" customFormat="false" ht="15" hidden="false" customHeight="true" outlineLevel="0" collapsed="false">
      <c r="A11" s="5" t="n">
        <v>111100</v>
      </c>
      <c r="B11" s="5" t="s">
        <v>108</v>
      </c>
      <c r="C11" s="5" t="s">
        <v>99</v>
      </c>
      <c r="D11" s="5" t="s">
        <v>100</v>
      </c>
      <c r="E11" s="5" t="s">
        <v>100</v>
      </c>
    </row>
    <row r="12" customFormat="false" ht="15" hidden="false" customHeight="true" outlineLevel="0" collapsed="false">
      <c r="A12" s="5" t="n">
        <v>111700</v>
      </c>
      <c r="B12" s="5" t="s">
        <v>109</v>
      </c>
      <c r="C12" s="5" t="s">
        <v>99</v>
      </c>
      <c r="D12" s="5" t="s">
        <v>100</v>
      </c>
      <c r="E12" s="5" t="s">
        <v>100</v>
      </c>
    </row>
    <row r="13" customFormat="false" ht="15" hidden="false" customHeight="true" outlineLevel="0" collapsed="false">
      <c r="A13" s="5" t="n">
        <v>113700</v>
      </c>
      <c r="B13" s="5" t="s">
        <v>110</v>
      </c>
      <c r="C13" s="5" t="s">
        <v>99</v>
      </c>
      <c r="D13" s="5" t="s">
        <v>100</v>
      </c>
      <c r="E13" s="5" t="s">
        <v>100</v>
      </c>
    </row>
    <row r="14" customFormat="false" ht="15" hidden="false" customHeight="true" outlineLevel="0" collapsed="false">
      <c r="A14" s="5" t="n">
        <v>116100</v>
      </c>
      <c r="B14" s="5" t="s">
        <v>111</v>
      </c>
      <c r="C14" s="5" t="s">
        <v>99</v>
      </c>
      <c r="D14" s="5" t="s">
        <v>100</v>
      </c>
      <c r="E14" s="5" t="s">
        <v>100</v>
      </c>
    </row>
    <row r="15" customFormat="false" ht="15" hidden="false" customHeight="true" outlineLevel="0" collapsed="false">
      <c r="A15" s="5" t="n">
        <v>129100</v>
      </c>
      <c r="B15" s="5" t="s">
        <v>112</v>
      </c>
      <c r="C15" s="5" t="s">
        <v>99</v>
      </c>
      <c r="D15" s="5" t="s">
        <v>100</v>
      </c>
      <c r="E15" s="5" t="s">
        <v>100</v>
      </c>
    </row>
    <row r="16" customFormat="false" ht="15" hidden="false" customHeight="true" outlineLevel="0" collapsed="false">
      <c r="A16" s="5" t="n">
        <v>139200</v>
      </c>
      <c r="B16" s="5" t="s">
        <v>113</v>
      </c>
      <c r="C16" s="5" t="s">
        <v>99</v>
      </c>
      <c r="D16" s="5" t="s">
        <v>114</v>
      </c>
      <c r="E16" s="5" t="s">
        <v>115</v>
      </c>
    </row>
    <row r="17" customFormat="false" ht="15" hidden="false" customHeight="true" outlineLevel="0" collapsed="false">
      <c r="A17" s="5" t="n">
        <v>142700</v>
      </c>
      <c r="B17" s="5" t="s">
        <v>116</v>
      </c>
      <c r="C17" s="5" t="s">
        <v>99</v>
      </c>
      <c r="D17" s="5" t="s">
        <v>114</v>
      </c>
      <c r="E17" s="5" t="s">
        <v>117</v>
      </c>
    </row>
    <row r="18" customFormat="false" ht="15" hidden="false" customHeight="true" outlineLevel="0" collapsed="false">
      <c r="A18" s="5" t="n">
        <v>143500</v>
      </c>
      <c r="B18" s="5" t="s">
        <v>118</v>
      </c>
      <c r="C18" s="5" t="s">
        <v>99</v>
      </c>
      <c r="D18" s="5" t="s">
        <v>114</v>
      </c>
      <c r="E18" s="5" t="s">
        <v>117</v>
      </c>
    </row>
    <row r="19" customFormat="false" ht="15" hidden="false" customHeight="true" outlineLevel="0" collapsed="false">
      <c r="A19" s="5" t="n">
        <v>143600</v>
      </c>
      <c r="B19" s="5" t="s">
        <v>119</v>
      </c>
      <c r="C19" s="5" t="s">
        <v>99</v>
      </c>
      <c r="D19" s="5" t="s">
        <v>114</v>
      </c>
      <c r="E19" s="5" t="s">
        <v>117</v>
      </c>
    </row>
    <row r="20" customFormat="false" ht="15" hidden="false" customHeight="true" outlineLevel="0" collapsed="false">
      <c r="A20" s="5" t="n">
        <v>282200</v>
      </c>
      <c r="B20" s="5" t="s">
        <v>120</v>
      </c>
      <c r="C20" s="5" t="s">
        <v>99</v>
      </c>
      <c r="D20" s="5" t="s">
        <v>114</v>
      </c>
      <c r="E20" s="5" t="s">
        <v>115</v>
      </c>
    </row>
    <row r="21" customFormat="false" ht="15" hidden="false" customHeight="true" outlineLevel="0" collapsed="false">
      <c r="A21" s="5" t="n">
        <v>346900</v>
      </c>
      <c r="B21" s="5" t="s">
        <v>121</v>
      </c>
      <c r="C21" s="5" t="s">
        <v>99</v>
      </c>
      <c r="D21" s="5" t="s">
        <v>100</v>
      </c>
      <c r="E21" s="5" t="s">
        <v>100</v>
      </c>
    </row>
    <row r="22" customFormat="false" ht="15" hidden="false" customHeight="true" outlineLevel="0" collapsed="false">
      <c r="A22" s="5" t="n">
        <v>347000</v>
      </c>
      <c r="B22" s="5" t="s">
        <v>122</v>
      </c>
      <c r="C22" s="5" t="s">
        <v>99</v>
      </c>
      <c r="D22" s="5" t="s">
        <v>100</v>
      </c>
      <c r="E22" s="5" t="s">
        <v>100</v>
      </c>
    </row>
    <row r="23" customFormat="false" ht="15" hidden="false" customHeight="true" outlineLevel="0" collapsed="false">
      <c r="A23" s="5" t="n">
        <v>531000</v>
      </c>
      <c r="B23" s="5" t="s">
        <v>123</v>
      </c>
      <c r="C23" s="5" t="s">
        <v>99</v>
      </c>
      <c r="D23" s="5" t="s">
        <v>124</v>
      </c>
      <c r="E23" s="5" t="s">
        <v>125</v>
      </c>
    </row>
    <row r="24" customFormat="false" ht="15" hidden="false" customHeight="true" outlineLevel="0" collapsed="false">
      <c r="A24" s="5" t="n">
        <v>531100</v>
      </c>
      <c r="B24" s="5" t="s">
        <v>126</v>
      </c>
      <c r="C24" s="5" t="s">
        <v>99</v>
      </c>
      <c r="D24" s="5" t="s">
        <v>124</v>
      </c>
      <c r="E24" s="5" t="s">
        <v>125</v>
      </c>
    </row>
    <row r="25" customFormat="false" ht="15" hidden="false" customHeight="true" outlineLevel="0" collapsed="false">
      <c r="A25" s="5" t="n">
        <v>699300</v>
      </c>
      <c r="B25" s="5" t="s">
        <v>127</v>
      </c>
      <c r="C25" s="5" t="s">
        <v>99</v>
      </c>
      <c r="D25" s="5" t="s">
        <v>114</v>
      </c>
      <c r="E25" s="5" t="s">
        <v>128</v>
      </c>
    </row>
    <row r="26" customFormat="false" ht="15" hidden="false" customHeight="true" outlineLevel="0" collapsed="false">
      <c r="A26" s="5" t="n">
        <v>712800</v>
      </c>
      <c r="B26" s="5" t="s">
        <v>129</v>
      </c>
      <c r="C26" s="5" t="s">
        <v>99</v>
      </c>
      <c r="D26" s="5" t="s">
        <v>100</v>
      </c>
      <c r="E26" s="5" t="s">
        <v>100</v>
      </c>
    </row>
    <row r="27" customFormat="false" ht="15" hidden="false" customHeight="true" outlineLevel="0" collapsed="false">
      <c r="A27" s="5" t="n">
        <v>747200</v>
      </c>
      <c r="B27" s="5" t="s">
        <v>130</v>
      </c>
      <c r="C27" s="5" t="s">
        <v>99</v>
      </c>
      <c r="D27" s="5" t="s">
        <v>100</v>
      </c>
      <c r="E27" s="5" t="s">
        <v>100</v>
      </c>
    </row>
    <row r="28" customFormat="false" ht="15" hidden="false" customHeight="true" outlineLevel="0" collapsed="false">
      <c r="A28" s="5" t="n">
        <v>747300</v>
      </c>
      <c r="B28" s="5" t="s">
        <v>131</v>
      </c>
      <c r="C28" s="5" t="s">
        <v>99</v>
      </c>
      <c r="D28" s="5" t="s">
        <v>100</v>
      </c>
      <c r="E28" s="5" t="s">
        <v>100</v>
      </c>
    </row>
    <row r="29" customFormat="false" ht="15" hidden="false" customHeight="true" outlineLevel="0" collapsed="false">
      <c r="A29" s="5" t="n">
        <v>800300</v>
      </c>
      <c r="B29" s="5" t="s">
        <v>132</v>
      </c>
      <c r="C29" s="5" t="s">
        <v>99</v>
      </c>
      <c r="D29" s="5" t="s">
        <v>114</v>
      </c>
      <c r="E29" s="5" t="s">
        <v>133</v>
      </c>
    </row>
    <row r="30" customFormat="false" ht="15" hidden="false" customHeight="true" outlineLevel="0" collapsed="false">
      <c r="A30" s="5" t="n">
        <v>801100</v>
      </c>
      <c r="B30" s="5" t="s">
        <v>134</v>
      </c>
      <c r="C30" s="5" t="s">
        <v>99</v>
      </c>
      <c r="D30" s="5" t="s">
        <v>114</v>
      </c>
      <c r="E30" s="5" t="s">
        <v>133</v>
      </c>
    </row>
    <row r="31" customFormat="false" ht="15" hidden="false" customHeight="true" outlineLevel="0" collapsed="false">
      <c r="A31" s="5" t="n">
        <v>851900</v>
      </c>
      <c r="B31" s="5" t="s">
        <v>135</v>
      </c>
      <c r="C31" s="5" t="s">
        <v>99</v>
      </c>
      <c r="D31" s="5" t="s">
        <v>114</v>
      </c>
      <c r="E31" s="5" t="s">
        <v>133</v>
      </c>
    </row>
    <row r="32" customFormat="false" ht="15" hidden="false" customHeight="true" outlineLevel="0" collapsed="false">
      <c r="A32" s="5" t="n">
        <v>932300</v>
      </c>
      <c r="B32" s="5" t="s">
        <v>136</v>
      </c>
      <c r="C32" s="5" t="s">
        <v>99</v>
      </c>
      <c r="D32" s="5" t="s">
        <v>100</v>
      </c>
      <c r="E32" s="5" t="s">
        <v>100</v>
      </c>
    </row>
    <row r="33" customFormat="false" ht="15" hidden="false" customHeight="true" outlineLevel="0" collapsed="false">
      <c r="A33" s="5" t="n">
        <v>947500</v>
      </c>
      <c r="B33" s="5" t="s">
        <v>137</v>
      </c>
      <c r="C33" s="5" t="s">
        <v>99</v>
      </c>
      <c r="D33" s="5" t="s">
        <v>114</v>
      </c>
      <c r="E33" s="5" t="s">
        <v>115</v>
      </c>
    </row>
    <row r="34" customFormat="false" ht="15" hidden="false" customHeight="true" outlineLevel="0" collapsed="false">
      <c r="A34" s="5" t="n">
        <v>998000</v>
      </c>
      <c r="B34" s="5" t="s">
        <v>138</v>
      </c>
      <c r="C34" s="5" t="s">
        <v>99</v>
      </c>
      <c r="D34" s="5" t="s">
        <v>114</v>
      </c>
      <c r="E34" s="5" t="s">
        <v>115</v>
      </c>
    </row>
    <row r="35" customFormat="false" ht="15" hidden="false" customHeight="true" outlineLevel="0" collapsed="false">
      <c r="A35" s="5" t="n">
        <v>1003300</v>
      </c>
      <c r="B35" s="5" t="s">
        <v>139</v>
      </c>
      <c r="C35" s="5" t="s">
        <v>99</v>
      </c>
      <c r="D35" s="5" t="s">
        <v>114</v>
      </c>
      <c r="E35" s="5" t="s">
        <v>133</v>
      </c>
    </row>
    <row r="36" customFormat="false" ht="15" hidden="false" customHeight="true" outlineLevel="0" collapsed="false">
      <c r="A36" s="5" t="n">
        <v>1005100</v>
      </c>
      <c r="B36" s="5" t="s">
        <v>140</v>
      </c>
      <c r="C36" s="5" t="s">
        <v>99</v>
      </c>
      <c r="D36" s="5" t="s">
        <v>114</v>
      </c>
      <c r="E36" s="5" t="s">
        <v>117</v>
      </c>
    </row>
    <row r="37" customFormat="false" ht="15" hidden="false" customHeight="true" outlineLevel="0" collapsed="false">
      <c r="A37" s="5" t="n">
        <v>1012000</v>
      </c>
      <c r="B37" s="5" t="s">
        <v>141</v>
      </c>
      <c r="C37" s="5" t="s">
        <v>142</v>
      </c>
      <c r="D37" s="5" t="s">
        <v>143</v>
      </c>
      <c r="E37" s="5" t="s">
        <v>115</v>
      </c>
    </row>
    <row r="38" customFormat="false" ht="15" hidden="false" customHeight="true" outlineLevel="0" collapsed="false">
      <c r="A38" s="5" t="n">
        <v>1012100</v>
      </c>
      <c r="B38" s="5" t="s">
        <v>144</v>
      </c>
      <c r="C38" s="5" t="s">
        <v>142</v>
      </c>
      <c r="D38" s="5" t="s">
        <v>143</v>
      </c>
      <c r="E38" s="5" t="s">
        <v>115</v>
      </c>
    </row>
    <row r="39" customFormat="false" ht="15" hidden="false" customHeight="true" outlineLevel="0" collapsed="false">
      <c r="A39" s="5" t="n">
        <v>1012400</v>
      </c>
      <c r="B39" s="5" t="s">
        <v>145</v>
      </c>
      <c r="C39" s="5" t="s">
        <v>99</v>
      </c>
      <c r="D39" s="5" t="s">
        <v>114</v>
      </c>
      <c r="E39" s="5" t="s">
        <v>115</v>
      </c>
    </row>
    <row r="40" customFormat="false" ht="15" hidden="false" customHeight="true" outlineLevel="0" collapsed="false">
      <c r="A40" s="5" t="n">
        <v>1016400</v>
      </c>
      <c r="B40" s="5" t="s">
        <v>146</v>
      </c>
      <c r="C40" s="5" t="s">
        <v>99</v>
      </c>
      <c r="D40" s="5" t="s">
        <v>114</v>
      </c>
      <c r="E40" s="5" t="s">
        <v>133</v>
      </c>
    </row>
    <row r="41" customFormat="false" ht="15" hidden="false" customHeight="true" outlineLevel="0" collapsed="false">
      <c r="A41" s="5" t="n">
        <v>1086800</v>
      </c>
      <c r="B41" s="5" t="s">
        <v>147</v>
      </c>
      <c r="C41" s="5" t="s">
        <v>142</v>
      </c>
      <c r="D41" s="5" t="s">
        <v>143</v>
      </c>
      <c r="E41" s="5" t="s">
        <v>115</v>
      </c>
    </row>
    <row r="42" customFormat="false" ht="15" hidden="false" customHeight="true" outlineLevel="0" collapsed="false">
      <c r="A42" s="5" t="n">
        <v>1127900</v>
      </c>
      <c r="B42" s="5" t="s">
        <v>148</v>
      </c>
      <c r="C42" s="5" t="s">
        <v>142</v>
      </c>
      <c r="D42" s="5" t="s">
        <v>143</v>
      </c>
      <c r="E42" s="5" t="s">
        <v>115</v>
      </c>
    </row>
    <row r="43" customFormat="false" ht="15" hidden="false" customHeight="true" outlineLevel="0" collapsed="false">
      <c r="A43" s="5" t="n">
        <v>1204700</v>
      </c>
      <c r="B43" s="5" t="s">
        <v>149</v>
      </c>
      <c r="C43" s="5" t="s">
        <v>99</v>
      </c>
      <c r="D43" s="5" t="s">
        <v>100</v>
      </c>
      <c r="E43" s="5" t="s">
        <v>100</v>
      </c>
    </row>
    <row r="44" customFormat="false" ht="15" hidden="false" customHeight="true" outlineLevel="0" collapsed="false">
      <c r="A44" s="5" t="n">
        <v>1268200</v>
      </c>
      <c r="B44" s="5" t="s">
        <v>150</v>
      </c>
      <c r="C44" s="5" t="s">
        <v>99</v>
      </c>
      <c r="D44" s="5" t="s">
        <v>100</v>
      </c>
      <c r="E44" s="5" t="s">
        <v>100</v>
      </c>
    </row>
    <row r="45" customFormat="false" ht="15" hidden="false" customHeight="true" outlineLevel="0" collapsed="false">
      <c r="A45" s="5" t="n">
        <v>1342800</v>
      </c>
      <c r="B45" s="5" t="s">
        <v>151</v>
      </c>
      <c r="C45" s="5" t="s">
        <v>99</v>
      </c>
      <c r="D45" s="5" t="s">
        <v>114</v>
      </c>
      <c r="E45" s="5" t="s">
        <v>152</v>
      </c>
    </row>
    <row r="46" customFormat="false" ht="15" hidden="false" customHeight="true" outlineLevel="0" collapsed="false">
      <c r="A46" s="5" t="n">
        <v>1342900</v>
      </c>
      <c r="B46" s="5" t="s">
        <v>153</v>
      </c>
      <c r="C46" s="5" t="s">
        <v>99</v>
      </c>
      <c r="D46" s="5" t="s">
        <v>114</v>
      </c>
      <c r="E46" s="5" t="s">
        <v>152</v>
      </c>
    </row>
    <row r="47" customFormat="false" ht="15" hidden="false" customHeight="true" outlineLevel="0" collapsed="false">
      <c r="A47" s="5" t="n">
        <v>1343300</v>
      </c>
      <c r="B47" s="5" t="s">
        <v>154</v>
      </c>
      <c r="C47" s="5" t="s">
        <v>99</v>
      </c>
      <c r="D47" s="5" t="s">
        <v>114</v>
      </c>
      <c r="E47" s="5" t="s">
        <v>152</v>
      </c>
    </row>
    <row r="48" customFormat="false" ht="15" hidden="false" customHeight="true" outlineLevel="0" collapsed="false">
      <c r="A48" s="5" t="n">
        <v>1343400</v>
      </c>
      <c r="B48" s="5" t="s">
        <v>155</v>
      </c>
      <c r="C48" s="5" t="s">
        <v>99</v>
      </c>
      <c r="D48" s="5" t="s">
        <v>114</v>
      </c>
      <c r="E48" s="5" t="s">
        <v>152</v>
      </c>
    </row>
    <row r="49" customFormat="false" ht="15" hidden="false" customHeight="true" outlineLevel="0" collapsed="false">
      <c r="A49" s="5" t="n">
        <v>1343500</v>
      </c>
      <c r="B49" s="5" t="s">
        <v>156</v>
      </c>
      <c r="C49" s="5" t="s">
        <v>99</v>
      </c>
      <c r="D49" s="5" t="s">
        <v>114</v>
      </c>
      <c r="E49" s="5" t="s">
        <v>128</v>
      </c>
    </row>
    <row r="50" customFormat="false" ht="15" hidden="false" customHeight="true" outlineLevel="0" collapsed="false">
      <c r="A50" s="5" t="n">
        <v>1403900</v>
      </c>
      <c r="B50" s="5" t="s">
        <v>157</v>
      </c>
      <c r="C50" s="5" t="s">
        <v>99</v>
      </c>
      <c r="D50" s="5" t="s">
        <v>114</v>
      </c>
      <c r="E50" s="5" t="s">
        <v>152</v>
      </c>
    </row>
    <row r="51" customFormat="false" ht="15" hidden="false" customHeight="true" outlineLevel="0" collapsed="false">
      <c r="A51" s="5" t="n">
        <v>1414400</v>
      </c>
      <c r="B51" s="5" t="s">
        <v>158</v>
      </c>
      <c r="C51" s="5" t="s">
        <v>99</v>
      </c>
      <c r="D51" s="5" t="s">
        <v>114</v>
      </c>
      <c r="E51" s="5" t="s">
        <v>159</v>
      </c>
    </row>
    <row r="52" customFormat="false" ht="15" hidden="false" customHeight="true" outlineLevel="0" collapsed="false">
      <c r="A52" s="5" t="n">
        <v>1414500</v>
      </c>
      <c r="B52" s="5" t="s">
        <v>160</v>
      </c>
      <c r="C52" s="5" t="s">
        <v>99</v>
      </c>
      <c r="D52" s="5" t="s">
        <v>114</v>
      </c>
      <c r="E52" s="5" t="s">
        <v>159</v>
      </c>
    </row>
    <row r="53" customFormat="false" ht="15" hidden="false" customHeight="true" outlineLevel="0" collapsed="false">
      <c r="A53" s="5" t="n">
        <v>1418500</v>
      </c>
      <c r="B53" s="5" t="s">
        <v>161</v>
      </c>
      <c r="C53" s="5" t="s">
        <v>99</v>
      </c>
      <c r="D53" s="5" t="s">
        <v>114</v>
      </c>
      <c r="E53" s="5" t="s">
        <v>128</v>
      </c>
    </row>
    <row r="54" customFormat="false" ht="15" hidden="false" customHeight="true" outlineLevel="0" collapsed="false">
      <c r="A54" s="5" t="n">
        <v>1418600</v>
      </c>
      <c r="B54" s="5" t="s">
        <v>162</v>
      </c>
      <c r="C54" s="5" t="s">
        <v>99</v>
      </c>
      <c r="D54" s="5" t="s">
        <v>114</v>
      </c>
      <c r="E54" s="5" t="s">
        <v>128</v>
      </c>
    </row>
    <row r="55" customFormat="false" ht="15" hidden="false" customHeight="true" outlineLevel="0" collapsed="false">
      <c r="A55" s="5" t="n">
        <v>1418700</v>
      </c>
      <c r="B55" s="5" t="s">
        <v>163</v>
      </c>
      <c r="C55" s="5" t="s">
        <v>99</v>
      </c>
      <c r="D55" s="5" t="s">
        <v>114</v>
      </c>
      <c r="E55" s="5" t="s">
        <v>128</v>
      </c>
    </row>
    <row r="56" customFormat="false" ht="15" hidden="false" customHeight="true" outlineLevel="0" collapsed="false">
      <c r="A56" s="5" t="n">
        <v>1419400</v>
      </c>
      <c r="B56" s="5" t="s">
        <v>164</v>
      </c>
      <c r="C56" s="5" t="s">
        <v>99</v>
      </c>
      <c r="D56" s="5" t="s">
        <v>100</v>
      </c>
      <c r="E56" s="5" t="s">
        <v>100</v>
      </c>
    </row>
    <row r="57" customFormat="false" ht="15" hidden="false" customHeight="true" outlineLevel="0" collapsed="false">
      <c r="A57" s="5" t="n">
        <v>1421900</v>
      </c>
      <c r="B57" s="5" t="s">
        <v>165</v>
      </c>
      <c r="C57" s="5" t="s">
        <v>142</v>
      </c>
      <c r="D57" s="5" t="s">
        <v>143</v>
      </c>
      <c r="E57" s="5" t="s">
        <v>117</v>
      </c>
    </row>
    <row r="58" customFormat="false" ht="15" hidden="false" customHeight="true" outlineLevel="0" collapsed="false">
      <c r="A58" s="5" t="n">
        <v>1429700</v>
      </c>
      <c r="B58" s="5" t="s">
        <v>166</v>
      </c>
      <c r="C58" s="5" t="s">
        <v>142</v>
      </c>
      <c r="D58" s="5" t="s">
        <v>143</v>
      </c>
      <c r="E58" s="5" t="s">
        <v>167</v>
      </c>
    </row>
    <row r="59" customFormat="false" ht="15" hidden="false" customHeight="true" outlineLevel="0" collapsed="false">
      <c r="A59" s="5" t="n">
        <v>1430000</v>
      </c>
      <c r="B59" s="5" t="s">
        <v>168</v>
      </c>
      <c r="C59" s="5" t="s">
        <v>142</v>
      </c>
      <c r="D59" s="5" t="s">
        <v>143</v>
      </c>
      <c r="E59" s="5" t="s">
        <v>167</v>
      </c>
    </row>
    <row r="60" customFormat="false" ht="15" hidden="false" customHeight="true" outlineLevel="0" collapsed="false">
      <c r="A60" s="5" t="n">
        <v>1430400</v>
      </c>
      <c r="B60" s="5" t="s">
        <v>169</v>
      </c>
      <c r="C60" s="5" t="s">
        <v>142</v>
      </c>
      <c r="D60" s="5" t="s">
        <v>143</v>
      </c>
      <c r="E60" s="5" t="s">
        <v>167</v>
      </c>
    </row>
    <row r="61" customFormat="false" ht="15" hidden="false" customHeight="true" outlineLevel="0" collapsed="false">
      <c r="A61" s="5" t="n">
        <v>1430700</v>
      </c>
      <c r="B61" s="5" t="s">
        <v>170</v>
      </c>
      <c r="C61" s="5" t="s">
        <v>142</v>
      </c>
      <c r="D61" s="5" t="s">
        <v>143</v>
      </c>
      <c r="E61" s="5" t="s">
        <v>167</v>
      </c>
    </row>
    <row r="62" customFormat="false" ht="15" hidden="false" customHeight="true" outlineLevel="0" collapsed="false">
      <c r="A62" s="5" t="n">
        <v>1448100</v>
      </c>
      <c r="B62" s="5" t="s">
        <v>171</v>
      </c>
      <c r="C62" s="5" t="s">
        <v>142</v>
      </c>
      <c r="D62" s="5" t="s">
        <v>143</v>
      </c>
      <c r="E62" s="5" t="s">
        <v>172</v>
      </c>
    </row>
    <row r="63" customFormat="false" ht="15" hidden="false" customHeight="true" outlineLevel="0" collapsed="false">
      <c r="A63" s="5" t="n">
        <v>1448600</v>
      </c>
      <c r="B63" s="5" t="s">
        <v>173</v>
      </c>
      <c r="C63" s="5" t="s">
        <v>142</v>
      </c>
      <c r="D63" s="5" t="s">
        <v>143</v>
      </c>
      <c r="E63" s="5" t="s">
        <v>172</v>
      </c>
    </row>
    <row r="64" customFormat="false" ht="15" hidden="false" customHeight="true" outlineLevel="0" collapsed="false">
      <c r="A64" s="5" t="n">
        <v>1448700</v>
      </c>
      <c r="B64" s="5" t="s">
        <v>174</v>
      </c>
      <c r="C64" s="5" t="s">
        <v>142</v>
      </c>
      <c r="D64" s="5" t="s">
        <v>143</v>
      </c>
      <c r="E64" s="5" t="s">
        <v>172</v>
      </c>
    </row>
    <row r="65" customFormat="false" ht="15" hidden="false" customHeight="true" outlineLevel="0" collapsed="false">
      <c r="A65" s="5" t="n">
        <v>1490600</v>
      </c>
      <c r="B65" s="5" t="s">
        <v>175</v>
      </c>
      <c r="C65" s="5" t="s">
        <v>99</v>
      </c>
      <c r="D65" s="5" t="s">
        <v>100</v>
      </c>
      <c r="E65" s="5" t="s">
        <v>100</v>
      </c>
    </row>
    <row r="66" customFormat="false" ht="15" hidden="false" customHeight="true" outlineLevel="0" collapsed="false">
      <c r="A66" s="5" t="n">
        <v>1530100</v>
      </c>
      <c r="B66" s="5" t="s">
        <v>176</v>
      </c>
      <c r="C66" s="5" t="s">
        <v>99</v>
      </c>
      <c r="D66" s="5" t="s">
        <v>114</v>
      </c>
      <c r="E66" s="5" t="s">
        <v>152</v>
      </c>
    </row>
    <row r="67" customFormat="false" ht="15" hidden="false" customHeight="true" outlineLevel="0" collapsed="false">
      <c r="A67" s="5" t="n">
        <v>1530500</v>
      </c>
      <c r="B67" s="5" t="s">
        <v>177</v>
      </c>
      <c r="C67" s="5" t="s">
        <v>99</v>
      </c>
      <c r="D67" s="5" t="s">
        <v>114</v>
      </c>
      <c r="E67" s="5" t="s">
        <v>152</v>
      </c>
    </row>
    <row r="68" customFormat="false" ht="15" hidden="false" customHeight="true" outlineLevel="0" collapsed="false">
      <c r="A68" s="5" t="n">
        <v>1531100</v>
      </c>
      <c r="B68" s="5" t="s">
        <v>178</v>
      </c>
      <c r="C68" s="5" t="s">
        <v>99</v>
      </c>
      <c r="D68" s="5" t="s">
        <v>114</v>
      </c>
      <c r="E68" s="5" t="s">
        <v>152</v>
      </c>
    </row>
    <row r="69" customFormat="false" ht="15" hidden="false" customHeight="true" outlineLevel="0" collapsed="false">
      <c r="A69" s="5" t="n">
        <v>1533100</v>
      </c>
      <c r="B69" s="5" t="s">
        <v>179</v>
      </c>
      <c r="C69" s="5" t="s">
        <v>99</v>
      </c>
      <c r="D69" s="5" t="s">
        <v>114</v>
      </c>
      <c r="E69" s="5" t="s">
        <v>152</v>
      </c>
    </row>
    <row r="70" customFormat="false" ht="15" hidden="false" customHeight="true" outlineLevel="0" collapsed="false">
      <c r="A70" s="5" t="n">
        <v>1533400</v>
      </c>
      <c r="B70" s="5" t="s">
        <v>180</v>
      </c>
      <c r="C70" s="5" t="s">
        <v>99</v>
      </c>
      <c r="D70" s="5" t="s">
        <v>114</v>
      </c>
      <c r="E70" s="5" t="s">
        <v>152</v>
      </c>
    </row>
    <row r="71" customFormat="false" ht="15" hidden="false" customHeight="true" outlineLevel="0" collapsed="false">
      <c r="A71" s="5" t="n">
        <v>1533800</v>
      </c>
      <c r="B71" s="5" t="s">
        <v>181</v>
      </c>
      <c r="C71" s="5" t="s">
        <v>99</v>
      </c>
      <c r="D71" s="5" t="s">
        <v>114</v>
      </c>
      <c r="E71" s="5" t="s">
        <v>152</v>
      </c>
    </row>
    <row r="72" customFormat="false" ht="15" hidden="false" customHeight="true" outlineLevel="0" collapsed="false">
      <c r="A72" s="5" t="n">
        <v>1534800</v>
      </c>
      <c r="B72" s="5" t="s">
        <v>182</v>
      </c>
      <c r="C72" s="5" t="s">
        <v>99</v>
      </c>
      <c r="D72" s="5" t="s">
        <v>114</v>
      </c>
      <c r="E72" s="5" t="s">
        <v>152</v>
      </c>
    </row>
    <row r="73" customFormat="false" ht="15" hidden="false" customHeight="true" outlineLevel="0" collapsed="false">
      <c r="A73" s="5" t="n">
        <v>1545600</v>
      </c>
      <c r="B73" s="5" t="s">
        <v>183</v>
      </c>
      <c r="C73" s="5" t="s">
        <v>99</v>
      </c>
      <c r="D73" s="5" t="s">
        <v>100</v>
      </c>
      <c r="E73" s="5" t="s">
        <v>100</v>
      </c>
    </row>
    <row r="74" customFormat="false" ht="15" hidden="false" customHeight="true" outlineLevel="0" collapsed="false">
      <c r="A74" s="5" t="n">
        <v>1545700</v>
      </c>
      <c r="B74" s="5" t="s">
        <v>184</v>
      </c>
      <c r="C74" s="5" t="s">
        <v>99</v>
      </c>
      <c r="D74" s="5" t="s">
        <v>100</v>
      </c>
      <c r="E74" s="5" t="s">
        <v>100</v>
      </c>
    </row>
    <row r="75" customFormat="false" ht="15" hidden="false" customHeight="true" outlineLevel="0" collapsed="false">
      <c r="A75" s="5" t="n">
        <v>1546300</v>
      </c>
      <c r="B75" s="5" t="s">
        <v>185</v>
      </c>
      <c r="C75" s="5" t="s">
        <v>99</v>
      </c>
      <c r="D75" s="5" t="s">
        <v>100</v>
      </c>
      <c r="E75" s="5" t="s">
        <v>100</v>
      </c>
    </row>
    <row r="76" customFormat="false" ht="15" hidden="false" customHeight="true" outlineLevel="0" collapsed="false">
      <c r="A76" s="5" t="n">
        <v>1564700</v>
      </c>
      <c r="B76" s="5" t="s">
        <v>186</v>
      </c>
      <c r="C76" s="5" t="s">
        <v>99</v>
      </c>
      <c r="D76" s="5" t="s">
        <v>114</v>
      </c>
      <c r="E76" s="5" t="s">
        <v>152</v>
      </c>
    </row>
    <row r="77" customFormat="false" ht="15" hidden="false" customHeight="true" outlineLevel="0" collapsed="false">
      <c r="A77" s="5" t="n">
        <v>1590500</v>
      </c>
      <c r="B77" s="5" t="s">
        <v>187</v>
      </c>
      <c r="C77" s="5" t="s">
        <v>142</v>
      </c>
      <c r="D77" s="5" t="s">
        <v>143</v>
      </c>
      <c r="E77" s="5" t="s">
        <v>167</v>
      </c>
    </row>
    <row r="78" customFormat="false" ht="15" hidden="false" customHeight="true" outlineLevel="0" collapsed="false">
      <c r="A78" s="5" t="n">
        <v>1590800</v>
      </c>
      <c r="B78" s="5" t="s">
        <v>188</v>
      </c>
      <c r="C78" s="5" t="s">
        <v>142</v>
      </c>
      <c r="D78" s="5" t="s">
        <v>143</v>
      </c>
      <c r="E78" s="5" t="s">
        <v>167</v>
      </c>
    </row>
    <row r="79" customFormat="false" ht="15" hidden="false" customHeight="true" outlineLevel="0" collapsed="false">
      <c r="A79" s="5" t="n">
        <v>1591000</v>
      </c>
      <c r="B79" s="5" t="s">
        <v>189</v>
      </c>
      <c r="C79" s="5" t="s">
        <v>142</v>
      </c>
      <c r="D79" s="5" t="s">
        <v>143</v>
      </c>
      <c r="E79" s="5" t="s">
        <v>167</v>
      </c>
    </row>
    <row r="80" customFormat="false" ht="15" hidden="false" customHeight="true" outlineLevel="0" collapsed="false">
      <c r="A80" s="5" t="n">
        <v>1591100</v>
      </c>
      <c r="B80" s="5" t="s">
        <v>190</v>
      </c>
      <c r="C80" s="5" t="s">
        <v>142</v>
      </c>
      <c r="D80" s="5" t="s">
        <v>143</v>
      </c>
      <c r="E80" s="5" t="s">
        <v>167</v>
      </c>
    </row>
    <row r="81" customFormat="false" ht="15" hidden="false" customHeight="true" outlineLevel="0" collapsed="false">
      <c r="A81" s="5" t="n">
        <v>1595900</v>
      </c>
      <c r="B81" s="5" t="s">
        <v>191</v>
      </c>
      <c r="C81" s="5" t="s">
        <v>99</v>
      </c>
      <c r="D81" s="5" t="s">
        <v>114</v>
      </c>
      <c r="E81" s="5" t="s">
        <v>152</v>
      </c>
    </row>
    <row r="82" customFormat="false" ht="15" hidden="false" customHeight="true" outlineLevel="0" collapsed="false">
      <c r="A82" s="5" t="n">
        <v>1596000</v>
      </c>
      <c r="B82" s="5" t="s">
        <v>192</v>
      </c>
      <c r="C82" s="5" t="s">
        <v>99</v>
      </c>
      <c r="D82" s="5" t="s">
        <v>114</v>
      </c>
      <c r="E82" s="5" t="s">
        <v>152</v>
      </c>
    </row>
    <row r="83" customFormat="false" ht="15" hidden="false" customHeight="true" outlineLevel="0" collapsed="false">
      <c r="A83" s="5" t="n">
        <v>1602600</v>
      </c>
      <c r="B83" s="5" t="s">
        <v>193</v>
      </c>
      <c r="C83" s="5" t="s">
        <v>142</v>
      </c>
      <c r="D83" s="5" t="s">
        <v>143</v>
      </c>
      <c r="E83" s="5" t="s">
        <v>194</v>
      </c>
    </row>
    <row r="84" customFormat="false" ht="15" hidden="false" customHeight="true" outlineLevel="0" collapsed="false">
      <c r="A84" s="5" t="n">
        <v>1622500</v>
      </c>
      <c r="B84" s="5" t="s">
        <v>195</v>
      </c>
      <c r="C84" s="5" t="s">
        <v>99</v>
      </c>
      <c r="D84" s="5" t="s">
        <v>114</v>
      </c>
      <c r="E84" s="5" t="s">
        <v>152</v>
      </c>
    </row>
    <row r="85" customFormat="false" ht="15" hidden="false" customHeight="true" outlineLevel="0" collapsed="false">
      <c r="A85" s="5" t="n">
        <v>1631800</v>
      </c>
      <c r="B85" s="5" t="s">
        <v>196</v>
      </c>
      <c r="C85" s="5" t="s">
        <v>142</v>
      </c>
      <c r="D85" s="5" t="s">
        <v>143</v>
      </c>
      <c r="E85" s="5" t="s">
        <v>194</v>
      </c>
    </row>
    <row r="86" customFormat="false" ht="15" hidden="false" customHeight="true" outlineLevel="0" collapsed="false">
      <c r="A86" s="5" t="n">
        <v>1660700</v>
      </c>
      <c r="B86" s="5" t="s">
        <v>197</v>
      </c>
      <c r="C86" s="5" t="s">
        <v>99</v>
      </c>
      <c r="D86" s="5" t="s">
        <v>124</v>
      </c>
      <c r="E86" s="5" t="s">
        <v>198</v>
      </c>
    </row>
    <row r="87" customFormat="false" ht="15" hidden="false" customHeight="true" outlineLevel="0" collapsed="false">
      <c r="A87" s="5" t="n">
        <v>1660800</v>
      </c>
      <c r="B87" s="5" t="s">
        <v>199</v>
      </c>
      <c r="C87" s="5" t="s">
        <v>99</v>
      </c>
      <c r="D87" s="5" t="s">
        <v>124</v>
      </c>
      <c r="E87" s="5" t="s">
        <v>198</v>
      </c>
    </row>
    <row r="88" customFormat="false" ht="15" hidden="false" customHeight="true" outlineLevel="0" collapsed="false">
      <c r="A88" s="5" t="n">
        <v>1661300</v>
      </c>
      <c r="B88" s="5" t="s">
        <v>200</v>
      </c>
      <c r="C88" s="5" t="s">
        <v>99</v>
      </c>
      <c r="D88" s="5" t="s">
        <v>124</v>
      </c>
      <c r="E88" s="5" t="s">
        <v>198</v>
      </c>
    </row>
    <row r="89" customFormat="false" ht="15" hidden="false" customHeight="true" outlineLevel="0" collapsed="false">
      <c r="A89" s="5" t="n">
        <v>1661400</v>
      </c>
      <c r="B89" s="5" t="s">
        <v>201</v>
      </c>
      <c r="C89" s="5" t="s">
        <v>99</v>
      </c>
      <c r="D89" s="5" t="s">
        <v>124</v>
      </c>
      <c r="E89" s="5" t="s">
        <v>198</v>
      </c>
    </row>
    <row r="90" customFormat="false" ht="15" hidden="false" customHeight="true" outlineLevel="0" collapsed="false">
      <c r="A90" s="5" t="n">
        <v>1661500</v>
      </c>
      <c r="B90" s="5" t="s">
        <v>202</v>
      </c>
      <c r="C90" s="5" t="s">
        <v>99</v>
      </c>
      <c r="D90" s="5" t="s">
        <v>124</v>
      </c>
      <c r="E90" s="5" t="s">
        <v>198</v>
      </c>
    </row>
    <row r="91" customFormat="false" ht="15" hidden="false" customHeight="true" outlineLevel="0" collapsed="false">
      <c r="A91" s="5" t="n">
        <v>1662500</v>
      </c>
      <c r="B91" s="5" t="s">
        <v>203</v>
      </c>
      <c r="C91" s="5" t="s">
        <v>99</v>
      </c>
      <c r="D91" s="5" t="s">
        <v>114</v>
      </c>
      <c r="E91" s="5" t="s">
        <v>128</v>
      </c>
    </row>
    <row r="92" customFormat="false" ht="15" hidden="false" customHeight="true" outlineLevel="0" collapsed="false">
      <c r="A92" s="5" t="n">
        <v>1662600</v>
      </c>
      <c r="B92" s="5" t="s">
        <v>204</v>
      </c>
      <c r="C92" s="5" t="s">
        <v>99</v>
      </c>
      <c r="D92" s="5" t="s">
        <v>114</v>
      </c>
      <c r="E92" s="5" t="s">
        <v>128</v>
      </c>
    </row>
    <row r="93" customFormat="false" ht="15" hidden="false" customHeight="true" outlineLevel="0" collapsed="false">
      <c r="A93" s="5" t="n">
        <v>1662700</v>
      </c>
      <c r="B93" s="5" t="s">
        <v>205</v>
      </c>
      <c r="C93" s="5" t="s">
        <v>99</v>
      </c>
      <c r="D93" s="5" t="s">
        <v>114</v>
      </c>
      <c r="E93" s="5" t="s">
        <v>128</v>
      </c>
    </row>
    <row r="94" customFormat="false" ht="15" hidden="false" customHeight="true" outlineLevel="0" collapsed="false">
      <c r="A94" s="5" t="n">
        <v>1677800</v>
      </c>
      <c r="B94" s="5" t="s">
        <v>206</v>
      </c>
      <c r="C94" s="5" t="s">
        <v>99</v>
      </c>
      <c r="D94" s="5" t="s">
        <v>124</v>
      </c>
      <c r="E94" s="5" t="s">
        <v>198</v>
      </c>
    </row>
    <row r="95" customFormat="false" ht="15" hidden="false" customHeight="true" outlineLevel="0" collapsed="false">
      <c r="A95" s="5" t="n">
        <v>1710000</v>
      </c>
      <c r="B95" s="5" t="s">
        <v>207</v>
      </c>
      <c r="C95" s="5" t="s">
        <v>142</v>
      </c>
      <c r="D95" s="5" t="s">
        <v>143</v>
      </c>
      <c r="E95" s="5" t="s">
        <v>194</v>
      </c>
    </row>
    <row r="96" customFormat="false" ht="15" hidden="false" customHeight="true" outlineLevel="0" collapsed="false">
      <c r="A96" s="5" t="n">
        <v>1710500</v>
      </c>
      <c r="B96" s="5" t="s">
        <v>208</v>
      </c>
      <c r="C96" s="5" t="s">
        <v>142</v>
      </c>
      <c r="D96" s="5" t="s">
        <v>143</v>
      </c>
      <c r="E96" s="5" t="s">
        <v>194</v>
      </c>
    </row>
    <row r="97" customFormat="false" ht="15" hidden="false" customHeight="true" outlineLevel="0" collapsed="false">
      <c r="A97" s="5" t="n">
        <v>1773000</v>
      </c>
      <c r="B97" s="5" t="s">
        <v>209</v>
      </c>
      <c r="C97" s="5" t="s">
        <v>99</v>
      </c>
      <c r="D97" s="5" t="s">
        <v>114</v>
      </c>
      <c r="E97" s="5" t="s">
        <v>133</v>
      </c>
    </row>
    <row r="98" customFormat="false" ht="15" hidden="false" customHeight="true" outlineLevel="0" collapsed="false">
      <c r="A98" s="5" t="n">
        <v>1804600</v>
      </c>
      <c r="B98" s="5" t="s">
        <v>210</v>
      </c>
      <c r="C98" s="5" t="s">
        <v>99</v>
      </c>
      <c r="D98" s="5" t="s">
        <v>114</v>
      </c>
      <c r="E98" s="5" t="s">
        <v>128</v>
      </c>
    </row>
    <row r="99" customFormat="false" ht="15" hidden="false" customHeight="true" outlineLevel="0" collapsed="false">
      <c r="A99" s="5" t="n">
        <v>1815000</v>
      </c>
      <c r="B99" s="5" t="s">
        <v>211</v>
      </c>
      <c r="C99" s="5" t="s">
        <v>142</v>
      </c>
      <c r="D99" s="5" t="s">
        <v>143</v>
      </c>
      <c r="E99" s="5" t="s">
        <v>212</v>
      </c>
    </row>
    <row r="100" customFormat="false" ht="15" hidden="false" customHeight="true" outlineLevel="0" collapsed="false">
      <c r="A100" s="5" t="n">
        <v>1815400</v>
      </c>
      <c r="B100" s="5" t="s">
        <v>213</v>
      </c>
      <c r="C100" s="5" t="s">
        <v>99</v>
      </c>
      <c r="D100" s="5" t="s">
        <v>114</v>
      </c>
      <c r="E100" s="5" t="s">
        <v>133</v>
      </c>
    </row>
    <row r="101" customFormat="false" ht="15" hidden="false" customHeight="true" outlineLevel="0" collapsed="false">
      <c r="A101" s="5" t="n">
        <v>1815500</v>
      </c>
      <c r="B101" s="5" t="s">
        <v>214</v>
      </c>
      <c r="C101" s="5" t="s">
        <v>99</v>
      </c>
      <c r="D101" s="5" t="s">
        <v>114</v>
      </c>
      <c r="E101" s="5" t="s">
        <v>133</v>
      </c>
    </row>
    <row r="102" customFormat="false" ht="15" hidden="false" customHeight="true" outlineLevel="0" collapsed="false">
      <c r="A102" s="5" t="n">
        <v>1816600</v>
      </c>
      <c r="B102" s="5" t="s">
        <v>215</v>
      </c>
      <c r="C102" s="5" t="s">
        <v>142</v>
      </c>
      <c r="D102" s="5" t="s">
        <v>124</v>
      </c>
      <c r="E102" s="5" t="s">
        <v>216</v>
      </c>
    </row>
    <row r="103" customFormat="false" ht="15" hidden="false" customHeight="true" outlineLevel="0" collapsed="false">
      <c r="A103" s="5" t="n">
        <v>1816700</v>
      </c>
      <c r="B103" s="5" t="s">
        <v>217</v>
      </c>
      <c r="C103" s="5" t="s">
        <v>142</v>
      </c>
      <c r="D103" s="5" t="s">
        <v>124</v>
      </c>
      <c r="E103" s="5" t="s">
        <v>216</v>
      </c>
    </row>
    <row r="104" customFormat="false" ht="15" hidden="false" customHeight="true" outlineLevel="0" collapsed="false">
      <c r="A104" s="5" t="n">
        <v>1816800</v>
      </c>
      <c r="B104" s="5" t="s">
        <v>218</v>
      </c>
      <c r="C104" s="5" t="s">
        <v>142</v>
      </c>
      <c r="D104" s="5" t="s">
        <v>124</v>
      </c>
      <c r="E104" s="5" t="s">
        <v>216</v>
      </c>
    </row>
    <row r="105" customFormat="false" ht="15" hidden="false" customHeight="true" outlineLevel="0" collapsed="false">
      <c r="A105" s="5" t="n">
        <v>1816900</v>
      </c>
      <c r="B105" s="5" t="s">
        <v>219</v>
      </c>
      <c r="C105" s="5" t="s">
        <v>142</v>
      </c>
      <c r="D105" s="5" t="s">
        <v>124</v>
      </c>
      <c r="E105" s="5" t="s">
        <v>216</v>
      </c>
    </row>
    <row r="106" customFormat="false" ht="15" hidden="false" customHeight="true" outlineLevel="0" collapsed="false">
      <c r="A106" s="5" t="n">
        <v>1823000</v>
      </c>
      <c r="B106" s="5" t="s">
        <v>220</v>
      </c>
      <c r="C106" s="5" t="s">
        <v>99</v>
      </c>
      <c r="D106" s="5" t="s">
        <v>124</v>
      </c>
      <c r="E106" s="5" t="s">
        <v>198</v>
      </c>
    </row>
    <row r="107" customFormat="false" ht="15" hidden="false" customHeight="true" outlineLevel="0" collapsed="false">
      <c r="A107" s="5" t="n">
        <v>1823900</v>
      </c>
      <c r="B107" s="5" t="s">
        <v>221</v>
      </c>
      <c r="C107" s="5" t="s">
        <v>99</v>
      </c>
      <c r="D107" s="5" t="s">
        <v>124</v>
      </c>
      <c r="E107" s="5" t="s">
        <v>198</v>
      </c>
    </row>
    <row r="108" customFormat="false" ht="15" hidden="false" customHeight="true" outlineLevel="0" collapsed="false">
      <c r="A108" s="5" t="n">
        <v>1846600</v>
      </c>
      <c r="B108" s="5" t="s">
        <v>222</v>
      </c>
      <c r="C108" s="5" t="s">
        <v>99</v>
      </c>
      <c r="D108" s="5" t="s">
        <v>114</v>
      </c>
      <c r="E108" s="5" t="s">
        <v>117</v>
      </c>
    </row>
    <row r="109" customFormat="false" ht="15" hidden="false" customHeight="true" outlineLevel="0" collapsed="false">
      <c r="A109" s="5" t="n">
        <v>1846700</v>
      </c>
      <c r="B109" s="5" t="s">
        <v>223</v>
      </c>
      <c r="C109" s="5" t="s">
        <v>99</v>
      </c>
      <c r="D109" s="5" t="s">
        <v>114</v>
      </c>
      <c r="E109" s="5" t="s">
        <v>117</v>
      </c>
    </row>
    <row r="110" customFormat="false" ht="15" hidden="false" customHeight="true" outlineLevel="0" collapsed="false">
      <c r="A110" s="5" t="n">
        <v>1862300</v>
      </c>
      <c r="B110" s="5" t="s">
        <v>224</v>
      </c>
      <c r="C110" s="5" t="s">
        <v>142</v>
      </c>
      <c r="D110" s="5" t="s">
        <v>143</v>
      </c>
      <c r="E110" s="5" t="s">
        <v>212</v>
      </c>
    </row>
    <row r="111" customFormat="false" ht="15" hidden="false" customHeight="true" outlineLevel="0" collapsed="false">
      <c r="A111" s="5" t="n">
        <v>1868400</v>
      </c>
      <c r="B111" s="5" t="s">
        <v>225</v>
      </c>
      <c r="C111" s="5" t="s">
        <v>142</v>
      </c>
      <c r="D111" s="5" t="s">
        <v>143</v>
      </c>
      <c r="E111" s="5" t="s">
        <v>172</v>
      </c>
    </row>
    <row r="112" customFormat="false" ht="15" hidden="false" customHeight="true" outlineLevel="0" collapsed="false">
      <c r="A112" s="5" t="n">
        <v>1868500</v>
      </c>
      <c r="B112" s="5" t="s">
        <v>226</v>
      </c>
      <c r="C112" s="5" t="s">
        <v>142</v>
      </c>
      <c r="D112" s="5" t="s">
        <v>143</v>
      </c>
      <c r="E112" s="5" t="s">
        <v>172</v>
      </c>
    </row>
    <row r="113" customFormat="false" ht="15" hidden="false" customHeight="true" outlineLevel="0" collapsed="false">
      <c r="A113" s="5" t="n">
        <v>1868700</v>
      </c>
      <c r="B113" s="5" t="s">
        <v>227</v>
      </c>
      <c r="C113" s="5" t="s">
        <v>142</v>
      </c>
      <c r="D113" s="5" t="s">
        <v>143</v>
      </c>
      <c r="E113" s="5" t="s">
        <v>172</v>
      </c>
    </row>
    <row r="114" customFormat="false" ht="15" hidden="false" customHeight="true" outlineLevel="0" collapsed="false">
      <c r="A114" s="5" t="n">
        <v>1868800</v>
      </c>
      <c r="B114" s="5" t="s">
        <v>228</v>
      </c>
      <c r="C114" s="5" t="s">
        <v>142</v>
      </c>
      <c r="D114" s="5" t="s">
        <v>143</v>
      </c>
      <c r="E114" s="5" t="s">
        <v>172</v>
      </c>
    </row>
    <row r="115" customFormat="false" ht="15" hidden="false" customHeight="true" outlineLevel="0" collapsed="false">
      <c r="A115" s="5" t="n">
        <v>1907200</v>
      </c>
      <c r="B115" s="5" t="s">
        <v>229</v>
      </c>
      <c r="C115" s="5" t="s">
        <v>99</v>
      </c>
      <c r="D115" s="5" t="s">
        <v>114</v>
      </c>
      <c r="E115" s="5" t="s">
        <v>230</v>
      </c>
    </row>
    <row r="116" customFormat="false" ht="15" hidden="false" customHeight="true" outlineLevel="0" collapsed="false">
      <c r="A116" s="5" t="n">
        <v>1907300</v>
      </c>
      <c r="B116" s="5" t="s">
        <v>231</v>
      </c>
      <c r="C116" s="5" t="s">
        <v>99</v>
      </c>
      <c r="D116" s="5" t="s">
        <v>124</v>
      </c>
      <c r="E116" s="5" t="s">
        <v>198</v>
      </c>
    </row>
    <row r="117" customFormat="false" ht="15" hidden="false" customHeight="true" outlineLevel="0" collapsed="false">
      <c r="A117" s="5" t="n">
        <v>1907400</v>
      </c>
      <c r="B117" s="5" t="s">
        <v>232</v>
      </c>
      <c r="C117" s="5" t="s">
        <v>99</v>
      </c>
      <c r="D117" s="5" t="s">
        <v>124</v>
      </c>
      <c r="E117" s="5" t="s">
        <v>198</v>
      </c>
    </row>
    <row r="118" customFormat="false" ht="15" hidden="false" customHeight="true" outlineLevel="0" collapsed="false">
      <c r="A118" s="5" t="n">
        <v>1921000</v>
      </c>
      <c r="B118" s="5" t="s">
        <v>233</v>
      </c>
      <c r="C118" s="5" t="s">
        <v>142</v>
      </c>
      <c r="D118" s="5" t="s">
        <v>143</v>
      </c>
      <c r="E118" s="5" t="s">
        <v>194</v>
      </c>
    </row>
    <row r="119" customFormat="false" ht="15" hidden="false" customHeight="true" outlineLevel="0" collapsed="false">
      <c r="A119" s="5" t="n">
        <v>1922100</v>
      </c>
      <c r="B119" s="5" t="s">
        <v>234</v>
      </c>
      <c r="C119" s="5" t="s">
        <v>142</v>
      </c>
      <c r="D119" s="5" t="s">
        <v>124</v>
      </c>
      <c r="E119" s="5" t="s">
        <v>216</v>
      </c>
    </row>
    <row r="120" customFormat="false" ht="15" hidden="false" customHeight="true" outlineLevel="0" collapsed="false">
      <c r="A120" s="5" t="n">
        <v>1927400</v>
      </c>
      <c r="B120" s="5" t="s">
        <v>235</v>
      </c>
      <c r="C120" s="5" t="s">
        <v>142</v>
      </c>
      <c r="D120" s="5" t="s">
        <v>143</v>
      </c>
      <c r="E120" s="5" t="s">
        <v>167</v>
      </c>
    </row>
    <row r="121" customFormat="false" ht="15" hidden="false" customHeight="true" outlineLevel="0" collapsed="false">
      <c r="A121" s="5" t="n">
        <v>1927600</v>
      </c>
      <c r="B121" s="5" t="s">
        <v>236</v>
      </c>
      <c r="C121" s="5" t="s">
        <v>142</v>
      </c>
      <c r="D121" s="5" t="s">
        <v>143</v>
      </c>
      <c r="E121" s="5" t="s">
        <v>167</v>
      </c>
    </row>
    <row r="122" customFormat="false" ht="15" hidden="false" customHeight="true" outlineLevel="0" collapsed="false">
      <c r="A122" s="5" t="n">
        <v>1966900</v>
      </c>
      <c r="B122" s="5" t="s">
        <v>237</v>
      </c>
      <c r="C122" s="5" t="s">
        <v>99</v>
      </c>
      <c r="D122" s="5" t="s">
        <v>100</v>
      </c>
      <c r="E122" s="5" t="s">
        <v>100</v>
      </c>
    </row>
    <row r="123" customFormat="false" ht="15" hidden="false" customHeight="true" outlineLevel="0" collapsed="false">
      <c r="A123" s="5" t="n">
        <v>1971300</v>
      </c>
      <c r="B123" s="5" t="s">
        <v>238</v>
      </c>
      <c r="C123" s="5" t="s">
        <v>142</v>
      </c>
      <c r="D123" s="5" t="s">
        <v>143</v>
      </c>
      <c r="E123" s="5" t="s">
        <v>167</v>
      </c>
    </row>
    <row r="124" customFormat="false" ht="15" hidden="false" customHeight="true" outlineLevel="0" collapsed="false">
      <c r="A124" s="5" t="n">
        <v>2058800</v>
      </c>
      <c r="B124" s="5" t="s">
        <v>239</v>
      </c>
      <c r="C124" s="5" t="s">
        <v>99</v>
      </c>
      <c r="D124" s="5" t="s">
        <v>114</v>
      </c>
      <c r="E124" s="5" t="s">
        <v>115</v>
      </c>
    </row>
    <row r="125" customFormat="false" ht="15" hidden="false" customHeight="true" outlineLevel="0" collapsed="false">
      <c r="A125" s="5" t="n">
        <v>2059200</v>
      </c>
      <c r="B125" s="5" t="s">
        <v>240</v>
      </c>
      <c r="C125" s="5" t="s">
        <v>99</v>
      </c>
      <c r="D125" s="5" t="s">
        <v>114</v>
      </c>
      <c r="E125" s="5" t="s">
        <v>115</v>
      </c>
    </row>
    <row r="126" customFormat="false" ht="15" hidden="false" customHeight="true" outlineLevel="0" collapsed="false">
      <c r="A126" s="5" t="n">
        <v>2068500</v>
      </c>
      <c r="B126" s="5" t="s">
        <v>241</v>
      </c>
      <c r="C126" s="5" t="s">
        <v>142</v>
      </c>
      <c r="D126" s="5" t="s">
        <v>143</v>
      </c>
      <c r="E126" s="5" t="s">
        <v>167</v>
      </c>
    </row>
    <row r="127" customFormat="false" ht="15" hidden="false" customHeight="true" outlineLevel="0" collapsed="false">
      <c r="A127" s="5" t="n">
        <v>2068600</v>
      </c>
      <c r="B127" s="5" t="s">
        <v>242</v>
      </c>
      <c r="C127" s="5" t="s">
        <v>142</v>
      </c>
      <c r="D127" s="5" t="s">
        <v>143</v>
      </c>
      <c r="E127" s="5" t="s">
        <v>167</v>
      </c>
    </row>
    <row r="128" customFormat="false" ht="15" hidden="false" customHeight="true" outlineLevel="0" collapsed="false">
      <c r="A128" s="5" t="n">
        <v>2068700</v>
      </c>
      <c r="B128" s="5" t="s">
        <v>243</v>
      </c>
      <c r="C128" s="5" t="s">
        <v>142</v>
      </c>
      <c r="D128" s="5" t="s">
        <v>143</v>
      </c>
      <c r="E128" s="5" t="s">
        <v>167</v>
      </c>
    </row>
    <row r="129" customFormat="false" ht="15" hidden="false" customHeight="true" outlineLevel="0" collapsed="false">
      <c r="A129" s="5" t="n">
        <v>2068800</v>
      </c>
      <c r="B129" s="5" t="s">
        <v>244</v>
      </c>
      <c r="C129" s="5" t="s">
        <v>142</v>
      </c>
      <c r="D129" s="5" t="s">
        <v>143</v>
      </c>
      <c r="E129" s="5" t="s">
        <v>172</v>
      </c>
    </row>
    <row r="130" customFormat="false" ht="15" hidden="false" customHeight="true" outlineLevel="0" collapsed="false">
      <c r="A130" s="5" t="n">
        <v>2069900</v>
      </c>
      <c r="B130" s="5" t="s">
        <v>245</v>
      </c>
      <c r="C130" s="5" t="s">
        <v>142</v>
      </c>
      <c r="D130" s="5" t="s">
        <v>143</v>
      </c>
      <c r="E130" s="5" t="s">
        <v>167</v>
      </c>
    </row>
    <row r="131" customFormat="false" ht="15" hidden="false" customHeight="true" outlineLevel="0" collapsed="false">
      <c r="A131" s="5" t="n">
        <v>2070100</v>
      </c>
      <c r="B131" s="5" t="s">
        <v>246</v>
      </c>
      <c r="C131" s="5" t="s">
        <v>142</v>
      </c>
      <c r="D131" s="5" t="s">
        <v>143</v>
      </c>
      <c r="E131" s="5" t="s">
        <v>167</v>
      </c>
    </row>
    <row r="132" customFormat="false" ht="15" hidden="false" customHeight="true" outlineLevel="0" collapsed="false">
      <c r="A132" s="5" t="n">
        <v>2070200</v>
      </c>
      <c r="B132" s="5" t="s">
        <v>247</v>
      </c>
      <c r="C132" s="5" t="s">
        <v>142</v>
      </c>
      <c r="D132" s="5" t="s">
        <v>143</v>
      </c>
      <c r="E132" s="5" t="s">
        <v>167</v>
      </c>
    </row>
    <row r="133" customFormat="false" ht="15" hidden="false" customHeight="true" outlineLevel="0" collapsed="false">
      <c r="A133" s="5" t="n">
        <v>2070300</v>
      </c>
      <c r="B133" s="5" t="s">
        <v>248</v>
      </c>
      <c r="C133" s="5" t="s">
        <v>142</v>
      </c>
      <c r="D133" s="5" t="s">
        <v>143</v>
      </c>
      <c r="E133" s="5" t="s">
        <v>167</v>
      </c>
    </row>
    <row r="134" customFormat="false" ht="15" hidden="false" customHeight="true" outlineLevel="0" collapsed="false">
      <c r="A134" s="5" t="n">
        <v>2084700</v>
      </c>
      <c r="B134" s="5" t="s">
        <v>249</v>
      </c>
      <c r="C134" s="5" t="s">
        <v>142</v>
      </c>
      <c r="D134" s="5" t="s">
        <v>143</v>
      </c>
      <c r="E134" s="5" t="s">
        <v>115</v>
      </c>
    </row>
    <row r="135" customFormat="false" ht="15" hidden="false" customHeight="true" outlineLevel="0" collapsed="false">
      <c r="A135" s="5" t="n">
        <v>2084800</v>
      </c>
      <c r="B135" s="5" t="s">
        <v>250</v>
      </c>
      <c r="C135" s="5" t="s">
        <v>142</v>
      </c>
      <c r="D135" s="5" t="s">
        <v>143</v>
      </c>
      <c r="E135" s="5" t="s">
        <v>115</v>
      </c>
    </row>
    <row r="136" customFormat="false" ht="15" hidden="false" customHeight="true" outlineLevel="0" collapsed="false">
      <c r="A136" s="5" t="n">
        <v>2096600</v>
      </c>
      <c r="B136" s="5" t="s">
        <v>251</v>
      </c>
      <c r="C136" s="5" t="s">
        <v>99</v>
      </c>
      <c r="D136" s="5" t="s">
        <v>114</v>
      </c>
      <c r="E136" s="5" t="s">
        <v>152</v>
      </c>
    </row>
    <row r="137" customFormat="false" ht="15" hidden="false" customHeight="true" outlineLevel="0" collapsed="false">
      <c r="A137" s="5" t="n">
        <v>2096800</v>
      </c>
      <c r="B137" s="5" t="s">
        <v>252</v>
      </c>
      <c r="C137" s="5" t="s">
        <v>99</v>
      </c>
      <c r="D137" s="5" t="s">
        <v>100</v>
      </c>
      <c r="E137" s="5" t="s">
        <v>100</v>
      </c>
    </row>
    <row r="138" customFormat="false" ht="15" hidden="false" customHeight="true" outlineLevel="0" collapsed="false">
      <c r="A138" s="5" t="n">
        <v>2104200</v>
      </c>
      <c r="B138" s="5" t="s">
        <v>253</v>
      </c>
      <c r="C138" s="5" t="s">
        <v>99</v>
      </c>
      <c r="D138" s="5" t="s">
        <v>114</v>
      </c>
      <c r="E138" s="5" t="s">
        <v>152</v>
      </c>
    </row>
    <row r="139" customFormat="false" ht="15" hidden="false" customHeight="true" outlineLevel="0" collapsed="false">
      <c r="A139" s="5" t="n">
        <v>2106500</v>
      </c>
      <c r="B139" s="5" t="s">
        <v>254</v>
      </c>
      <c r="C139" s="5" t="s">
        <v>99</v>
      </c>
      <c r="D139" s="5" t="s">
        <v>100</v>
      </c>
      <c r="E139" s="5" t="s">
        <v>100</v>
      </c>
    </row>
    <row r="140" customFormat="false" ht="15" hidden="false" customHeight="true" outlineLevel="0" collapsed="false">
      <c r="A140" s="5" t="n">
        <v>2123200</v>
      </c>
      <c r="B140" s="5" t="s">
        <v>255</v>
      </c>
      <c r="C140" s="5" t="s">
        <v>142</v>
      </c>
      <c r="D140" s="5" t="s">
        <v>143</v>
      </c>
      <c r="E140" s="5" t="s">
        <v>194</v>
      </c>
    </row>
    <row r="141" customFormat="false" ht="15" hidden="false" customHeight="true" outlineLevel="0" collapsed="false">
      <c r="A141" s="5" t="n">
        <v>2133100</v>
      </c>
      <c r="B141" s="5" t="s">
        <v>256</v>
      </c>
      <c r="C141" s="5" t="s">
        <v>99</v>
      </c>
      <c r="D141" s="5" t="s">
        <v>114</v>
      </c>
      <c r="E141" s="5" t="s">
        <v>128</v>
      </c>
    </row>
    <row r="142" customFormat="false" ht="15" hidden="false" customHeight="true" outlineLevel="0" collapsed="false">
      <c r="A142" s="5" t="n">
        <v>2133200</v>
      </c>
      <c r="B142" s="5" t="s">
        <v>257</v>
      </c>
      <c r="C142" s="5" t="s">
        <v>99</v>
      </c>
      <c r="D142" s="5" t="s">
        <v>114</v>
      </c>
      <c r="E142" s="5" t="s">
        <v>128</v>
      </c>
    </row>
    <row r="143" customFormat="false" ht="15" hidden="false" customHeight="true" outlineLevel="0" collapsed="false">
      <c r="A143" s="5" t="n">
        <v>2133700</v>
      </c>
      <c r="B143" s="5" t="s">
        <v>258</v>
      </c>
      <c r="C143" s="5" t="s">
        <v>99</v>
      </c>
      <c r="D143" s="5" t="s">
        <v>114</v>
      </c>
      <c r="E143" s="5" t="s">
        <v>128</v>
      </c>
    </row>
    <row r="144" customFormat="false" ht="15" hidden="false" customHeight="true" outlineLevel="0" collapsed="false">
      <c r="A144" s="5" t="n">
        <v>2133900</v>
      </c>
      <c r="B144" s="5" t="s">
        <v>259</v>
      </c>
      <c r="C144" s="5" t="s">
        <v>99</v>
      </c>
      <c r="D144" s="5" t="s">
        <v>114</v>
      </c>
      <c r="E144" s="5" t="s">
        <v>128</v>
      </c>
    </row>
    <row r="145" customFormat="false" ht="15" hidden="false" customHeight="true" outlineLevel="0" collapsed="false">
      <c r="A145" s="5" t="n">
        <v>2134300</v>
      </c>
      <c r="B145" s="5" t="s">
        <v>260</v>
      </c>
      <c r="C145" s="5" t="s">
        <v>99</v>
      </c>
      <c r="D145" s="5" t="s">
        <v>114</v>
      </c>
      <c r="E145" s="5" t="s">
        <v>128</v>
      </c>
    </row>
    <row r="146" customFormat="false" ht="15" hidden="false" customHeight="true" outlineLevel="0" collapsed="false">
      <c r="A146" s="5" t="n">
        <v>2147500</v>
      </c>
      <c r="B146" s="5" t="s">
        <v>261</v>
      </c>
      <c r="C146" s="5" t="s">
        <v>142</v>
      </c>
      <c r="D146" s="5" t="s">
        <v>143</v>
      </c>
      <c r="E146" s="5" t="s">
        <v>194</v>
      </c>
    </row>
    <row r="147" customFormat="false" ht="15" hidden="false" customHeight="true" outlineLevel="0" collapsed="false">
      <c r="A147" s="5" t="n">
        <v>2148800</v>
      </c>
      <c r="B147" s="5" t="s">
        <v>262</v>
      </c>
      <c r="C147" s="5" t="s">
        <v>142</v>
      </c>
      <c r="D147" s="5" t="s">
        <v>143</v>
      </c>
      <c r="E147" s="5" t="s">
        <v>167</v>
      </c>
    </row>
    <row r="148" customFormat="false" ht="15" hidden="false" customHeight="true" outlineLevel="0" collapsed="false">
      <c r="A148" s="5" t="n">
        <v>2166900</v>
      </c>
      <c r="B148" s="5" t="s">
        <v>263</v>
      </c>
      <c r="C148" s="5" t="s">
        <v>142</v>
      </c>
      <c r="D148" s="5" t="s">
        <v>143</v>
      </c>
      <c r="E148" s="5" t="s">
        <v>264</v>
      </c>
    </row>
    <row r="149" customFormat="false" ht="15" hidden="false" customHeight="true" outlineLevel="0" collapsed="false">
      <c r="A149" s="5" t="n">
        <v>2167000</v>
      </c>
      <c r="B149" s="5" t="s">
        <v>265</v>
      </c>
      <c r="C149" s="5" t="s">
        <v>142</v>
      </c>
      <c r="D149" s="5" t="s">
        <v>143</v>
      </c>
      <c r="E149" s="5" t="s">
        <v>264</v>
      </c>
    </row>
    <row r="150" customFormat="false" ht="15" hidden="false" customHeight="true" outlineLevel="0" collapsed="false">
      <c r="A150" s="5" t="n">
        <v>2210400</v>
      </c>
      <c r="B150" s="5" t="s">
        <v>266</v>
      </c>
      <c r="C150" s="5" t="s">
        <v>142</v>
      </c>
      <c r="D150" s="5" t="s">
        <v>143</v>
      </c>
      <c r="E150" s="5" t="s">
        <v>167</v>
      </c>
    </row>
    <row r="151" customFormat="false" ht="15" hidden="false" customHeight="true" outlineLevel="0" collapsed="false">
      <c r="A151" s="5" t="n">
        <v>2210600</v>
      </c>
      <c r="B151" s="5" t="s">
        <v>267</v>
      </c>
      <c r="C151" s="5" t="s">
        <v>142</v>
      </c>
      <c r="D151" s="5" t="s">
        <v>143</v>
      </c>
      <c r="E151" s="5" t="s">
        <v>167</v>
      </c>
    </row>
    <row r="152" customFormat="false" ht="15" hidden="false" customHeight="true" outlineLevel="0" collapsed="false">
      <c r="A152" s="5" t="n">
        <v>2211300</v>
      </c>
      <c r="B152" s="5" t="s">
        <v>268</v>
      </c>
      <c r="C152" s="5" t="s">
        <v>142</v>
      </c>
      <c r="D152" s="5" t="s">
        <v>143</v>
      </c>
      <c r="E152" s="5" t="s">
        <v>212</v>
      </c>
    </row>
    <row r="153" customFormat="false" ht="15" hidden="false" customHeight="true" outlineLevel="0" collapsed="false">
      <c r="A153" s="5" t="n">
        <v>2211400</v>
      </c>
      <c r="B153" s="5" t="s">
        <v>269</v>
      </c>
      <c r="C153" s="5" t="s">
        <v>99</v>
      </c>
      <c r="D153" s="5" t="s">
        <v>114</v>
      </c>
      <c r="E153" s="5" t="s">
        <v>133</v>
      </c>
    </row>
    <row r="154" customFormat="false" ht="15" hidden="false" customHeight="true" outlineLevel="0" collapsed="false">
      <c r="A154" s="5" t="n">
        <v>2211500</v>
      </c>
      <c r="B154" s="5" t="s">
        <v>270</v>
      </c>
      <c r="C154" s="5" t="s">
        <v>99</v>
      </c>
      <c r="D154" s="5" t="s">
        <v>114</v>
      </c>
      <c r="E154" s="5" t="s">
        <v>133</v>
      </c>
    </row>
    <row r="155" customFormat="false" ht="15" hidden="false" customHeight="true" outlineLevel="0" collapsed="false">
      <c r="A155" s="5" t="n">
        <v>2212300</v>
      </c>
      <c r="B155" s="5" t="s">
        <v>271</v>
      </c>
      <c r="C155" s="5" t="s">
        <v>142</v>
      </c>
      <c r="D155" s="5" t="s">
        <v>143</v>
      </c>
      <c r="E155" s="5" t="s">
        <v>212</v>
      </c>
    </row>
    <row r="156" customFormat="false" ht="15" hidden="false" customHeight="true" outlineLevel="0" collapsed="false">
      <c r="A156" s="5" t="n">
        <v>2216700</v>
      </c>
      <c r="B156" s="5" t="s">
        <v>272</v>
      </c>
      <c r="C156" s="5" t="s">
        <v>99</v>
      </c>
      <c r="D156" s="5" t="s">
        <v>100</v>
      </c>
      <c r="E156" s="5" t="s">
        <v>100</v>
      </c>
    </row>
    <row r="157" customFormat="false" ht="15" hidden="false" customHeight="true" outlineLevel="0" collapsed="false">
      <c r="A157" s="5" t="n">
        <v>2216800</v>
      </c>
      <c r="B157" s="5" t="s">
        <v>273</v>
      </c>
      <c r="C157" s="5" t="s">
        <v>99</v>
      </c>
      <c r="D157" s="5" t="s">
        <v>100</v>
      </c>
      <c r="E157" s="5" t="s">
        <v>100</v>
      </c>
    </row>
    <row r="158" customFormat="false" ht="15" hidden="false" customHeight="true" outlineLevel="0" collapsed="false">
      <c r="A158" s="5" t="n">
        <v>2242600</v>
      </c>
      <c r="B158" s="5" t="s">
        <v>274</v>
      </c>
      <c r="C158" s="5" t="s">
        <v>142</v>
      </c>
      <c r="D158" s="5" t="s">
        <v>143</v>
      </c>
      <c r="E158" s="5" t="s">
        <v>194</v>
      </c>
    </row>
    <row r="159" customFormat="false" ht="15" hidden="false" customHeight="true" outlineLevel="0" collapsed="false">
      <c r="A159" s="5" t="n">
        <v>2243100</v>
      </c>
      <c r="B159" s="5" t="s">
        <v>275</v>
      </c>
      <c r="C159" s="5" t="s">
        <v>142</v>
      </c>
      <c r="D159" s="5" t="s">
        <v>143</v>
      </c>
      <c r="E159" s="5" t="s">
        <v>194</v>
      </c>
    </row>
    <row r="160" customFormat="false" ht="15" hidden="false" customHeight="true" outlineLevel="0" collapsed="false">
      <c r="A160" s="5" t="n">
        <v>2243200</v>
      </c>
      <c r="B160" s="5" t="s">
        <v>276</v>
      </c>
      <c r="C160" s="5" t="s">
        <v>142</v>
      </c>
      <c r="D160" s="5" t="s">
        <v>143</v>
      </c>
      <c r="E160" s="5" t="s">
        <v>194</v>
      </c>
    </row>
    <row r="161" customFormat="false" ht="15" hidden="false" customHeight="true" outlineLevel="0" collapsed="false">
      <c r="A161" s="5" t="n">
        <v>2243800</v>
      </c>
      <c r="B161" s="5" t="s">
        <v>277</v>
      </c>
      <c r="C161" s="5" t="s">
        <v>142</v>
      </c>
      <c r="D161" s="5" t="s">
        <v>143</v>
      </c>
      <c r="E161" s="5" t="s">
        <v>194</v>
      </c>
    </row>
    <row r="162" customFormat="false" ht="15" hidden="false" customHeight="true" outlineLevel="0" collapsed="false">
      <c r="A162" s="5" t="n">
        <v>2244800</v>
      </c>
      <c r="B162" s="5" t="s">
        <v>278</v>
      </c>
      <c r="C162" s="5" t="s">
        <v>142</v>
      </c>
      <c r="D162" s="5" t="s">
        <v>143</v>
      </c>
      <c r="E162" s="5" t="s">
        <v>264</v>
      </c>
    </row>
    <row r="163" customFormat="false" ht="15" hidden="false" customHeight="true" outlineLevel="0" collapsed="false">
      <c r="A163" s="5" t="n">
        <v>2246700</v>
      </c>
      <c r="B163" s="5" t="s">
        <v>279</v>
      </c>
      <c r="C163" s="5" t="s">
        <v>99</v>
      </c>
      <c r="D163" s="5" t="s">
        <v>124</v>
      </c>
      <c r="E163" s="5" t="s">
        <v>125</v>
      </c>
    </row>
    <row r="164" customFormat="false" ht="15" hidden="false" customHeight="true" outlineLevel="0" collapsed="false">
      <c r="A164" s="5" t="n">
        <v>2260300</v>
      </c>
      <c r="B164" s="5" t="s">
        <v>280</v>
      </c>
      <c r="C164" s="5" t="s">
        <v>142</v>
      </c>
      <c r="D164" s="5" t="s">
        <v>143</v>
      </c>
      <c r="E164" s="5" t="s">
        <v>194</v>
      </c>
    </row>
    <row r="165" customFormat="false" ht="15" hidden="false" customHeight="true" outlineLevel="0" collapsed="false">
      <c r="A165" s="5" t="n">
        <v>2263000</v>
      </c>
      <c r="B165" s="5" t="s">
        <v>281</v>
      </c>
      <c r="C165" s="5" t="s">
        <v>99</v>
      </c>
      <c r="D165" s="5" t="s">
        <v>114</v>
      </c>
      <c r="E165" s="5" t="s">
        <v>152</v>
      </c>
    </row>
    <row r="166" customFormat="false" ht="15" hidden="false" customHeight="true" outlineLevel="0" collapsed="false">
      <c r="A166" s="5" t="n">
        <v>2263300</v>
      </c>
      <c r="B166" s="5" t="s">
        <v>282</v>
      </c>
      <c r="C166" s="5" t="s">
        <v>142</v>
      </c>
      <c r="D166" s="5" t="s">
        <v>283</v>
      </c>
      <c r="E166" s="5" t="s">
        <v>167</v>
      </c>
    </row>
    <row r="167" customFormat="false" ht="15" hidden="false" customHeight="true" outlineLevel="0" collapsed="false">
      <c r="A167" s="5" t="n">
        <v>2283600</v>
      </c>
      <c r="B167" s="5" t="s">
        <v>284</v>
      </c>
      <c r="C167" s="5" t="s">
        <v>142</v>
      </c>
      <c r="D167" s="5" t="s">
        <v>143</v>
      </c>
      <c r="E167" s="5" t="s">
        <v>172</v>
      </c>
    </row>
    <row r="168" customFormat="false" ht="15" hidden="false" customHeight="true" outlineLevel="0" collapsed="false">
      <c r="A168" s="5" t="n">
        <v>2283700</v>
      </c>
      <c r="B168" s="5" t="s">
        <v>285</v>
      </c>
      <c r="C168" s="5" t="s">
        <v>142</v>
      </c>
      <c r="D168" s="5" t="s">
        <v>143</v>
      </c>
      <c r="E168" s="5" t="s">
        <v>172</v>
      </c>
    </row>
    <row r="169" customFormat="false" ht="15" hidden="false" customHeight="true" outlineLevel="0" collapsed="false">
      <c r="A169" s="5" t="n">
        <v>2283800</v>
      </c>
      <c r="B169" s="5" t="s">
        <v>286</v>
      </c>
      <c r="C169" s="5" t="s">
        <v>142</v>
      </c>
      <c r="D169" s="5" t="s">
        <v>143</v>
      </c>
      <c r="E169" s="5" t="s">
        <v>172</v>
      </c>
    </row>
    <row r="170" customFormat="false" ht="15" hidden="false" customHeight="true" outlineLevel="0" collapsed="false">
      <c r="A170" s="5" t="n">
        <v>2283900</v>
      </c>
      <c r="B170" s="5" t="s">
        <v>287</v>
      </c>
      <c r="C170" s="5" t="s">
        <v>142</v>
      </c>
      <c r="D170" s="5" t="s">
        <v>143</v>
      </c>
      <c r="E170" s="5" t="s">
        <v>172</v>
      </c>
    </row>
    <row r="171" customFormat="false" ht="15" hidden="false" customHeight="true" outlineLevel="0" collapsed="false">
      <c r="A171" s="5" t="n">
        <v>2284000</v>
      </c>
      <c r="B171" s="5" t="s">
        <v>288</v>
      </c>
      <c r="C171" s="5" t="s">
        <v>142</v>
      </c>
      <c r="D171" s="5" t="s">
        <v>143</v>
      </c>
      <c r="E171" s="5" t="s">
        <v>172</v>
      </c>
    </row>
    <row r="172" customFormat="false" ht="15" hidden="false" customHeight="true" outlineLevel="0" collapsed="false">
      <c r="A172" s="5" t="n">
        <v>2284100</v>
      </c>
      <c r="B172" s="5" t="s">
        <v>289</v>
      </c>
      <c r="C172" s="5" t="s">
        <v>142</v>
      </c>
      <c r="D172" s="5" t="s">
        <v>143</v>
      </c>
      <c r="E172" s="5" t="s">
        <v>172</v>
      </c>
    </row>
    <row r="173" customFormat="false" ht="15" hidden="false" customHeight="true" outlineLevel="0" collapsed="false">
      <c r="A173" s="5" t="n">
        <v>2286400</v>
      </c>
      <c r="B173" s="5" t="s">
        <v>290</v>
      </c>
      <c r="C173" s="5" t="s">
        <v>99</v>
      </c>
      <c r="D173" s="5" t="s">
        <v>124</v>
      </c>
      <c r="E173" s="5" t="s">
        <v>198</v>
      </c>
    </row>
    <row r="174" customFormat="false" ht="15" hidden="false" customHeight="true" outlineLevel="0" collapsed="false">
      <c r="A174" s="5" t="n">
        <v>2287100</v>
      </c>
      <c r="B174" s="5" t="s">
        <v>291</v>
      </c>
      <c r="C174" s="5" t="s">
        <v>99</v>
      </c>
      <c r="D174" s="5" t="s">
        <v>100</v>
      </c>
      <c r="E174" s="5" t="s">
        <v>100</v>
      </c>
    </row>
    <row r="175" customFormat="false" ht="15" hidden="false" customHeight="true" outlineLevel="0" collapsed="false">
      <c r="A175" s="5" t="n">
        <v>2291900</v>
      </c>
      <c r="B175" s="5" t="s">
        <v>292</v>
      </c>
      <c r="C175" s="5" t="s">
        <v>142</v>
      </c>
      <c r="D175" s="5" t="s">
        <v>143</v>
      </c>
      <c r="E175" s="5" t="s">
        <v>167</v>
      </c>
    </row>
    <row r="176" customFormat="false" ht="15" hidden="false" customHeight="true" outlineLevel="0" collapsed="false">
      <c r="A176" s="5" t="n">
        <v>2303500</v>
      </c>
      <c r="B176" s="5" t="s">
        <v>293</v>
      </c>
      <c r="C176" s="5" t="s">
        <v>142</v>
      </c>
      <c r="D176" s="5" t="s">
        <v>143</v>
      </c>
      <c r="E176" s="5" t="s">
        <v>294</v>
      </c>
    </row>
    <row r="177" customFormat="false" ht="15" hidden="false" customHeight="true" outlineLevel="0" collapsed="false">
      <c r="A177" s="5" t="n">
        <v>2303600</v>
      </c>
      <c r="B177" s="5" t="s">
        <v>295</v>
      </c>
      <c r="C177" s="5" t="s">
        <v>142</v>
      </c>
      <c r="D177" s="5" t="s">
        <v>143</v>
      </c>
      <c r="E177" s="5" t="s">
        <v>294</v>
      </c>
    </row>
    <row r="178" customFormat="false" ht="15" hidden="false" customHeight="true" outlineLevel="0" collapsed="false">
      <c r="A178" s="5" t="n">
        <v>2303900</v>
      </c>
      <c r="B178" s="5" t="s">
        <v>296</v>
      </c>
      <c r="C178" s="5" t="s">
        <v>142</v>
      </c>
      <c r="D178" s="5" t="s">
        <v>143</v>
      </c>
      <c r="E178" s="5" t="s">
        <v>294</v>
      </c>
    </row>
    <row r="179" customFormat="false" ht="15" hidden="false" customHeight="true" outlineLevel="0" collapsed="false">
      <c r="A179" s="5" t="n">
        <v>2304100</v>
      </c>
      <c r="B179" s="5" t="s">
        <v>297</v>
      </c>
      <c r="C179" s="5" t="s">
        <v>142</v>
      </c>
      <c r="D179" s="5" t="s">
        <v>143</v>
      </c>
      <c r="E179" s="5" t="s">
        <v>294</v>
      </c>
    </row>
    <row r="180" customFormat="false" ht="15" hidden="false" customHeight="true" outlineLevel="0" collapsed="false">
      <c r="A180" s="5" t="n">
        <v>2304400</v>
      </c>
      <c r="B180" s="5" t="s">
        <v>298</v>
      </c>
      <c r="C180" s="5" t="s">
        <v>142</v>
      </c>
      <c r="D180" s="5" t="s">
        <v>143</v>
      </c>
      <c r="E180" s="5" t="s">
        <v>294</v>
      </c>
    </row>
    <row r="181" customFormat="false" ht="15" hidden="false" customHeight="true" outlineLevel="0" collapsed="false">
      <c r="A181" s="5" t="n">
        <v>2304500</v>
      </c>
      <c r="B181" s="5" t="s">
        <v>299</v>
      </c>
      <c r="C181" s="5" t="s">
        <v>142</v>
      </c>
      <c r="D181" s="5" t="s">
        <v>143</v>
      </c>
      <c r="E181" s="5" t="s">
        <v>264</v>
      </c>
    </row>
    <row r="182" customFormat="false" ht="15" hidden="false" customHeight="true" outlineLevel="0" collapsed="false">
      <c r="A182" s="5" t="n">
        <v>2304700</v>
      </c>
      <c r="B182" s="5" t="s">
        <v>300</v>
      </c>
      <c r="C182" s="5" t="s">
        <v>142</v>
      </c>
      <c r="D182" s="5" t="s">
        <v>143</v>
      </c>
      <c r="E182" s="5" t="s">
        <v>294</v>
      </c>
    </row>
    <row r="183" customFormat="false" ht="15" hidden="false" customHeight="true" outlineLevel="0" collapsed="false">
      <c r="A183" s="5" t="n">
        <v>2304800</v>
      </c>
      <c r="B183" s="5" t="s">
        <v>301</v>
      </c>
      <c r="C183" s="5" t="s">
        <v>142</v>
      </c>
      <c r="D183" s="5" t="s">
        <v>143</v>
      </c>
      <c r="E183" s="5" t="s">
        <v>294</v>
      </c>
    </row>
    <row r="184" customFormat="false" ht="15" hidden="false" customHeight="true" outlineLevel="0" collapsed="false">
      <c r="A184" s="5" t="n">
        <v>2312100</v>
      </c>
      <c r="B184" s="5" t="s">
        <v>302</v>
      </c>
      <c r="C184" s="5" t="s">
        <v>99</v>
      </c>
      <c r="D184" s="5" t="s">
        <v>114</v>
      </c>
      <c r="E184" s="5" t="s">
        <v>115</v>
      </c>
    </row>
    <row r="185" customFormat="false" ht="15" hidden="false" customHeight="true" outlineLevel="0" collapsed="false">
      <c r="A185" s="5" t="n">
        <v>2315900</v>
      </c>
      <c r="B185" s="5" t="s">
        <v>303</v>
      </c>
      <c r="C185" s="5" t="s">
        <v>142</v>
      </c>
      <c r="D185" s="5" t="s">
        <v>143</v>
      </c>
      <c r="E185" s="5" t="s">
        <v>115</v>
      </c>
    </row>
    <row r="186" customFormat="false" ht="15" hidden="false" customHeight="true" outlineLevel="0" collapsed="false">
      <c r="A186" s="5" t="n">
        <v>2316200</v>
      </c>
      <c r="B186" s="5" t="s">
        <v>304</v>
      </c>
      <c r="C186" s="5" t="s">
        <v>99</v>
      </c>
      <c r="D186" s="5" t="s">
        <v>114</v>
      </c>
      <c r="E186" s="5" t="s">
        <v>117</v>
      </c>
    </row>
    <row r="187" customFormat="false" ht="15" hidden="false" customHeight="true" outlineLevel="0" collapsed="false">
      <c r="A187" s="5" t="n">
        <v>2316800</v>
      </c>
      <c r="B187" s="5" t="s">
        <v>305</v>
      </c>
      <c r="C187" s="5" t="s">
        <v>99</v>
      </c>
      <c r="D187" s="5" t="s">
        <v>114</v>
      </c>
      <c r="E187" s="5" t="s">
        <v>117</v>
      </c>
    </row>
    <row r="188" customFormat="false" ht="15" hidden="false" customHeight="true" outlineLevel="0" collapsed="false">
      <c r="A188" s="5" t="n">
        <v>2317100</v>
      </c>
      <c r="B188" s="5" t="s">
        <v>306</v>
      </c>
      <c r="C188" s="5" t="s">
        <v>142</v>
      </c>
      <c r="D188" s="5" t="s">
        <v>143</v>
      </c>
      <c r="E188" s="5" t="s">
        <v>172</v>
      </c>
    </row>
    <row r="189" customFormat="false" ht="15" hidden="false" customHeight="true" outlineLevel="0" collapsed="false">
      <c r="A189" s="5" t="n">
        <v>2317200</v>
      </c>
      <c r="B189" s="5" t="s">
        <v>307</v>
      </c>
      <c r="C189" s="5" t="s">
        <v>142</v>
      </c>
      <c r="D189" s="5" t="s">
        <v>143</v>
      </c>
      <c r="E189" s="5" t="s">
        <v>172</v>
      </c>
    </row>
    <row r="190" customFormat="false" ht="15" hidden="false" customHeight="true" outlineLevel="0" collapsed="false">
      <c r="A190" s="5" t="n">
        <v>2317400</v>
      </c>
      <c r="B190" s="5" t="s">
        <v>308</v>
      </c>
      <c r="C190" s="5" t="s">
        <v>142</v>
      </c>
      <c r="D190" s="5" t="s">
        <v>143</v>
      </c>
      <c r="E190" s="5" t="s">
        <v>172</v>
      </c>
    </row>
    <row r="191" customFormat="false" ht="15" hidden="false" customHeight="true" outlineLevel="0" collapsed="false">
      <c r="A191" s="5" t="n">
        <v>2317500</v>
      </c>
      <c r="B191" s="5" t="s">
        <v>309</v>
      </c>
      <c r="C191" s="5" t="s">
        <v>142</v>
      </c>
      <c r="D191" s="5" t="s">
        <v>143</v>
      </c>
      <c r="E191" s="5" t="s">
        <v>172</v>
      </c>
    </row>
    <row r="192" customFormat="false" ht="15" hidden="false" customHeight="true" outlineLevel="0" collapsed="false">
      <c r="A192" s="5" t="n">
        <v>2317600</v>
      </c>
      <c r="B192" s="5" t="s">
        <v>310</v>
      </c>
      <c r="C192" s="5" t="s">
        <v>142</v>
      </c>
      <c r="D192" s="5" t="s">
        <v>143</v>
      </c>
      <c r="E192" s="5" t="s">
        <v>172</v>
      </c>
    </row>
    <row r="193" customFormat="false" ht="15" hidden="false" customHeight="true" outlineLevel="0" collapsed="false">
      <c r="A193" s="5" t="n">
        <v>2317700</v>
      </c>
      <c r="B193" s="5" t="s">
        <v>311</v>
      </c>
      <c r="C193" s="5" t="s">
        <v>142</v>
      </c>
      <c r="D193" s="5" t="s">
        <v>143</v>
      </c>
      <c r="E193" s="5" t="s">
        <v>172</v>
      </c>
    </row>
    <row r="194" customFormat="false" ht="15" hidden="false" customHeight="true" outlineLevel="0" collapsed="false">
      <c r="A194" s="5" t="n">
        <v>2317800</v>
      </c>
      <c r="B194" s="5" t="s">
        <v>312</v>
      </c>
      <c r="C194" s="5" t="s">
        <v>142</v>
      </c>
      <c r="D194" s="5" t="s">
        <v>143</v>
      </c>
      <c r="E194" s="5" t="s">
        <v>172</v>
      </c>
    </row>
    <row r="195" customFormat="false" ht="15" hidden="false" customHeight="true" outlineLevel="0" collapsed="false">
      <c r="A195" s="5" t="n">
        <v>2317900</v>
      </c>
      <c r="B195" s="5" t="s">
        <v>313</v>
      </c>
      <c r="C195" s="5" t="s">
        <v>142</v>
      </c>
      <c r="D195" s="5" t="s">
        <v>143</v>
      </c>
      <c r="E195" s="5" t="s">
        <v>172</v>
      </c>
    </row>
    <row r="196" customFormat="false" ht="15" hidden="false" customHeight="true" outlineLevel="0" collapsed="false">
      <c r="A196" s="5" t="n">
        <v>2318200</v>
      </c>
      <c r="B196" s="5" t="s">
        <v>314</v>
      </c>
      <c r="C196" s="5" t="s">
        <v>99</v>
      </c>
      <c r="D196" s="5" t="s">
        <v>114</v>
      </c>
      <c r="E196" s="5" t="s">
        <v>133</v>
      </c>
    </row>
    <row r="197" customFormat="false" ht="15" hidden="false" customHeight="true" outlineLevel="0" collapsed="false">
      <c r="A197" s="5" t="n">
        <v>2318400</v>
      </c>
      <c r="B197" s="5" t="s">
        <v>315</v>
      </c>
      <c r="C197" s="5" t="s">
        <v>99</v>
      </c>
      <c r="D197" s="5" t="s">
        <v>114</v>
      </c>
      <c r="E197" s="5" t="s">
        <v>133</v>
      </c>
    </row>
    <row r="198" customFormat="false" ht="15" hidden="false" customHeight="true" outlineLevel="0" collapsed="false">
      <c r="A198" s="5" t="n">
        <v>2318500</v>
      </c>
      <c r="B198" s="5" t="s">
        <v>316</v>
      </c>
      <c r="C198" s="5" t="s">
        <v>99</v>
      </c>
      <c r="D198" s="5" t="s">
        <v>114</v>
      </c>
      <c r="E198" s="5" t="s">
        <v>133</v>
      </c>
    </row>
    <row r="199" customFormat="false" ht="15" hidden="false" customHeight="true" outlineLevel="0" collapsed="false">
      <c r="A199" s="5" t="n">
        <v>2318600</v>
      </c>
      <c r="B199" s="5" t="s">
        <v>317</v>
      </c>
      <c r="C199" s="5" t="s">
        <v>99</v>
      </c>
      <c r="D199" s="5" t="s">
        <v>114</v>
      </c>
      <c r="E199" s="5" t="s">
        <v>133</v>
      </c>
    </row>
    <row r="200" customFormat="false" ht="15" hidden="false" customHeight="true" outlineLevel="0" collapsed="false">
      <c r="A200" s="5" t="n">
        <v>2318700</v>
      </c>
      <c r="B200" s="5" t="s">
        <v>318</v>
      </c>
      <c r="C200" s="5" t="s">
        <v>99</v>
      </c>
      <c r="D200" s="5" t="s">
        <v>114</v>
      </c>
      <c r="E200" s="5" t="s">
        <v>133</v>
      </c>
    </row>
    <row r="201" customFormat="false" ht="15" hidden="false" customHeight="true" outlineLevel="0" collapsed="false">
      <c r="A201" s="5" t="n">
        <v>2318800</v>
      </c>
      <c r="B201" s="5" t="s">
        <v>319</v>
      </c>
      <c r="C201" s="5" t="s">
        <v>99</v>
      </c>
      <c r="D201" s="5" t="s">
        <v>114</v>
      </c>
      <c r="E201" s="5" t="s">
        <v>133</v>
      </c>
    </row>
    <row r="202" customFormat="false" ht="15" hidden="false" customHeight="true" outlineLevel="0" collapsed="false">
      <c r="A202" s="5" t="n">
        <v>2318900</v>
      </c>
      <c r="B202" s="5" t="s">
        <v>320</v>
      </c>
      <c r="C202" s="5" t="s">
        <v>99</v>
      </c>
      <c r="D202" s="5" t="s">
        <v>114</v>
      </c>
      <c r="E202" s="5" t="s">
        <v>133</v>
      </c>
    </row>
    <row r="203" customFormat="false" ht="15" hidden="false" customHeight="true" outlineLevel="0" collapsed="false">
      <c r="A203" s="5" t="n">
        <v>2321200</v>
      </c>
      <c r="B203" s="5" t="s">
        <v>321</v>
      </c>
      <c r="C203" s="5" t="s">
        <v>142</v>
      </c>
      <c r="D203" s="5" t="s">
        <v>143</v>
      </c>
      <c r="E203" s="5" t="s">
        <v>172</v>
      </c>
    </row>
    <row r="204" customFormat="false" ht="15" hidden="false" customHeight="true" outlineLevel="0" collapsed="false">
      <c r="A204" s="5" t="n">
        <v>2321300</v>
      </c>
      <c r="B204" s="5" t="s">
        <v>322</v>
      </c>
      <c r="C204" s="5" t="s">
        <v>142</v>
      </c>
      <c r="D204" s="5" t="s">
        <v>143</v>
      </c>
      <c r="E204" s="5" t="s">
        <v>172</v>
      </c>
    </row>
    <row r="205" customFormat="false" ht="15" hidden="false" customHeight="true" outlineLevel="0" collapsed="false">
      <c r="A205" s="5" t="n">
        <v>2322000</v>
      </c>
      <c r="B205" s="5" t="s">
        <v>323</v>
      </c>
      <c r="C205" s="5" t="s">
        <v>142</v>
      </c>
      <c r="D205" s="5" t="s">
        <v>143</v>
      </c>
      <c r="E205" s="5" t="s">
        <v>167</v>
      </c>
    </row>
    <row r="206" customFormat="false" ht="15" hidden="false" customHeight="true" outlineLevel="0" collapsed="false">
      <c r="A206" s="5" t="n">
        <v>2322800</v>
      </c>
      <c r="B206" s="5" t="s">
        <v>324</v>
      </c>
      <c r="C206" s="5" t="s">
        <v>99</v>
      </c>
      <c r="D206" s="5" t="s">
        <v>100</v>
      </c>
      <c r="E206" s="5" t="s">
        <v>100</v>
      </c>
    </row>
    <row r="207" customFormat="false" ht="15" hidden="false" customHeight="true" outlineLevel="0" collapsed="false">
      <c r="A207" s="5" t="n">
        <v>2324000</v>
      </c>
      <c r="B207" s="5" t="s">
        <v>325</v>
      </c>
      <c r="C207" s="5" t="s">
        <v>99</v>
      </c>
      <c r="D207" s="5" t="s">
        <v>114</v>
      </c>
      <c r="E207" s="5" t="s">
        <v>117</v>
      </c>
    </row>
    <row r="208" customFormat="false" ht="15" hidden="false" customHeight="true" outlineLevel="0" collapsed="false">
      <c r="A208" s="5" t="n">
        <v>2332900</v>
      </c>
      <c r="B208" s="5" t="s">
        <v>326</v>
      </c>
      <c r="C208" s="5" t="s">
        <v>142</v>
      </c>
      <c r="D208" s="5" t="s">
        <v>143</v>
      </c>
      <c r="E208" s="5" t="s">
        <v>194</v>
      </c>
    </row>
    <row r="209" customFormat="false" ht="15" hidden="false" customHeight="true" outlineLevel="0" collapsed="false">
      <c r="A209" s="5" t="n">
        <v>2333000</v>
      </c>
      <c r="B209" s="5" t="s">
        <v>327</v>
      </c>
      <c r="C209" s="5" t="s">
        <v>142</v>
      </c>
      <c r="D209" s="5" t="s">
        <v>143</v>
      </c>
      <c r="E209" s="5" t="s">
        <v>194</v>
      </c>
    </row>
    <row r="210" customFormat="false" ht="15" hidden="false" customHeight="true" outlineLevel="0" collapsed="false">
      <c r="A210" s="5" t="n">
        <v>2333100</v>
      </c>
      <c r="B210" s="5" t="s">
        <v>328</v>
      </c>
      <c r="C210" s="5" t="s">
        <v>142</v>
      </c>
      <c r="D210" s="5" t="s">
        <v>143</v>
      </c>
      <c r="E210" s="5" t="s">
        <v>194</v>
      </c>
    </row>
    <row r="211" customFormat="false" ht="15" hidden="false" customHeight="true" outlineLevel="0" collapsed="false">
      <c r="A211" s="5" t="n">
        <v>2333200</v>
      </c>
      <c r="B211" s="5" t="s">
        <v>329</v>
      </c>
      <c r="C211" s="5" t="s">
        <v>142</v>
      </c>
      <c r="D211" s="5" t="s">
        <v>143</v>
      </c>
      <c r="E211" s="5" t="s">
        <v>194</v>
      </c>
    </row>
    <row r="212" customFormat="false" ht="15" hidden="false" customHeight="true" outlineLevel="0" collapsed="false">
      <c r="A212" s="5" t="n">
        <v>2333300</v>
      </c>
      <c r="B212" s="5" t="s">
        <v>330</v>
      </c>
      <c r="C212" s="5" t="s">
        <v>142</v>
      </c>
      <c r="D212" s="5" t="s">
        <v>143</v>
      </c>
      <c r="E212" s="5" t="s">
        <v>194</v>
      </c>
    </row>
    <row r="213" customFormat="false" ht="15" hidden="false" customHeight="true" outlineLevel="0" collapsed="false">
      <c r="A213" s="5" t="n">
        <v>2361600</v>
      </c>
      <c r="B213" s="5" t="s">
        <v>331</v>
      </c>
      <c r="C213" s="5" t="s">
        <v>142</v>
      </c>
      <c r="D213" s="5" t="s">
        <v>143</v>
      </c>
      <c r="E213" s="5" t="s">
        <v>172</v>
      </c>
    </row>
    <row r="214" customFormat="false" ht="15" hidden="false" customHeight="true" outlineLevel="0" collapsed="false">
      <c r="A214" s="5" t="n">
        <v>2375100</v>
      </c>
      <c r="B214" s="5" t="s">
        <v>332</v>
      </c>
      <c r="C214" s="5" t="s">
        <v>142</v>
      </c>
      <c r="D214" s="5" t="s">
        <v>143</v>
      </c>
      <c r="E214" s="5" t="s">
        <v>167</v>
      </c>
    </row>
    <row r="215" customFormat="false" ht="15" hidden="false" customHeight="true" outlineLevel="0" collapsed="false">
      <c r="A215" s="5" t="n">
        <v>2375200</v>
      </c>
      <c r="B215" s="5" t="s">
        <v>333</v>
      </c>
      <c r="C215" s="5" t="s">
        <v>142</v>
      </c>
      <c r="D215" s="5" t="s">
        <v>143</v>
      </c>
      <c r="E215" s="5" t="s">
        <v>167</v>
      </c>
    </row>
    <row r="216" customFormat="false" ht="15" hidden="false" customHeight="true" outlineLevel="0" collapsed="false">
      <c r="A216" s="5" t="n">
        <v>2375600</v>
      </c>
      <c r="B216" s="5" t="s">
        <v>334</v>
      </c>
      <c r="C216" s="5" t="s">
        <v>99</v>
      </c>
      <c r="D216" s="5" t="s">
        <v>100</v>
      </c>
      <c r="E216" s="5" t="s">
        <v>100</v>
      </c>
    </row>
    <row r="217" customFormat="false" ht="15" hidden="false" customHeight="true" outlineLevel="0" collapsed="false">
      <c r="A217" s="5" t="n">
        <v>2387600</v>
      </c>
      <c r="B217" s="5" t="s">
        <v>335</v>
      </c>
      <c r="C217" s="5" t="s">
        <v>142</v>
      </c>
      <c r="D217" s="5" t="s">
        <v>143</v>
      </c>
      <c r="E217" s="5" t="s">
        <v>172</v>
      </c>
    </row>
    <row r="218" customFormat="false" ht="15" hidden="false" customHeight="true" outlineLevel="0" collapsed="false">
      <c r="A218" s="5" t="n">
        <v>2392300</v>
      </c>
      <c r="B218" s="5" t="s">
        <v>336</v>
      </c>
      <c r="C218" s="5" t="s">
        <v>142</v>
      </c>
      <c r="D218" s="5" t="s">
        <v>283</v>
      </c>
      <c r="E218" s="5" t="s">
        <v>167</v>
      </c>
    </row>
    <row r="219" customFormat="false" ht="15" hidden="false" customHeight="true" outlineLevel="0" collapsed="false">
      <c r="A219" s="5" t="n">
        <v>2400000</v>
      </c>
      <c r="B219" s="5" t="s">
        <v>337</v>
      </c>
      <c r="C219" s="5" t="s">
        <v>142</v>
      </c>
      <c r="D219" s="5" t="s">
        <v>143</v>
      </c>
      <c r="E219" s="5" t="s">
        <v>172</v>
      </c>
    </row>
    <row r="220" customFormat="false" ht="15" hidden="false" customHeight="true" outlineLevel="0" collapsed="false">
      <c r="A220" s="5" t="n">
        <v>2400100</v>
      </c>
      <c r="B220" s="5" t="s">
        <v>338</v>
      </c>
      <c r="C220" s="5" t="s">
        <v>142</v>
      </c>
      <c r="D220" s="5" t="s">
        <v>143</v>
      </c>
      <c r="E220" s="5" t="s">
        <v>194</v>
      </c>
    </row>
    <row r="221" customFormat="false" ht="15" hidden="false" customHeight="true" outlineLevel="0" collapsed="false">
      <c r="A221" s="5" t="n">
        <v>2400900</v>
      </c>
      <c r="B221" s="5" t="s">
        <v>339</v>
      </c>
      <c r="C221" s="5" t="s">
        <v>142</v>
      </c>
      <c r="D221" s="5" t="s">
        <v>143</v>
      </c>
      <c r="E221" s="5" t="s">
        <v>194</v>
      </c>
    </row>
    <row r="222" customFormat="false" ht="15" hidden="false" customHeight="true" outlineLevel="0" collapsed="false">
      <c r="A222" s="5" t="n">
        <v>2402500</v>
      </c>
      <c r="B222" s="5" t="s">
        <v>340</v>
      </c>
      <c r="C222" s="5" t="s">
        <v>142</v>
      </c>
      <c r="D222" s="5" t="s">
        <v>143</v>
      </c>
      <c r="E222" s="5" t="s">
        <v>115</v>
      </c>
    </row>
    <row r="223" customFormat="false" ht="15" hidden="false" customHeight="true" outlineLevel="0" collapsed="false">
      <c r="A223" s="5" t="n">
        <v>2407500</v>
      </c>
      <c r="B223" s="5" t="s">
        <v>341</v>
      </c>
      <c r="C223" s="5" t="s">
        <v>99</v>
      </c>
      <c r="D223" s="5" t="s">
        <v>114</v>
      </c>
      <c r="E223" s="5" t="s">
        <v>133</v>
      </c>
    </row>
    <row r="224" customFormat="false" ht="15" hidden="false" customHeight="true" outlineLevel="0" collapsed="false">
      <c r="A224" s="5" t="n">
        <v>2407600</v>
      </c>
      <c r="B224" s="5" t="s">
        <v>342</v>
      </c>
      <c r="C224" s="5" t="s">
        <v>99</v>
      </c>
      <c r="D224" s="5" t="s">
        <v>114</v>
      </c>
      <c r="E224" s="5" t="s">
        <v>133</v>
      </c>
    </row>
    <row r="225" customFormat="false" ht="15" hidden="false" customHeight="true" outlineLevel="0" collapsed="false">
      <c r="A225" s="5" t="n">
        <v>2407700</v>
      </c>
      <c r="B225" s="5" t="s">
        <v>343</v>
      </c>
      <c r="C225" s="5" t="s">
        <v>99</v>
      </c>
      <c r="D225" s="5" t="s">
        <v>114</v>
      </c>
      <c r="E225" s="5" t="s">
        <v>133</v>
      </c>
    </row>
    <row r="226" customFormat="false" ht="15" hidden="false" customHeight="true" outlineLevel="0" collapsed="false">
      <c r="A226" s="5" t="n">
        <v>2407800</v>
      </c>
      <c r="B226" s="5" t="s">
        <v>344</v>
      </c>
      <c r="C226" s="5" t="s">
        <v>99</v>
      </c>
      <c r="D226" s="5" t="s">
        <v>114</v>
      </c>
      <c r="E226" s="5" t="s">
        <v>133</v>
      </c>
    </row>
    <row r="227" customFormat="false" ht="15" hidden="false" customHeight="true" outlineLevel="0" collapsed="false">
      <c r="A227" s="5" t="n">
        <v>2407900</v>
      </c>
      <c r="B227" s="5" t="s">
        <v>345</v>
      </c>
      <c r="C227" s="5" t="s">
        <v>99</v>
      </c>
      <c r="D227" s="5" t="s">
        <v>114</v>
      </c>
      <c r="E227" s="5" t="s">
        <v>133</v>
      </c>
    </row>
    <row r="228" customFormat="false" ht="15" hidden="false" customHeight="true" outlineLevel="0" collapsed="false">
      <c r="A228" s="5" t="n">
        <v>2408000</v>
      </c>
      <c r="B228" s="5" t="s">
        <v>346</v>
      </c>
      <c r="C228" s="5" t="s">
        <v>99</v>
      </c>
      <c r="D228" s="5" t="s">
        <v>114</v>
      </c>
      <c r="E228" s="5" t="s">
        <v>133</v>
      </c>
    </row>
    <row r="229" customFormat="false" ht="15" hidden="false" customHeight="true" outlineLevel="0" collapsed="false">
      <c r="A229" s="5" t="n">
        <v>2408100</v>
      </c>
      <c r="B229" s="5" t="s">
        <v>347</v>
      </c>
      <c r="C229" s="5" t="s">
        <v>99</v>
      </c>
      <c r="D229" s="5" t="s">
        <v>114</v>
      </c>
      <c r="E229" s="5" t="s">
        <v>133</v>
      </c>
    </row>
    <row r="230" customFormat="false" ht="15" hidden="false" customHeight="true" outlineLevel="0" collapsed="false">
      <c r="A230" s="5" t="n">
        <v>2408200</v>
      </c>
      <c r="B230" s="5" t="s">
        <v>348</v>
      </c>
      <c r="C230" s="5" t="s">
        <v>99</v>
      </c>
      <c r="D230" s="5" t="s">
        <v>114</v>
      </c>
      <c r="E230" s="5" t="s">
        <v>133</v>
      </c>
    </row>
    <row r="231" customFormat="false" ht="15" hidden="false" customHeight="true" outlineLevel="0" collapsed="false">
      <c r="A231" s="5" t="n">
        <v>2408300</v>
      </c>
      <c r="B231" s="5" t="s">
        <v>349</v>
      </c>
      <c r="C231" s="5" t="s">
        <v>99</v>
      </c>
      <c r="D231" s="5" t="s">
        <v>114</v>
      </c>
      <c r="E231" s="5" t="s">
        <v>133</v>
      </c>
    </row>
    <row r="232" customFormat="false" ht="15" hidden="false" customHeight="true" outlineLevel="0" collapsed="false">
      <c r="A232" s="5" t="n">
        <v>2408400</v>
      </c>
      <c r="B232" s="5" t="s">
        <v>350</v>
      </c>
      <c r="C232" s="5" t="s">
        <v>99</v>
      </c>
      <c r="D232" s="5" t="s">
        <v>114</v>
      </c>
      <c r="E232" s="5" t="s">
        <v>133</v>
      </c>
    </row>
    <row r="233" customFormat="false" ht="15" hidden="false" customHeight="true" outlineLevel="0" collapsed="false">
      <c r="A233" s="5" t="n">
        <v>2408500</v>
      </c>
      <c r="B233" s="5" t="s">
        <v>351</v>
      </c>
      <c r="C233" s="5" t="s">
        <v>99</v>
      </c>
      <c r="D233" s="5" t="s">
        <v>114</v>
      </c>
      <c r="E233" s="5" t="s">
        <v>133</v>
      </c>
    </row>
    <row r="234" customFormat="false" ht="15" hidden="false" customHeight="true" outlineLevel="0" collapsed="false">
      <c r="A234" s="5" t="n">
        <v>2408700</v>
      </c>
      <c r="B234" s="5" t="s">
        <v>352</v>
      </c>
      <c r="C234" s="5" t="s">
        <v>99</v>
      </c>
      <c r="D234" s="5" t="s">
        <v>114</v>
      </c>
      <c r="E234" s="5" t="s">
        <v>133</v>
      </c>
    </row>
    <row r="235" customFormat="false" ht="15" hidden="false" customHeight="true" outlineLevel="0" collapsed="false">
      <c r="A235" s="5" t="n">
        <v>2408800</v>
      </c>
      <c r="B235" s="5" t="s">
        <v>353</v>
      </c>
      <c r="C235" s="5" t="s">
        <v>99</v>
      </c>
      <c r="D235" s="5" t="s">
        <v>114</v>
      </c>
      <c r="E235" s="5" t="s">
        <v>133</v>
      </c>
    </row>
    <row r="236" customFormat="false" ht="15" hidden="false" customHeight="true" outlineLevel="0" collapsed="false">
      <c r="A236" s="5" t="n">
        <v>2408900</v>
      </c>
      <c r="B236" s="5" t="s">
        <v>354</v>
      </c>
      <c r="C236" s="5" t="s">
        <v>99</v>
      </c>
      <c r="D236" s="5" t="s">
        <v>114</v>
      </c>
      <c r="E236" s="5" t="s">
        <v>133</v>
      </c>
    </row>
    <row r="237" customFormat="false" ht="15" hidden="false" customHeight="true" outlineLevel="0" collapsed="false">
      <c r="A237" s="5" t="n">
        <v>2409000</v>
      </c>
      <c r="B237" s="5" t="s">
        <v>355</v>
      </c>
      <c r="C237" s="5" t="s">
        <v>99</v>
      </c>
      <c r="D237" s="5" t="s">
        <v>114</v>
      </c>
      <c r="E237" s="5" t="s">
        <v>133</v>
      </c>
    </row>
    <row r="238" customFormat="false" ht="15" hidden="false" customHeight="true" outlineLevel="0" collapsed="false">
      <c r="A238" s="5" t="n">
        <v>2409200</v>
      </c>
      <c r="B238" s="5" t="s">
        <v>356</v>
      </c>
      <c r="C238" s="5" t="s">
        <v>142</v>
      </c>
      <c r="D238" s="5" t="s">
        <v>283</v>
      </c>
      <c r="E238" s="5" t="s">
        <v>167</v>
      </c>
    </row>
    <row r="239" customFormat="false" ht="15" hidden="false" customHeight="true" outlineLevel="0" collapsed="false">
      <c r="A239" s="5" t="n">
        <v>2409300</v>
      </c>
      <c r="B239" s="5" t="s">
        <v>357</v>
      </c>
      <c r="C239" s="5" t="s">
        <v>142</v>
      </c>
      <c r="D239" s="5" t="s">
        <v>283</v>
      </c>
      <c r="E239" s="5" t="s">
        <v>167</v>
      </c>
    </row>
    <row r="240" customFormat="false" ht="15" hidden="false" customHeight="true" outlineLevel="0" collapsed="false">
      <c r="A240" s="5" t="n">
        <v>2409400</v>
      </c>
      <c r="B240" s="5" t="s">
        <v>358</v>
      </c>
      <c r="C240" s="5" t="s">
        <v>142</v>
      </c>
      <c r="D240" s="5" t="s">
        <v>283</v>
      </c>
      <c r="E240" s="5" t="s">
        <v>167</v>
      </c>
    </row>
    <row r="241" customFormat="false" ht="15" hidden="false" customHeight="true" outlineLevel="0" collapsed="false">
      <c r="A241" s="5" t="n">
        <v>2409600</v>
      </c>
      <c r="B241" s="5" t="s">
        <v>359</v>
      </c>
      <c r="C241" s="5" t="s">
        <v>142</v>
      </c>
      <c r="D241" s="5" t="s">
        <v>283</v>
      </c>
      <c r="E241" s="5" t="s">
        <v>167</v>
      </c>
    </row>
    <row r="242" customFormat="false" ht="15" hidden="false" customHeight="true" outlineLevel="0" collapsed="false">
      <c r="A242" s="5" t="n">
        <v>2409800</v>
      </c>
      <c r="B242" s="5" t="s">
        <v>360</v>
      </c>
      <c r="C242" s="5" t="s">
        <v>142</v>
      </c>
      <c r="D242" s="5" t="s">
        <v>283</v>
      </c>
      <c r="E242" s="5" t="s">
        <v>167</v>
      </c>
    </row>
    <row r="243" customFormat="false" ht="15" hidden="false" customHeight="true" outlineLevel="0" collapsed="false">
      <c r="A243" s="5" t="n">
        <v>2409900</v>
      </c>
      <c r="B243" s="5" t="s">
        <v>361</v>
      </c>
      <c r="C243" s="5" t="s">
        <v>142</v>
      </c>
      <c r="D243" s="5" t="s">
        <v>283</v>
      </c>
      <c r="E243" s="5" t="s">
        <v>167</v>
      </c>
    </row>
    <row r="244" customFormat="false" ht="15" hidden="false" customHeight="true" outlineLevel="0" collapsed="false">
      <c r="A244" s="5" t="n">
        <v>2415800</v>
      </c>
      <c r="B244" s="5" t="s">
        <v>362</v>
      </c>
      <c r="C244" s="5" t="s">
        <v>142</v>
      </c>
      <c r="D244" s="5" t="s">
        <v>143</v>
      </c>
      <c r="E244" s="5" t="s">
        <v>172</v>
      </c>
    </row>
    <row r="245" customFormat="false" ht="15" hidden="false" customHeight="true" outlineLevel="0" collapsed="false">
      <c r="A245" s="5" t="n">
        <v>2416000</v>
      </c>
      <c r="B245" s="5" t="s">
        <v>363</v>
      </c>
      <c r="C245" s="5" t="s">
        <v>99</v>
      </c>
      <c r="D245" s="5" t="s">
        <v>114</v>
      </c>
      <c r="E245" s="5" t="s">
        <v>115</v>
      </c>
    </row>
    <row r="246" customFormat="false" ht="15" hidden="false" customHeight="true" outlineLevel="0" collapsed="false">
      <c r="A246" s="5" t="n">
        <v>2417000</v>
      </c>
      <c r="B246" s="5" t="s">
        <v>364</v>
      </c>
      <c r="C246" s="5" t="s">
        <v>142</v>
      </c>
      <c r="D246" s="5" t="s">
        <v>143</v>
      </c>
      <c r="E246" s="5" t="s">
        <v>115</v>
      </c>
    </row>
    <row r="247" customFormat="false" ht="15" hidden="false" customHeight="true" outlineLevel="0" collapsed="false">
      <c r="A247" s="5" t="n">
        <v>2429400</v>
      </c>
      <c r="B247" s="5" t="s">
        <v>365</v>
      </c>
      <c r="C247" s="5" t="s">
        <v>142</v>
      </c>
      <c r="D247" s="5" t="s">
        <v>143</v>
      </c>
      <c r="E247" s="5" t="s">
        <v>212</v>
      </c>
    </row>
    <row r="248" customFormat="false" ht="15" hidden="false" customHeight="true" outlineLevel="0" collapsed="false">
      <c r="A248" s="5" t="n">
        <v>2429500</v>
      </c>
      <c r="B248" s="5" t="s">
        <v>366</v>
      </c>
      <c r="C248" s="5" t="s">
        <v>142</v>
      </c>
      <c r="D248" s="5" t="s">
        <v>143</v>
      </c>
      <c r="E248" s="5" t="s">
        <v>212</v>
      </c>
    </row>
    <row r="249" customFormat="false" ht="15" hidden="false" customHeight="true" outlineLevel="0" collapsed="false">
      <c r="A249" s="5" t="n">
        <v>2433400</v>
      </c>
      <c r="B249" s="5" t="s">
        <v>367</v>
      </c>
      <c r="C249" s="5" t="s">
        <v>142</v>
      </c>
      <c r="D249" s="5" t="s">
        <v>143</v>
      </c>
      <c r="E249" s="5" t="s">
        <v>115</v>
      </c>
    </row>
    <row r="250" customFormat="false" ht="15" hidden="false" customHeight="true" outlineLevel="0" collapsed="false">
      <c r="A250" s="5" t="n">
        <v>2433500</v>
      </c>
      <c r="B250" s="5" t="s">
        <v>368</v>
      </c>
      <c r="C250" s="5" t="s">
        <v>142</v>
      </c>
      <c r="D250" s="5" t="s">
        <v>143</v>
      </c>
      <c r="E250" s="5" t="s">
        <v>115</v>
      </c>
    </row>
    <row r="251" customFormat="false" ht="15" hidden="false" customHeight="true" outlineLevel="0" collapsed="false">
      <c r="A251" s="5" t="n">
        <v>2439200</v>
      </c>
      <c r="B251" s="5" t="s">
        <v>369</v>
      </c>
      <c r="C251" s="5" t="s">
        <v>142</v>
      </c>
      <c r="D251" s="5" t="s">
        <v>143</v>
      </c>
      <c r="E251" s="5" t="s">
        <v>117</v>
      </c>
    </row>
    <row r="252" customFormat="false" ht="15" hidden="false" customHeight="true" outlineLevel="0" collapsed="false">
      <c r="A252" s="5" t="n">
        <v>2439600</v>
      </c>
      <c r="B252" s="5" t="s">
        <v>370</v>
      </c>
      <c r="C252" s="5" t="s">
        <v>142</v>
      </c>
      <c r="D252" s="5" t="s">
        <v>143</v>
      </c>
      <c r="E252" s="5" t="s">
        <v>117</v>
      </c>
    </row>
    <row r="253" customFormat="false" ht="15" hidden="false" customHeight="true" outlineLevel="0" collapsed="false">
      <c r="A253" s="5" t="n">
        <v>2449800</v>
      </c>
      <c r="B253" s="5" t="s">
        <v>371</v>
      </c>
      <c r="C253" s="5" t="s">
        <v>142</v>
      </c>
      <c r="D253" s="5" t="s">
        <v>143</v>
      </c>
      <c r="E253" s="5" t="s">
        <v>167</v>
      </c>
    </row>
    <row r="254" customFormat="false" ht="15" hidden="false" customHeight="true" outlineLevel="0" collapsed="false">
      <c r="A254" s="5" t="n">
        <v>2449900</v>
      </c>
      <c r="B254" s="5" t="s">
        <v>372</v>
      </c>
      <c r="C254" s="5" t="s">
        <v>142</v>
      </c>
      <c r="D254" s="5" t="s">
        <v>143</v>
      </c>
      <c r="E254" s="5" t="s">
        <v>167</v>
      </c>
    </row>
    <row r="255" customFormat="false" ht="15" hidden="false" customHeight="true" outlineLevel="0" collapsed="false">
      <c r="A255" s="5" t="n">
        <v>2450100</v>
      </c>
      <c r="B255" s="5" t="s">
        <v>373</v>
      </c>
      <c r="C255" s="5" t="s">
        <v>142</v>
      </c>
      <c r="D255" s="5" t="s">
        <v>143</v>
      </c>
      <c r="E255" s="5" t="s">
        <v>167</v>
      </c>
    </row>
    <row r="256" customFormat="false" ht="15" hidden="false" customHeight="true" outlineLevel="0" collapsed="false">
      <c r="A256" s="5" t="n">
        <v>2450200</v>
      </c>
      <c r="B256" s="5" t="s">
        <v>374</v>
      </c>
      <c r="C256" s="5" t="s">
        <v>142</v>
      </c>
      <c r="D256" s="5" t="s">
        <v>143</v>
      </c>
      <c r="E256" s="5" t="s">
        <v>167</v>
      </c>
    </row>
    <row r="257" customFormat="false" ht="15" hidden="false" customHeight="true" outlineLevel="0" collapsed="false">
      <c r="A257" s="5" t="n">
        <v>2450300</v>
      </c>
      <c r="B257" s="5" t="s">
        <v>375</v>
      </c>
      <c r="C257" s="5" t="s">
        <v>142</v>
      </c>
      <c r="D257" s="5" t="s">
        <v>143</v>
      </c>
      <c r="E257" s="5" t="s">
        <v>167</v>
      </c>
    </row>
    <row r="258" customFormat="false" ht="15" hidden="false" customHeight="true" outlineLevel="0" collapsed="false">
      <c r="A258" s="5" t="n">
        <v>2450400</v>
      </c>
      <c r="B258" s="5" t="s">
        <v>376</v>
      </c>
      <c r="C258" s="5" t="s">
        <v>142</v>
      </c>
      <c r="D258" s="5" t="s">
        <v>143</v>
      </c>
      <c r="E258" s="5" t="s">
        <v>167</v>
      </c>
    </row>
    <row r="259" customFormat="false" ht="15" hidden="false" customHeight="true" outlineLevel="0" collapsed="false">
      <c r="A259" s="5" t="n">
        <v>2450500</v>
      </c>
      <c r="B259" s="5" t="s">
        <v>377</v>
      </c>
      <c r="C259" s="5" t="s">
        <v>142</v>
      </c>
      <c r="D259" s="5" t="s">
        <v>143</v>
      </c>
      <c r="E259" s="5" t="s">
        <v>167</v>
      </c>
    </row>
    <row r="260" customFormat="false" ht="15" hidden="false" customHeight="true" outlineLevel="0" collapsed="false">
      <c r="A260" s="5" t="n">
        <v>2470600</v>
      </c>
      <c r="B260" s="5" t="s">
        <v>378</v>
      </c>
      <c r="C260" s="5" t="s">
        <v>142</v>
      </c>
      <c r="D260" s="5" t="s">
        <v>283</v>
      </c>
      <c r="E260" s="5" t="s">
        <v>167</v>
      </c>
    </row>
    <row r="261" customFormat="false" ht="15" hidden="false" customHeight="true" outlineLevel="0" collapsed="false">
      <c r="A261" s="5" t="n">
        <v>2477600</v>
      </c>
      <c r="B261" s="5" t="s">
        <v>379</v>
      </c>
      <c r="C261" s="5" t="s">
        <v>99</v>
      </c>
      <c r="D261" s="5" t="s">
        <v>114</v>
      </c>
      <c r="E261" s="5" t="s">
        <v>230</v>
      </c>
    </row>
    <row r="262" customFormat="false" ht="15" hidden="false" customHeight="true" outlineLevel="0" collapsed="false">
      <c r="A262" s="5" t="n">
        <v>2477700</v>
      </c>
      <c r="B262" s="5" t="s">
        <v>380</v>
      </c>
      <c r="C262" s="5" t="s">
        <v>99</v>
      </c>
      <c r="D262" s="5" t="s">
        <v>114</v>
      </c>
      <c r="E262" s="5" t="s">
        <v>230</v>
      </c>
    </row>
    <row r="263" customFormat="false" ht="15" hidden="false" customHeight="true" outlineLevel="0" collapsed="false">
      <c r="A263" s="5" t="n">
        <v>2491300</v>
      </c>
      <c r="B263" s="5" t="s">
        <v>381</v>
      </c>
      <c r="C263" s="5" t="s">
        <v>142</v>
      </c>
      <c r="D263" s="5" t="s">
        <v>143</v>
      </c>
      <c r="E263" s="5" t="s">
        <v>172</v>
      </c>
    </row>
    <row r="264" customFormat="false" ht="15" hidden="false" customHeight="true" outlineLevel="0" collapsed="false">
      <c r="A264" s="5" t="n">
        <v>2491400</v>
      </c>
      <c r="B264" s="5" t="s">
        <v>382</v>
      </c>
      <c r="C264" s="5" t="s">
        <v>142</v>
      </c>
      <c r="D264" s="5" t="s">
        <v>143</v>
      </c>
      <c r="E264" s="5" t="s">
        <v>172</v>
      </c>
    </row>
    <row r="265" customFormat="false" ht="15" hidden="false" customHeight="true" outlineLevel="0" collapsed="false">
      <c r="A265" s="5" t="n">
        <v>2491500</v>
      </c>
      <c r="B265" s="5" t="s">
        <v>383</v>
      </c>
      <c r="C265" s="5" t="s">
        <v>142</v>
      </c>
      <c r="D265" s="5" t="s">
        <v>143</v>
      </c>
      <c r="E265" s="5" t="s">
        <v>172</v>
      </c>
    </row>
    <row r="266" customFormat="false" ht="15" hidden="false" customHeight="true" outlineLevel="0" collapsed="false">
      <c r="A266" s="5" t="n">
        <v>2491600</v>
      </c>
      <c r="B266" s="5" t="s">
        <v>384</v>
      </c>
      <c r="C266" s="5" t="s">
        <v>142</v>
      </c>
      <c r="D266" s="5" t="s">
        <v>143</v>
      </c>
      <c r="E266" s="5" t="s">
        <v>172</v>
      </c>
    </row>
    <row r="267" customFormat="false" ht="15" hidden="false" customHeight="true" outlineLevel="0" collapsed="false">
      <c r="A267" s="5" t="n">
        <v>2491700</v>
      </c>
      <c r="B267" s="5" t="s">
        <v>385</v>
      </c>
      <c r="C267" s="5" t="s">
        <v>142</v>
      </c>
      <c r="D267" s="5" t="s">
        <v>143</v>
      </c>
      <c r="E267" s="5" t="s">
        <v>172</v>
      </c>
    </row>
    <row r="268" customFormat="false" ht="15" hidden="false" customHeight="true" outlineLevel="0" collapsed="false">
      <c r="A268" s="5" t="n">
        <v>2491800</v>
      </c>
      <c r="B268" s="5" t="s">
        <v>386</v>
      </c>
      <c r="C268" s="5" t="s">
        <v>142</v>
      </c>
      <c r="D268" s="5" t="s">
        <v>143</v>
      </c>
      <c r="E268" s="5" t="s">
        <v>172</v>
      </c>
    </row>
    <row r="269" customFormat="false" ht="15" hidden="false" customHeight="true" outlineLevel="0" collapsed="false">
      <c r="A269" s="5" t="n">
        <v>2491900</v>
      </c>
      <c r="B269" s="5" t="s">
        <v>387</v>
      </c>
      <c r="C269" s="5" t="s">
        <v>142</v>
      </c>
      <c r="D269" s="5" t="s">
        <v>143</v>
      </c>
      <c r="E269" s="5" t="s">
        <v>172</v>
      </c>
    </row>
    <row r="270" customFormat="false" ht="15" hidden="false" customHeight="true" outlineLevel="0" collapsed="false">
      <c r="A270" s="5" t="n">
        <v>2497200</v>
      </c>
      <c r="B270" s="5" t="s">
        <v>388</v>
      </c>
      <c r="C270" s="5" t="s">
        <v>142</v>
      </c>
      <c r="D270" s="5" t="s">
        <v>143</v>
      </c>
      <c r="E270" s="5" t="s">
        <v>172</v>
      </c>
    </row>
    <row r="271" customFormat="false" ht="15" hidden="false" customHeight="true" outlineLevel="0" collapsed="false">
      <c r="A271" s="5" t="n">
        <v>2499000</v>
      </c>
      <c r="B271" s="5" t="s">
        <v>389</v>
      </c>
      <c r="C271" s="5" t="s">
        <v>99</v>
      </c>
      <c r="D271" s="5" t="s">
        <v>114</v>
      </c>
      <c r="E271" s="5" t="s">
        <v>152</v>
      </c>
    </row>
    <row r="272" customFormat="false" ht="15" hidden="false" customHeight="true" outlineLevel="0" collapsed="false">
      <c r="A272" s="5" t="n">
        <v>2504000</v>
      </c>
      <c r="B272" s="5" t="s">
        <v>390</v>
      </c>
      <c r="C272" s="5" t="s">
        <v>142</v>
      </c>
      <c r="D272" s="5" t="s">
        <v>143</v>
      </c>
      <c r="E272" s="5" t="s">
        <v>115</v>
      </c>
    </row>
    <row r="273" customFormat="false" ht="15" hidden="false" customHeight="true" outlineLevel="0" collapsed="false">
      <c r="A273" s="5" t="n">
        <v>2504100</v>
      </c>
      <c r="B273" s="5" t="s">
        <v>391</v>
      </c>
      <c r="C273" s="5" t="s">
        <v>142</v>
      </c>
      <c r="D273" s="5" t="s">
        <v>143</v>
      </c>
      <c r="E273" s="5" t="s">
        <v>115</v>
      </c>
    </row>
    <row r="274" customFormat="false" ht="15" hidden="false" customHeight="true" outlineLevel="0" collapsed="false">
      <c r="A274" s="5" t="n">
        <v>2520800</v>
      </c>
      <c r="B274" s="5" t="s">
        <v>392</v>
      </c>
      <c r="C274" s="5" t="s">
        <v>142</v>
      </c>
      <c r="D274" s="5" t="s">
        <v>143</v>
      </c>
      <c r="E274" s="5" t="s">
        <v>167</v>
      </c>
    </row>
    <row r="275" customFormat="false" ht="15" hidden="false" customHeight="true" outlineLevel="0" collapsed="false">
      <c r="A275" s="5" t="n">
        <v>2525600</v>
      </c>
      <c r="B275" s="5" t="s">
        <v>393</v>
      </c>
      <c r="C275" s="5" t="s">
        <v>142</v>
      </c>
      <c r="D275" s="5" t="s">
        <v>143</v>
      </c>
      <c r="E275" s="5" t="s">
        <v>294</v>
      </c>
    </row>
    <row r="276" customFormat="false" ht="15" hidden="false" customHeight="true" outlineLevel="0" collapsed="false">
      <c r="A276" s="5" t="n">
        <v>2525700</v>
      </c>
      <c r="B276" s="5" t="s">
        <v>394</v>
      </c>
      <c r="C276" s="5" t="s">
        <v>142</v>
      </c>
      <c r="D276" s="5" t="s">
        <v>143</v>
      </c>
      <c r="E276" s="5" t="s">
        <v>264</v>
      </c>
    </row>
    <row r="277" customFormat="false" ht="15" hidden="false" customHeight="true" outlineLevel="0" collapsed="false">
      <c r="A277" s="5" t="n">
        <v>2525800</v>
      </c>
      <c r="B277" s="5" t="s">
        <v>395</v>
      </c>
      <c r="C277" s="5" t="s">
        <v>142</v>
      </c>
      <c r="D277" s="5" t="s">
        <v>143</v>
      </c>
      <c r="E277" s="5" t="s">
        <v>264</v>
      </c>
    </row>
    <row r="278" customFormat="false" ht="15" hidden="false" customHeight="true" outlineLevel="0" collapsed="false">
      <c r="A278" s="5" t="n">
        <v>2525900</v>
      </c>
      <c r="B278" s="5" t="s">
        <v>396</v>
      </c>
      <c r="C278" s="5" t="s">
        <v>142</v>
      </c>
      <c r="D278" s="5" t="s">
        <v>143</v>
      </c>
      <c r="E278" s="5" t="s">
        <v>264</v>
      </c>
    </row>
    <row r="279" customFormat="false" ht="15" hidden="false" customHeight="true" outlineLevel="0" collapsed="false">
      <c r="A279" s="5" t="n">
        <v>2526000</v>
      </c>
      <c r="B279" s="5" t="s">
        <v>397</v>
      </c>
      <c r="C279" s="5" t="s">
        <v>142</v>
      </c>
      <c r="D279" s="5" t="s">
        <v>143</v>
      </c>
      <c r="E279" s="5" t="s">
        <v>264</v>
      </c>
    </row>
    <row r="280" customFormat="false" ht="15" hidden="false" customHeight="true" outlineLevel="0" collapsed="false">
      <c r="A280" s="5" t="n">
        <v>2526100</v>
      </c>
      <c r="B280" s="5" t="s">
        <v>398</v>
      </c>
      <c r="C280" s="5" t="s">
        <v>142</v>
      </c>
      <c r="D280" s="5" t="s">
        <v>143</v>
      </c>
      <c r="E280" s="5" t="s">
        <v>264</v>
      </c>
    </row>
    <row r="281" customFormat="false" ht="15" hidden="false" customHeight="true" outlineLevel="0" collapsed="false">
      <c r="A281" s="5" t="n">
        <v>2526300</v>
      </c>
      <c r="B281" s="5" t="s">
        <v>399</v>
      </c>
      <c r="C281" s="5" t="s">
        <v>142</v>
      </c>
      <c r="D281" s="5" t="s">
        <v>143</v>
      </c>
      <c r="E281" s="5" t="s">
        <v>115</v>
      </c>
    </row>
    <row r="282" customFormat="false" ht="15" hidden="false" customHeight="true" outlineLevel="0" collapsed="false">
      <c r="A282" s="5" t="n">
        <v>2526500</v>
      </c>
      <c r="B282" s="5" t="s">
        <v>400</v>
      </c>
      <c r="C282" s="5" t="s">
        <v>142</v>
      </c>
      <c r="D282" s="5" t="s">
        <v>143</v>
      </c>
      <c r="E282" s="5" t="s">
        <v>115</v>
      </c>
    </row>
    <row r="283" customFormat="false" ht="15" hidden="false" customHeight="true" outlineLevel="0" collapsed="false">
      <c r="A283" s="5" t="n">
        <v>2526900</v>
      </c>
      <c r="B283" s="5" t="s">
        <v>401</v>
      </c>
      <c r="C283" s="5" t="s">
        <v>142</v>
      </c>
      <c r="D283" s="5" t="s">
        <v>143</v>
      </c>
      <c r="E283" s="5" t="s">
        <v>115</v>
      </c>
    </row>
    <row r="284" customFormat="false" ht="15" hidden="false" customHeight="true" outlineLevel="0" collapsed="false">
      <c r="A284" s="5" t="n">
        <v>2527000</v>
      </c>
      <c r="B284" s="5" t="s">
        <v>402</v>
      </c>
      <c r="C284" s="5" t="s">
        <v>142</v>
      </c>
      <c r="D284" s="5" t="s">
        <v>143</v>
      </c>
      <c r="E284" s="5" t="s">
        <v>115</v>
      </c>
    </row>
    <row r="285" customFormat="false" ht="15" hidden="false" customHeight="true" outlineLevel="0" collapsed="false">
      <c r="A285" s="5" t="n">
        <v>2527100</v>
      </c>
      <c r="B285" s="5" t="s">
        <v>403</v>
      </c>
      <c r="C285" s="5" t="s">
        <v>142</v>
      </c>
      <c r="D285" s="5" t="s">
        <v>143</v>
      </c>
      <c r="E285" s="5" t="s">
        <v>115</v>
      </c>
    </row>
    <row r="286" customFormat="false" ht="15" hidden="false" customHeight="true" outlineLevel="0" collapsed="false">
      <c r="A286" s="5" t="n">
        <v>2527200</v>
      </c>
      <c r="B286" s="5" t="s">
        <v>404</v>
      </c>
      <c r="C286" s="5" t="s">
        <v>142</v>
      </c>
      <c r="D286" s="5" t="s">
        <v>143</v>
      </c>
      <c r="E286" s="5" t="s">
        <v>115</v>
      </c>
    </row>
    <row r="287" customFormat="false" ht="15" hidden="false" customHeight="true" outlineLevel="0" collapsed="false">
      <c r="A287" s="5" t="n">
        <v>2527400</v>
      </c>
      <c r="B287" s="5" t="s">
        <v>405</v>
      </c>
      <c r="C287" s="5" t="s">
        <v>142</v>
      </c>
      <c r="D287" s="5" t="s">
        <v>143</v>
      </c>
      <c r="E287" s="5" t="s">
        <v>115</v>
      </c>
    </row>
    <row r="288" customFormat="false" ht="15" hidden="false" customHeight="true" outlineLevel="0" collapsed="false">
      <c r="A288" s="5" t="n">
        <v>2527500</v>
      </c>
      <c r="B288" s="5" t="s">
        <v>406</v>
      </c>
      <c r="C288" s="5" t="s">
        <v>142</v>
      </c>
      <c r="D288" s="5" t="s">
        <v>143</v>
      </c>
      <c r="E288" s="5" t="s">
        <v>115</v>
      </c>
    </row>
    <row r="289" customFormat="false" ht="15" hidden="false" customHeight="true" outlineLevel="0" collapsed="false">
      <c r="A289" s="5" t="n">
        <v>2531600</v>
      </c>
      <c r="B289" s="5" t="s">
        <v>407</v>
      </c>
      <c r="C289" s="5" t="s">
        <v>99</v>
      </c>
      <c r="D289" s="5" t="s">
        <v>114</v>
      </c>
      <c r="E289" s="5" t="s">
        <v>133</v>
      </c>
    </row>
    <row r="290" customFormat="false" ht="15" hidden="false" customHeight="true" outlineLevel="0" collapsed="false">
      <c r="A290" s="5" t="n">
        <v>2542000</v>
      </c>
      <c r="B290" s="5" t="s">
        <v>408</v>
      </c>
      <c r="C290" s="5" t="s">
        <v>142</v>
      </c>
      <c r="D290" s="5" t="s">
        <v>143</v>
      </c>
      <c r="E290" s="5" t="s">
        <v>194</v>
      </c>
    </row>
    <row r="291" customFormat="false" ht="15" hidden="false" customHeight="true" outlineLevel="0" collapsed="false">
      <c r="A291" s="5" t="n">
        <v>2542100</v>
      </c>
      <c r="B291" s="5" t="s">
        <v>409</v>
      </c>
      <c r="C291" s="5" t="s">
        <v>142</v>
      </c>
      <c r="D291" s="5" t="s">
        <v>143</v>
      </c>
      <c r="E291" s="5" t="s">
        <v>194</v>
      </c>
    </row>
    <row r="292" customFormat="false" ht="15" hidden="false" customHeight="true" outlineLevel="0" collapsed="false">
      <c r="A292" s="5" t="n">
        <v>2542200</v>
      </c>
      <c r="B292" s="5" t="s">
        <v>410</v>
      </c>
      <c r="C292" s="5" t="s">
        <v>142</v>
      </c>
      <c r="D292" s="5" t="s">
        <v>143</v>
      </c>
      <c r="E292" s="5" t="s">
        <v>194</v>
      </c>
    </row>
    <row r="293" customFormat="false" ht="15" hidden="false" customHeight="true" outlineLevel="0" collapsed="false">
      <c r="A293" s="5" t="n">
        <v>2548300</v>
      </c>
      <c r="B293" s="5" t="s">
        <v>411</v>
      </c>
      <c r="C293" s="5" t="s">
        <v>142</v>
      </c>
      <c r="D293" s="5" t="s">
        <v>143</v>
      </c>
      <c r="E293" s="5" t="s">
        <v>294</v>
      </c>
    </row>
    <row r="294" customFormat="false" ht="15" hidden="false" customHeight="true" outlineLevel="0" collapsed="false">
      <c r="A294" s="5" t="n">
        <v>2548400</v>
      </c>
      <c r="B294" s="5" t="s">
        <v>412</v>
      </c>
      <c r="C294" s="5" t="s">
        <v>142</v>
      </c>
      <c r="D294" s="5" t="s">
        <v>143</v>
      </c>
      <c r="E294" s="5" t="s">
        <v>294</v>
      </c>
    </row>
    <row r="295" customFormat="false" ht="15" hidden="false" customHeight="true" outlineLevel="0" collapsed="false">
      <c r="A295" s="5" t="n">
        <v>2548600</v>
      </c>
      <c r="B295" s="5" t="s">
        <v>413</v>
      </c>
      <c r="C295" s="5" t="s">
        <v>142</v>
      </c>
      <c r="D295" s="5" t="s">
        <v>143</v>
      </c>
      <c r="E295" s="5" t="s">
        <v>294</v>
      </c>
    </row>
    <row r="296" customFormat="false" ht="15" hidden="false" customHeight="true" outlineLevel="0" collapsed="false">
      <c r="A296" s="5" t="n">
        <v>2548700</v>
      </c>
      <c r="B296" s="5" t="s">
        <v>414</v>
      </c>
      <c r="C296" s="5" t="s">
        <v>142</v>
      </c>
      <c r="D296" s="5" t="s">
        <v>143</v>
      </c>
      <c r="E296" s="5" t="s">
        <v>294</v>
      </c>
    </row>
    <row r="297" customFormat="false" ht="15" hidden="false" customHeight="true" outlineLevel="0" collapsed="false">
      <c r="A297" s="5" t="n">
        <v>2548800</v>
      </c>
      <c r="B297" s="5" t="s">
        <v>415</v>
      </c>
      <c r="C297" s="5" t="s">
        <v>142</v>
      </c>
      <c r="D297" s="5" t="s">
        <v>143</v>
      </c>
      <c r="E297" s="5" t="s">
        <v>294</v>
      </c>
    </row>
    <row r="298" customFormat="false" ht="15" hidden="false" customHeight="true" outlineLevel="0" collapsed="false">
      <c r="A298" s="5" t="n">
        <v>2561800</v>
      </c>
      <c r="B298" s="5" t="s">
        <v>416</v>
      </c>
      <c r="C298" s="5" t="s">
        <v>142</v>
      </c>
      <c r="D298" s="5" t="s">
        <v>143</v>
      </c>
      <c r="E298" s="5" t="s">
        <v>194</v>
      </c>
    </row>
    <row r="299" customFormat="false" ht="15" hidden="false" customHeight="true" outlineLevel="0" collapsed="false">
      <c r="A299" s="5" t="n">
        <v>2561900</v>
      </c>
      <c r="B299" s="5" t="s">
        <v>417</v>
      </c>
      <c r="C299" s="5" t="s">
        <v>142</v>
      </c>
      <c r="D299" s="5" t="s">
        <v>143</v>
      </c>
      <c r="E299" s="5" t="s">
        <v>194</v>
      </c>
    </row>
    <row r="300" customFormat="false" ht="15" hidden="false" customHeight="true" outlineLevel="0" collapsed="false">
      <c r="A300" s="5" t="n">
        <v>2580400</v>
      </c>
      <c r="B300" s="5" t="s">
        <v>418</v>
      </c>
      <c r="C300" s="5" t="s">
        <v>99</v>
      </c>
      <c r="D300" s="5" t="s">
        <v>114</v>
      </c>
      <c r="E300" s="5" t="s">
        <v>152</v>
      </c>
    </row>
    <row r="301" customFormat="false" ht="15" hidden="false" customHeight="true" outlineLevel="0" collapsed="false">
      <c r="A301" s="5" t="n">
        <v>2580500</v>
      </c>
      <c r="B301" s="5" t="s">
        <v>419</v>
      </c>
      <c r="C301" s="5" t="s">
        <v>99</v>
      </c>
      <c r="D301" s="5" t="s">
        <v>114</v>
      </c>
      <c r="E301" s="5" t="s">
        <v>152</v>
      </c>
    </row>
    <row r="302" customFormat="false" ht="15" hidden="false" customHeight="true" outlineLevel="0" collapsed="false">
      <c r="A302" s="5" t="n">
        <v>2580600</v>
      </c>
      <c r="B302" s="5" t="s">
        <v>420</v>
      </c>
      <c r="C302" s="5" t="s">
        <v>99</v>
      </c>
      <c r="D302" s="5" t="s">
        <v>114</v>
      </c>
      <c r="E302" s="5" t="s">
        <v>152</v>
      </c>
    </row>
    <row r="303" customFormat="false" ht="15" hidden="false" customHeight="true" outlineLevel="0" collapsed="false">
      <c r="A303" s="5" t="n">
        <v>2580700</v>
      </c>
      <c r="B303" s="5" t="s">
        <v>421</v>
      </c>
      <c r="C303" s="5" t="s">
        <v>99</v>
      </c>
      <c r="D303" s="5" t="s">
        <v>114</v>
      </c>
      <c r="E303" s="5" t="s">
        <v>152</v>
      </c>
    </row>
    <row r="304" customFormat="false" ht="15" hidden="false" customHeight="true" outlineLevel="0" collapsed="false">
      <c r="A304" s="5" t="n">
        <v>2580900</v>
      </c>
      <c r="B304" s="5" t="s">
        <v>422</v>
      </c>
      <c r="C304" s="5" t="s">
        <v>99</v>
      </c>
      <c r="D304" s="5" t="s">
        <v>114</v>
      </c>
      <c r="E304" s="5" t="s">
        <v>152</v>
      </c>
    </row>
    <row r="305" customFormat="false" ht="15" hidden="false" customHeight="true" outlineLevel="0" collapsed="false">
      <c r="A305" s="5" t="n">
        <v>2581000</v>
      </c>
      <c r="B305" s="5" t="s">
        <v>423</v>
      </c>
      <c r="C305" s="5" t="s">
        <v>99</v>
      </c>
      <c r="D305" s="5" t="s">
        <v>114</v>
      </c>
      <c r="E305" s="5" t="s">
        <v>152</v>
      </c>
    </row>
    <row r="306" customFormat="false" ht="15" hidden="false" customHeight="true" outlineLevel="0" collapsed="false">
      <c r="A306" s="5" t="n">
        <v>2583900</v>
      </c>
      <c r="B306" s="5" t="s">
        <v>151</v>
      </c>
      <c r="C306" s="5" t="s">
        <v>99</v>
      </c>
      <c r="D306" s="5" t="s">
        <v>114</v>
      </c>
      <c r="E306" s="5" t="s">
        <v>152</v>
      </c>
    </row>
    <row r="307" customFormat="false" ht="15" hidden="false" customHeight="true" outlineLevel="0" collapsed="false">
      <c r="A307" s="5" t="n">
        <v>2584000</v>
      </c>
      <c r="B307" s="5" t="s">
        <v>175</v>
      </c>
      <c r="C307" s="5" t="s">
        <v>99</v>
      </c>
      <c r="D307" s="5" t="s">
        <v>100</v>
      </c>
      <c r="E307" s="5" t="s">
        <v>100</v>
      </c>
    </row>
    <row r="308" customFormat="false" ht="15" hidden="false" customHeight="true" outlineLevel="0" collapsed="false">
      <c r="A308" s="5" t="n">
        <v>2584100</v>
      </c>
      <c r="B308" s="5" t="s">
        <v>424</v>
      </c>
      <c r="C308" s="5" t="s">
        <v>99</v>
      </c>
      <c r="D308" s="5" t="s">
        <v>100</v>
      </c>
      <c r="E308" s="5" t="s">
        <v>100</v>
      </c>
    </row>
    <row r="309" customFormat="false" ht="15" hidden="false" customHeight="true" outlineLevel="0" collapsed="false">
      <c r="A309" s="5" t="n">
        <v>2588000</v>
      </c>
      <c r="B309" s="5" t="s">
        <v>425</v>
      </c>
      <c r="C309" s="5" t="s">
        <v>99</v>
      </c>
      <c r="D309" s="5" t="s">
        <v>100</v>
      </c>
      <c r="E309" s="5" t="s">
        <v>100</v>
      </c>
    </row>
    <row r="310" customFormat="false" ht="15" hidden="false" customHeight="true" outlineLevel="0" collapsed="false">
      <c r="A310" s="5" t="n">
        <v>2588100</v>
      </c>
      <c r="B310" s="5" t="s">
        <v>426</v>
      </c>
      <c r="C310" s="5" t="s">
        <v>99</v>
      </c>
      <c r="D310" s="5" t="s">
        <v>100</v>
      </c>
      <c r="E310" s="5" t="s">
        <v>100</v>
      </c>
    </row>
    <row r="311" customFormat="false" ht="15" hidden="false" customHeight="true" outlineLevel="0" collapsed="false">
      <c r="A311" s="5" t="n">
        <v>2588200</v>
      </c>
      <c r="B311" s="5" t="s">
        <v>427</v>
      </c>
      <c r="C311" s="5" t="s">
        <v>99</v>
      </c>
      <c r="D311" s="5" t="s">
        <v>100</v>
      </c>
      <c r="E311" s="5" t="s">
        <v>100</v>
      </c>
    </row>
    <row r="312" customFormat="false" ht="15" hidden="false" customHeight="true" outlineLevel="0" collapsed="false">
      <c r="A312" s="5" t="n">
        <v>2588300</v>
      </c>
      <c r="B312" s="5" t="s">
        <v>428</v>
      </c>
      <c r="C312" s="5" t="s">
        <v>99</v>
      </c>
      <c r="D312" s="5" t="s">
        <v>114</v>
      </c>
      <c r="E312" s="5" t="s">
        <v>128</v>
      </c>
    </row>
    <row r="313" customFormat="false" ht="15" hidden="false" customHeight="true" outlineLevel="0" collapsed="false">
      <c r="A313" s="5" t="n">
        <v>2588400</v>
      </c>
      <c r="B313" s="5" t="s">
        <v>429</v>
      </c>
      <c r="C313" s="5" t="s">
        <v>99</v>
      </c>
      <c r="D313" s="5" t="s">
        <v>114</v>
      </c>
      <c r="E313" s="5" t="s">
        <v>128</v>
      </c>
    </row>
    <row r="314" customFormat="false" ht="15" hidden="false" customHeight="true" outlineLevel="0" collapsed="false">
      <c r="A314" s="5" t="n">
        <v>2588500</v>
      </c>
      <c r="B314" s="5" t="s">
        <v>205</v>
      </c>
      <c r="C314" s="5" t="s">
        <v>99</v>
      </c>
      <c r="D314" s="5" t="s">
        <v>114</v>
      </c>
      <c r="E314" s="5" t="s">
        <v>128</v>
      </c>
    </row>
    <row r="315" customFormat="false" ht="15" hidden="false" customHeight="true" outlineLevel="0" collapsed="false">
      <c r="A315" s="5" t="n">
        <v>2588600</v>
      </c>
      <c r="B315" s="5" t="s">
        <v>258</v>
      </c>
      <c r="C315" s="5" t="s">
        <v>99</v>
      </c>
      <c r="D315" s="5" t="s">
        <v>114</v>
      </c>
      <c r="E315" s="5" t="s">
        <v>128</v>
      </c>
    </row>
    <row r="316" customFormat="false" ht="15" hidden="false" customHeight="true" outlineLevel="0" collapsed="false">
      <c r="A316" s="5" t="n">
        <v>2588700</v>
      </c>
      <c r="B316" s="5" t="s">
        <v>430</v>
      </c>
      <c r="C316" s="5" t="s">
        <v>99</v>
      </c>
      <c r="D316" s="5" t="s">
        <v>114</v>
      </c>
      <c r="E316" s="5" t="s">
        <v>128</v>
      </c>
    </row>
    <row r="317" customFormat="false" ht="15" hidden="false" customHeight="true" outlineLevel="0" collapsed="false">
      <c r="A317" s="5" t="n">
        <v>2588800</v>
      </c>
      <c r="B317" s="5" t="s">
        <v>431</v>
      </c>
      <c r="C317" s="5" t="s">
        <v>99</v>
      </c>
      <c r="D317" s="5" t="s">
        <v>114</v>
      </c>
      <c r="E317" s="5" t="s">
        <v>128</v>
      </c>
    </row>
    <row r="318" customFormat="false" ht="15" hidden="false" customHeight="true" outlineLevel="0" collapsed="false">
      <c r="A318" s="5" t="n">
        <v>2589300</v>
      </c>
      <c r="B318" s="5" t="s">
        <v>153</v>
      </c>
      <c r="C318" s="5" t="s">
        <v>99</v>
      </c>
      <c r="D318" s="5" t="s">
        <v>114</v>
      </c>
      <c r="E318" s="5" t="s">
        <v>152</v>
      </c>
    </row>
    <row r="319" customFormat="false" ht="15" hidden="false" customHeight="true" outlineLevel="0" collapsed="false">
      <c r="A319" s="5" t="n">
        <v>2589400</v>
      </c>
      <c r="B319" s="5" t="s">
        <v>432</v>
      </c>
      <c r="C319" s="5" t="s">
        <v>99</v>
      </c>
      <c r="D319" s="5" t="s">
        <v>114</v>
      </c>
      <c r="E319" s="5" t="s">
        <v>152</v>
      </c>
    </row>
    <row r="320" customFormat="false" ht="15" hidden="false" customHeight="true" outlineLevel="0" collapsed="false">
      <c r="A320" s="5" t="n">
        <v>2589500</v>
      </c>
      <c r="B320" s="5" t="s">
        <v>433</v>
      </c>
      <c r="C320" s="5" t="s">
        <v>99</v>
      </c>
      <c r="D320" s="5" t="s">
        <v>114</v>
      </c>
      <c r="E320" s="5" t="s">
        <v>152</v>
      </c>
    </row>
    <row r="321" customFormat="false" ht="15" hidden="false" customHeight="true" outlineLevel="0" collapsed="false">
      <c r="A321" s="5" t="n">
        <v>2589600</v>
      </c>
      <c r="B321" s="5" t="s">
        <v>157</v>
      </c>
      <c r="C321" s="5" t="s">
        <v>99</v>
      </c>
      <c r="D321" s="5" t="s">
        <v>114</v>
      </c>
      <c r="E321" s="5" t="s">
        <v>152</v>
      </c>
    </row>
    <row r="322" customFormat="false" ht="15" hidden="false" customHeight="true" outlineLevel="0" collapsed="false">
      <c r="A322" s="5" t="n">
        <v>2589900</v>
      </c>
      <c r="B322" s="5" t="s">
        <v>257</v>
      </c>
      <c r="C322" s="5" t="s">
        <v>99</v>
      </c>
      <c r="D322" s="5" t="s">
        <v>114</v>
      </c>
      <c r="E322" s="5" t="s">
        <v>128</v>
      </c>
    </row>
    <row r="323" customFormat="false" ht="15" hidden="false" customHeight="true" outlineLevel="0" collapsed="false">
      <c r="A323" s="5" t="n">
        <v>2592500</v>
      </c>
      <c r="B323" s="5" t="s">
        <v>434</v>
      </c>
      <c r="C323" s="5" t="s">
        <v>99</v>
      </c>
      <c r="D323" s="5" t="s">
        <v>114</v>
      </c>
      <c r="E323" s="5" t="s">
        <v>133</v>
      </c>
    </row>
    <row r="324" customFormat="false" ht="15" hidden="false" customHeight="true" outlineLevel="0" collapsed="false">
      <c r="A324" s="5" t="n">
        <v>2592600</v>
      </c>
      <c r="B324" s="5" t="s">
        <v>435</v>
      </c>
      <c r="C324" s="5" t="s">
        <v>99</v>
      </c>
      <c r="D324" s="5" t="s">
        <v>114</v>
      </c>
      <c r="E324" s="5" t="s">
        <v>133</v>
      </c>
    </row>
    <row r="325" customFormat="false" ht="15" hidden="false" customHeight="true" outlineLevel="0" collapsed="false">
      <c r="A325" s="5" t="n">
        <v>2592700</v>
      </c>
      <c r="B325" s="5" t="s">
        <v>436</v>
      </c>
      <c r="C325" s="5" t="s">
        <v>99</v>
      </c>
      <c r="D325" s="5" t="s">
        <v>114</v>
      </c>
      <c r="E325" s="5" t="s">
        <v>133</v>
      </c>
    </row>
    <row r="326" customFormat="false" ht="15" hidden="false" customHeight="true" outlineLevel="0" collapsed="false">
      <c r="A326" s="5" t="n">
        <v>2592800</v>
      </c>
      <c r="B326" s="5" t="s">
        <v>437</v>
      </c>
      <c r="C326" s="5" t="s">
        <v>99</v>
      </c>
      <c r="D326" s="5" t="s">
        <v>114</v>
      </c>
      <c r="E326" s="5" t="s">
        <v>133</v>
      </c>
    </row>
    <row r="327" customFormat="false" ht="15" hidden="false" customHeight="true" outlineLevel="0" collapsed="false">
      <c r="A327" s="5" t="n">
        <v>2595600</v>
      </c>
      <c r="B327" s="5" t="s">
        <v>438</v>
      </c>
      <c r="C327" s="5" t="s">
        <v>142</v>
      </c>
      <c r="D327" s="5" t="s">
        <v>143</v>
      </c>
      <c r="E327" s="5" t="s">
        <v>212</v>
      </c>
    </row>
    <row r="328" customFormat="false" ht="15" hidden="false" customHeight="true" outlineLevel="0" collapsed="false">
      <c r="A328" s="5" t="n">
        <v>2595700</v>
      </c>
      <c r="B328" s="5" t="s">
        <v>439</v>
      </c>
      <c r="C328" s="5" t="s">
        <v>142</v>
      </c>
      <c r="D328" s="5" t="s">
        <v>143</v>
      </c>
      <c r="E328" s="5" t="s">
        <v>212</v>
      </c>
    </row>
    <row r="329" customFormat="false" ht="15" hidden="false" customHeight="true" outlineLevel="0" collapsed="false">
      <c r="A329" s="5" t="n">
        <v>2612700</v>
      </c>
      <c r="B329" s="5" t="s">
        <v>440</v>
      </c>
      <c r="C329" s="5" t="s">
        <v>142</v>
      </c>
      <c r="D329" s="5" t="s">
        <v>143</v>
      </c>
      <c r="E329" s="5" t="s">
        <v>115</v>
      </c>
    </row>
    <row r="330" customFormat="false" ht="15" hidden="false" customHeight="true" outlineLevel="0" collapsed="false">
      <c r="A330" s="5" t="n">
        <v>2616500</v>
      </c>
      <c r="B330" s="5" t="s">
        <v>441</v>
      </c>
      <c r="C330" s="5" t="s">
        <v>99</v>
      </c>
      <c r="D330" s="5" t="s">
        <v>114</v>
      </c>
      <c r="E330" s="5" t="s">
        <v>133</v>
      </c>
    </row>
    <row r="331" customFormat="false" ht="15" hidden="false" customHeight="true" outlineLevel="0" collapsed="false">
      <c r="A331" s="5" t="n">
        <v>2616600</v>
      </c>
      <c r="B331" s="5" t="s">
        <v>442</v>
      </c>
      <c r="C331" s="5" t="s">
        <v>99</v>
      </c>
      <c r="D331" s="5" t="s">
        <v>114</v>
      </c>
      <c r="E331" s="5" t="s">
        <v>133</v>
      </c>
    </row>
    <row r="332" customFormat="false" ht="15" hidden="false" customHeight="true" outlineLevel="0" collapsed="false">
      <c r="A332" s="5" t="n">
        <v>2616700</v>
      </c>
      <c r="B332" s="5" t="s">
        <v>443</v>
      </c>
      <c r="C332" s="5" t="s">
        <v>99</v>
      </c>
      <c r="D332" s="5" t="s">
        <v>114</v>
      </c>
      <c r="E332" s="5" t="s">
        <v>133</v>
      </c>
    </row>
    <row r="333" customFormat="false" ht="15" hidden="false" customHeight="true" outlineLevel="0" collapsed="false">
      <c r="A333" s="5" t="n">
        <v>2626800</v>
      </c>
      <c r="B333" s="5" t="s">
        <v>444</v>
      </c>
      <c r="C333" s="5" t="s">
        <v>99</v>
      </c>
      <c r="D333" s="5" t="s">
        <v>124</v>
      </c>
      <c r="E333" s="5" t="s">
        <v>198</v>
      </c>
    </row>
    <row r="334" customFormat="false" ht="15" hidden="false" customHeight="true" outlineLevel="0" collapsed="false">
      <c r="A334" s="5" t="n">
        <v>2626900</v>
      </c>
      <c r="B334" s="5" t="s">
        <v>445</v>
      </c>
      <c r="C334" s="5" t="s">
        <v>99</v>
      </c>
      <c r="D334" s="5" t="s">
        <v>124</v>
      </c>
      <c r="E334" s="5" t="s">
        <v>198</v>
      </c>
    </row>
    <row r="335" customFormat="false" ht="15" hidden="false" customHeight="true" outlineLevel="0" collapsed="false">
      <c r="A335" s="5" t="n">
        <v>2627000</v>
      </c>
      <c r="B335" s="5" t="s">
        <v>446</v>
      </c>
      <c r="C335" s="5" t="s">
        <v>99</v>
      </c>
      <c r="D335" s="5" t="s">
        <v>100</v>
      </c>
      <c r="E335" s="5" t="s">
        <v>100</v>
      </c>
    </row>
    <row r="336" customFormat="false" ht="15" hidden="false" customHeight="true" outlineLevel="0" collapsed="false">
      <c r="A336" s="5" t="n">
        <v>2627100</v>
      </c>
      <c r="B336" s="5" t="s">
        <v>447</v>
      </c>
      <c r="C336" s="5" t="s">
        <v>99</v>
      </c>
      <c r="D336" s="5" t="s">
        <v>100</v>
      </c>
      <c r="E336" s="5" t="s">
        <v>100</v>
      </c>
    </row>
    <row r="337" customFormat="false" ht="15" hidden="false" customHeight="true" outlineLevel="0" collapsed="false">
      <c r="A337" s="5" t="n">
        <v>2634600</v>
      </c>
      <c r="B337" s="5" t="s">
        <v>448</v>
      </c>
      <c r="C337" s="5" t="s">
        <v>142</v>
      </c>
      <c r="D337" s="5" t="s">
        <v>283</v>
      </c>
      <c r="E337" s="5" t="s">
        <v>167</v>
      </c>
    </row>
    <row r="338" customFormat="false" ht="15" hidden="false" customHeight="true" outlineLevel="0" collapsed="false">
      <c r="A338" s="5" t="n">
        <v>2634700</v>
      </c>
      <c r="B338" s="5" t="s">
        <v>449</v>
      </c>
      <c r="C338" s="5" t="s">
        <v>99</v>
      </c>
      <c r="D338" s="5" t="s">
        <v>114</v>
      </c>
      <c r="E338" s="5" t="s">
        <v>133</v>
      </c>
    </row>
    <row r="339" customFormat="false" ht="15" hidden="false" customHeight="true" outlineLevel="0" collapsed="false">
      <c r="A339" s="5" t="n">
        <v>2634900</v>
      </c>
      <c r="B339" s="5" t="s">
        <v>450</v>
      </c>
      <c r="C339" s="5" t="s">
        <v>142</v>
      </c>
      <c r="D339" s="5" t="s">
        <v>143</v>
      </c>
      <c r="E339" s="5" t="s">
        <v>212</v>
      </c>
    </row>
    <row r="340" customFormat="false" ht="15" hidden="false" customHeight="true" outlineLevel="0" collapsed="false">
      <c r="A340" s="5" t="n">
        <v>2635000</v>
      </c>
      <c r="B340" s="5" t="s">
        <v>451</v>
      </c>
      <c r="C340" s="5" t="s">
        <v>142</v>
      </c>
      <c r="D340" s="5" t="s">
        <v>143</v>
      </c>
      <c r="E340" s="5" t="s">
        <v>167</v>
      </c>
    </row>
    <row r="341" customFormat="false" ht="15" hidden="false" customHeight="true" outlineLevel="0" collapsed="false">
      <c r="A341" s="5" t="n">
        <v>2635100</v>
      </c>
      <c r="B341" s="5" t="s">
        <v>452</v>
      </c>
      <c r="C341" s="5" t="s">
        <v>142</v>
      </c>
      <c r="D341" s="5" t="s">
        <v>143</v>
      </c>
      <c r="E341" s="5" t="s">
        <v>167</v>
      </c>
    </row>
    <row r="342" customFormat="false" ht="15" hidden="false" customHeight="true" outlineLevel="0" collapsed="false">
      <c r="A342" s="5" t="n">
        <v>2635200</v>
      </c>
      <c r="B342" s="5" t="s">
        <v>453</v>
      </c>
      <c r="C342" s="5" t="s">
        <v>142</v>
      </c>
      <c r="D342" s="5" t="s">
        <v>143</v>
      </c>
      <c r="E342" s="5" t="s">
        <v>167</v>
      </c>
    </row>
    <row r="343" customFormat="false" ht="15" hidden="false" customHeight="true" outlineLevel="0" collapsed="false">
      <c r="A343" s="5" t="n">
        <v>2635300</v>
      </c>
      <c r="B343" s="5" t="s">
        <v>454</v>
      </c>
      <c r="C343" s="5" t="s">
        <v>142</v>
      </c>
      <c r="D343" s="5" t="s">
        <v>143</v>
      </c>
      <c r="E343" s="5" t="s">
        <v>167</v>
      </c>
    </row>
    <row r="344" customFormat="false" ht="15" hidden="false" customHeight="true" outlineLevel="0" collapsed="false">
      <c r="A344" s="5" t="n">
        <v>2635400</v>
      </c>
      <c r="B344" s="5" t="s">
        <v>455</v>
      </c>
      <c r="C344" s="5" t="s">
        <v>142</v>
      </c>
      <c r="D344" s="5" t="s">
        <v>143</v>
      </c>
      <c r="E344" s="5" t="s">
        <v>167</v>
      </c>
    </row>
    <row r="345" customFormat="false" ht="15" hidden="false" customHeight="true" outlineLevel="0" collapsed="false">
      <c r="A345" s="5" t="n">
        <v>2635500</v>
      </c>
      <c r="B345" s="5" t="s">
        <v>456</v>
      </c>
      <c r="C345" s="5" t="s">
        <v>142</v>
      </c>
      <c r="D345" s="5" t="s">
        <v>143</v>
      </c>
      <c r="E345" s="5" t="s">
        <v>167</v>
      </c>
    </row>
    <row r="346" customFormat="false" ht="15" hidden="false" customHeight="true" outlineLevel="0" collapsed="false">
      <c r="A346" s="5" t="n">
        <v>2635700</v>
      </c>
      <c r="B346" s="5" t="s">
        <v>457</v>
      </c>
      <c r="C346" s="5" t="s">
        <v>142</v>
      </c>
      <c r="D346" s="5" t="s">
        <v>143</v>
      </c>
      <c r="E346" s="5" t="s">
        <v>167</v>
      </c>
    </row>
    <row r="347" customFormat="false" ht="15" hidden="false" customHeight="true" outlineLevel="0" collapsed="false">
      <c r="A347" s="5" t="n">
        <v>2635800</v>
      </c>
      <c r="B347" s="5" t="s">
        <v>458</v>
      </c>
      <c r="C347" s="5" t="s">
        <v>142</v>
      </c>
      <c r="D347" s="5" t="s">
        <v>143</v>
      </c>
      <c r="E347" s="5" t="s">
        <v>167</v>
      </c>
    </row>
    <row r="348" customFormat="false" ht="15" hidden="false" customHeight="true" outlineLevel="0" collapsed="false">
      <c r="A348" s="5" t="n">
        <v>2636000</v>
      </c>
      <c r="B348" s="5" t="s">
        <v>459</v>
      </c>
      <c r="C348" s="5" t="s">
        <v>142</v>
      </c>
      <c r="D348" s="5" t="s">
        <v>143</v>
      </c>
      <c r="E348" s="5" t="s">
        <v>115</v>
      </c>
    </row>
    <row r="349" customFormat="false" ht="15" hidden="false" customHeight="true" outlineLevel="0" collapsed="false">
      <c r="A349" s="5" t="n">
        <v>2636100</v>
      </c>
      <c r="B349" s="5" t="s">
        <v>460</v>
      </c>
      <c r="C349" s="5" t="s">
        <v>142</v>
      </c>
      <c r="D349" s="5" t="s">
        <v>143</v>
      </c>
      <c r="E349" s="5" t="s">
        <v>115</v>
      </c>
    </row>
    <row r="350" customFormat="false" ht="15" hidden="false" customHeight="true" outlineLevel="0" collapsed="false">
      <c r="A350" s="5" t="n">
        <v>2669900</v>
      </c>
      <c r="B350" s="5" t="s">
        <v>461</v>
      </c>
      <c r="C350" s="5" t="s">
        <v>142</v>
      </c>
      <c r="D350" s="5" t="s">
        <v>143</v>
      </c>
      <c r="E350" s="5" t="s">
        <v>172</v>
      </c>
    </row>
    <row r="351" customFormat="false" ht="15" hidden="false" customHeight="true" outlineLevel="0" collapsed="false">
      <c r="A351" s="5" t="n">
        <v>2680000</v>
      </c>
      <c r="B351" s="5" t="s">
        <v>462</v>
      </c>
      <c r="C351" s="5" t="s">
        <v>99</v>
      </c>
      <c r="D351" s="5" t="s">
        <v>100</v>
      </c>
      <c r="E351" s="5" t="s">
        <v>100</v>
      </c>
    </row>
    <row r="352" customFormat="false" ht="15" hidden="false" customHeight="true" outlineLevel="0" collapsed="false">
      <c r="A352" s="5" t="n">
        <v>2680100</v>
      </c>
      <c r="B352" s="5" t="s">
        <v>463</v>
      </c>
      <c r="C352" s="5" t="s">
        <v>99</v>
      </c>
      <c r="D352" s="5" t="s">
        <v>100</v>
      </c>
      <c r="E352" s="5" t="s">
        <v>100</v>
      </c>
    </row>
    <row r="353" customFormat="false" ht="15" hidden="false" customHeight="true" outlineLevel="0" collapsed="false">
      <c r="A353" s="5" t="n">
        <v>2680200</v>
      </c>
      <c r="B353" s="5" t="s">
        <v>464</v>
      </c>
      <c r="C353" s="5" t="s">
        <v>99</v>
      </c>
      <c r="D353" s="5" t="s">
        <v>100</v>
      </c>
      <c r="E353" s="5" t="s">
        <v>100</v>
      </c>
    </row>
    <row r="354" customFormat="false" ht="15" hidden="false" customHeight="true" outlineLevel="0" collapsed="false">
      <c r="A354" s="5" t="n">
        <v>2680300</v>
      </c>
      <c r="B354" s="5" t="s">
        <v>465</v>
      </c>
      <c r="C354" s="5" t="s">
        <v>99</v>
      </c>
      <c r="D354" s="5" t="s">
        <v>100</v>
      </c>
      <c r="E354" s="5" t="s">
        <v>100</v>
      </c>
    </row>
    <row r="355" customFormat="false" ht="15" hidden="false" customHeight="true" outlineLevel="0" collapsed="false">
      <c r="A355" s="5" t="n">
        <v>2680400</v>
      </c>
      <c r="B355" s="5" t="s">
        <v>466</v>
      </c>
      <c r="C355" s="5" t="s">
        <v>99</v>
      </c>
      <c r="D355" s="5" t="s">
        <v>100</v>
      </c>
      <c r="E355" s="5" t="s">
        <v>100</v>
      </c>
    </row>
    <row r="356" customFormat="false" ht="15" hidden="false" customHeight="true" outlineLevel="0" collapsed="false">
      <c r="A356" s="5" t="n">
        <v>2680500</v>
      </c>
      <c r="B356" s="5" t="s">
        <v>467</v>
      </c>
      <c r="C356" s="5" t="s">
        <v>99</v>
      </c>
      <c r="D356" s="5" t="s">
        <v>100</v>
      </c>
      <c r="E356" s="5" t="s">
        <v>100</v>
      </c>
    </row>
    <row r="357" customFormat="false" ht="15" hidden="false" customHeight="true" outlineLevel="0" collapsed="false">
      <c r="A357" s="5" t="n">
        <v>2680600</v>
      </c>
      <c r="B357" s="5" t="s">
        <v>468</v>
      </c>
      <c r="C357" s="5" t="s">
        <v>142</v>
      </c>
      <c r="D357" s="5" t="s">
        <v>143</v>
      </c>
      <c r="E357" s="5" t="s">
        <v>212</v>
      </c>
    </row>
    <row r="358" customFormat="false" ht="15" hidden="false" customHeight="true" outlineLevel="0" collapsed="false">
      <c r="A358" s="5" t="n">
        <v>2680700</v>
      </c>
      <c r="B358" s="5" t="s">
        <v>469</v>
      </c>
      <c r="C358" s="5" t="s">
        <v>142</v>
      </c>
      <c r="D358" s="5" t="s">
        <v>143</v>
      </c>
      <c r="E358" s="5" t="s">
        <v>212</v>
      </c>
    </row>
    <row r="359" customFormat="false" ht="15" hidden="false" customHeight="true" outlineLevel="0" collapsed="false">
      <c r="A359" s="5" t="n">
        <v>2680900</v>
      </c>
      <c r="B359" s="5" t="s">
        <v>470</v>
      </c>
      <c r="C359" s="5" t="s">
        <v>142</v>
      </c>
      <c r="D359" s="5" t="s">
        <v>143</v>
      </c>
      <c r="E359" s="5" t="s">
        <v>212</v>
      </c>
    </row>
    <row r="360" customFormat="false" ht="15" hidden="false" customHeight="true" outlineLevel="0" collapsed="false">
      <c r="A360" s="5" t="n">
        <v>2681000</v>
      </c>
      <c r="B360" s="5" t="s">
        <v>471</v>
      </c>
      <c r="C360" s="5" t="s">
        <v>142</v>
      </c>
      <c r="D360" s="5" t="s">
        <v>143</v>
      </c>
      <c r="E360" s="5" t="s">
        <v>212</v>
      </c>
    </row>
    <row r="361" customFormat="false" ht="15" hidden="false" customHeight="true" outlineLevel="0" collapsed="false">
      <c r="A361" s="5" t="n">
        <v>2681200</v>
      </c>
      <c r="B361" s="5" t="s">
        <v>472</v>
      </c>
      <c r="C361" s="5" t="s">
        <v>142</v>
      </c>
      <c r="D361" s="5" t="s">
        <v>143</v>
      </c>
      <c r="E361" s="5" t="s">
        <v>172</v>
      </c>
    </row>
    <row r="362" customFormat="false" ht="15" hidden="false" customHeight="true" outlineLevel="0" collapsed="false">
      <c r="A362" s="5" t="n">
        <v>2681300</v>
      </c>
      <c r="B362" s="5" t="s">
        <v>473</v>
      </c>
      <c r="C362" s="5" t="s">
        <v>142</v>
      </c>
      <c r="D362" s="5" t="s">
        <v>143</v>
      </c>
      <c r="E362" s="5" t="s">
        <v>172</v>
      </c>
    </row>
    <row r="363" customFormat="false" ht="15" hidden="false" customHeight="true" outlineLevel="0" collapsed="false">
      <c r="A363" s="5" t="n">
        <v>2681400</v>
      </c>
      <c r="B363" s="5" t="s">
        <v>474</v>
      </c>
      <c r="C363" s="5" t="s">
        <v>142</v>
      </c>
      <c r="D363" s="5" t="s">
        <v>143</v>
      </c>
      <c r="E363" s="5" t="s">
        <v>172</v>
      </c>
    </row>
    <row r="364" customFormat="false" ht="15" hidden="false" customHeight="true" outlineLevel="0" collapsed="false">
      <c r="A364" s="5" t="n">
        <v>2681500</v>
      </c>
      <c r="B364" s="5" t="s">
        <v>475</v>
      </c>
      <c r="C364" s="5" t="s">
        <v>142</v>
      </c>
      <c r="D364" s="5" t="s">
        <v>143</v>
      </c>
      <c r="E364" s="5" t="s">
        <v>172</v>
      </c>
    </row>
    <row r="365" customFormat="false" ht="15" hidden="false" customHeight="true" outlineLevel="0" collapsed="false">
      <c r="A365" s="5" t="n">
        <v>2684100</v>
      </c>
      <c r="B365" s="5" t="s">
        <v>476</v>
      </c>
      <c r="C365" s="5" t="s">
        <v>142</v>
      </c>
      <c r="D365" s="5" t="s">
        <v>283</v>
      </c>
      <c r="E365" s="5" t="s">
        <v>115</v>
      </c>
    </row>
    <row r="366" customFormat="false" ht="15" hidden="false" customHeight="true" outlineLevel="0" collapsed="false">
      <c r="A366" s="5" t="n">
        <v>2690100</v>
      </c>
      <c r="B366" s="5" t="s">
        <v>477</v>
      </c>
      <c r="C366" s="5" t="s">
        <v>142</v>
      </c>
      <c r="D366" s="5" t="s">
        <v>143</v>
      </c>
      <c r="E366" s="5" t="s">
        <v>194</v>
      </c>
    </row>
    <row r="367" customFormat="false" ht="15" hidden="false" customHeight="true" outlineLevel="0" collapsed="false">
      <c r="A367" s="5" t="n">
        <v>2690200</v>
      </c>
      <c r="B367" s="5" t="s">
        <v>478</v>
      </c>
      <c r="C367" s="5" t="s">
        <v>142</v>
      </c>
      <c r="D367" s="5" t="s">
        <v>143</v>
      </c>
      <c r="E367" s="5" t="s">
        <v>167</v>
      </c>
    </row>
    <row r="368" customFormat="false" ht="15" hidden="false" customHeight="true" outlineLevel="0" collapsed="false">
      <c r="A368" s="5" t="n">
        <v>2690500</v>
      </c>
      <c r="B368" s="5" t="s">
        <v>479</v>
      </c>
      <c r="C368" s="5" t="s">
        <v>99</v>
      </c>
      <c r="D368" s="5" t="s">
        <v>100</v>
      </c>
      <c r="E368" s="5" t="s">
        <v>100</v>
      </c>
    </row>
    <row r="369" customFormat="false" ht="15" hidden="false" customHeight="true" outlineLevel="0" collapsed="false">
      <c r="A369" s="5" t="n">
        <v>2690600</v>
      </c>
      <c r="B369" s="5" t="s">
        <v>480</v>
      </c>
      <c r="C369" s="5" t="s">
        <v>99</v>
      </c>
      <c r="D369" s="5" t="s">
        <v>114</v>
      </c>
      <c r="E369" s="5" t="s">
        <v>152</v>
      </c>
    </row>
    <row r="370" customFormat="false" ht="15" hidden="false" customHeight="true" outlineLevel="0" collapsed="false">
      <c r="A370" s="5" t="n">
        <v>2698500</v>
      </c>
      <c r="B370" s="5" t="s">
        <v>481</v>
      </c>
      <c r="C370" s="5" t="s">
        <v>142</v>
      </c>
      <c r="D370" s="5" t="s">
        <v>143</v>
      </c>
      <c r="E370" s="5" t="s">
        <v>194</v>
      </c>
    </row>
    <row r="371" customFormat="false" ht="15" hidden="false" customHeight="true" outlineLevel="0" collapsed="false">
      <c r="A371" s="5" t="n">
        <v>2698600</v>
      </c>
      <c r="B371" s="5" t="s">
        <v>482</v>
      </c>
      <c r="C371" s="5" t="s">
        <v>142</v>
      </c>
      <c r="D371" s="5" t="s">
        <v>143</v>
      </c>
      <c r="E371" s="5" t="s">
        <v>194</v>
      </c>
    </row>
    <row r="372" customFormat="false" ht="15" hidden="false" customHeight="true" outlineLevel="0" collapsed="false">
      <c r="A372" s="5" t="n">
        <v>2698700</v>
      </c>
      <c r="B372" s="5" t="s">
        <v>483</v>
      </c>
      <c r="C372" s="5" t="s">
        <v>142</v>
      </c>
      <c r="D372" s="5" t="s">
        <v>143</v>
      </c>
      <c r="E372" s="5" t="s">
        <v>194</v>
      </c>
    </row>
    <row r="373" customFormat="false" ht="15" hidden="false" customHeight="true" outlineLevel="0" collapsed="false">
      <c r="A373" s="5" t="n">
        <v>2698800</v>
      </c>
      <c r="B373" s="5" t="s">
        <v>484</v>
      </c>
      <c r="C373" s="5" t="s">
        <v>142</v>
      </c>
      <c r="D373" s="5" t="s">
        <v>143</v>
      </c>
      <c r="E373" s="5" t="s">
        <v>194</v>
      </c>
    </row>
    <row r="374" customFormat="false" ht="15" hidden="false" customHeight="true" outlineLevel="0" collapsed="false">
      <c r="A374" s="5" t="n">
        <v>2698900</v>
      </c>
      <c r="B374" s="5" t="s">
        <v>485</v>
      </c>
      <c r="C374" s="5" t="s">
        <v>142</v>
      </c>
      <c r="D374" s="5" t="s">
        <v>143</v>
      </c>
      <c r="E374" s="5" t="s">
        <v>194</v>
      </c>
    </row>
    <row r="375" customFormat="false" ht="15" hidden="false" customHeight="true" outlineLevel="0" collapsed="false">
      <c r="A375" s="5" t="n">
        <v>2699000</v>
      </c>
      <c r="B375" s="5" t="s">
        <v>486</v>
      </c>
      <c r="C375" s="5" t="s">
        <v>142</v>
      </c>
      <c r="D375" s="5" t="s">
        <v>143</v>
      </c>
      <c r="E375" s="5" t="s">
        <v>194</v>
      </c>
    </row>
    <row r="376" customFormat="false" ht="15" hidden="false" customHeight="true" outlineLevel="0" collapsed="false">
      <c r="A376" s="5" t="n">
        <v>2702200</v>
      </c>
      <c r="B376" s="5" t="s">
        <v>487</v>
      </c>
      <c r="C376" s="5" t="s">
        <v>99</v>
      </c>
      <c r="D376" s="5" t="s">
        <v>114</v>
      </c>
      <c r="E376" s="5" t="s">
        <v>152</v>
      </c>
    </row>
    <row r="377" customFormat="false" ht="15" hidden="false" customHeight="true" outlineLevel="0" collapsed="false">
      <c r="A377" s="5" t="n">
        <v>2703100</v>
      </c>
      <c r="B377" s="5" t="s">
        <v>488</v>
      </c>
      <c r="C377" s="5" t="s">
        <v>99</v>
      </c>
      <c r="D377" s="5" t="s">
        <v>114</v>
      </c>
      <c r="E377" s="5" t="s">
        <v>133</v>
      </c>
    </row>
    <row r="378" customFormat="false" ht="15" hidden="false" customHeight="true" outlineLevel="0" collapsed="false">
      <c r="A378" s="5" t="n">
        <v>2703300</v>
      </c>
      <c r="B378" s="5" t="s">
        <v>489</v>
      </c>
      <c r="C378" s="5" t="s">
        <v>99</v>
      </c>
      <c r="D378" s="5" t="s">
        <v>114</v>
      </c>
      <c r="E378" s="5" t="s">
        <v>133</v>
      </c>
    </row>
    <row r="379" customFormat="false" ht="15" hidden="false" customHeight="true" outlineLevel="0" collapsed="false">
      <c r="A379" s="5" t="n">
        <v>2703400</v>
      </c>
      <c r="B379" s="5" t="s">
        <v>490</v>
      </c>
      <c r="C379" s="5" t="s">
        <v>142</v>
      </c>
      <c r="D379" s="5" t="s">
        <v>143</v>
      </c>
      <c r="E379" s="5" t="s">
        <v>212</v>
      </c>
    </row>
    <row r="380" customFormat="false" ht="15" hidden="false" customHeight="true" outlineLevel="0" collapsed="false">
      <c r="A380" s="5" t="n">
        <v>2703900</v>
      </c>
      <c r="B380" s="5" t="s">
        <v>491</v>
      </c>
      <c r="C380" s="5" t="s">
        <v>142</v>
      </c>
      <c r="D380" s="5" t="s">
        <v>143</v>
      </c>
      <c r="E380" s="5" t="s">
        <v>212</v>
      </c>
    </row>
    <row r="381" customFormat="false" ht="15" hidden="false" customHeight="true" outlineLevel="0" collapsed="false">
      <c r="A381" s="5" t="n">
        <v>2704000</v>
      </c>
      <c r="B381" s="5" t="s">
        <v>492</v>
      </c>
      <c r="C381" s="5" t="s">
        <v>142</v>
      </c>
      <c r="D381" s="5" t="s">
        <v>143</v>
      </c>
      <c r="E381" s="5" t="s">
        <v>212</v>
      </c>
    </row>
    <row r="382" customFormat="false" ht="15" hidden="false" customHeight="true" outlineLevel="0" collapsed="false">
      <c r="A382" s="5" t="n">
        <v>2704100</v>
      </c>
      <c r="B382" s="5" t="s">
        <v>493</v>
      </c>
      <c r="C382" s="5" t="s">
        <v>142</v>
      </c>
      <c r="D382" s="5" t="s">
        <v>143</v>
      </c>
      <c r="E382" s="5" t="s">
        <v>212</v>
      </c>
    </row>
    <row r="383" customFormat="false" ht="15" hidden="false" customHeight="true" outlineLevel="0" collapsed="false">
      <c r="A383" s="5" t="n">
        <v>2704200</v>
      </c>
      <c r="B383" s="5" t="s">
        <v>494</v>
      </c>
      <c r="C383" s="5" t="s">
        <v>142</v>
      </c>
      <c r="D383" s="5" t="s">
        <v>143</v>
      </c>
      <c r="E383" s="5" t="s">
        <v>212</v>
      </c>
    </row>
    <row r="384" customFormat="false" ht="15" hidden="false" customHeight="true" outlineLevel="0" collapsed="false">
      <c r="A384" s="5" t="n">
        <v>2704400</v>
      </c>
      <c r="B384" s="5" t="s">
        <v>495</v>
      </c>
      <c r="C384" s="5" t="s">
        <v>99</v>
      </c>
      <c r="D384" s="5" t="s">
        <v>100</v>
      </c>
      <c r="E384" s="5" t="s">
        <v>100</v>
      </c>
    </row>
    <row r="385" customFormat="false" ht="15" hidden="false" customHeight="true" outlineLevel="0" collapsed="false">
      <c r="A385" s="5" t="n">
        <v>2704500</v>
      </c>
      <c r="B385" s="5" t="s">
        <v>496</v>
      </c>
      <c r="C385" s="5" t="s">
        <v>99</v>
      </c>
      <c r="D385" s="5" t="s">
        <v>100</v>
      </c>
      <c r="E385" s="5" t="s">
        <v>100</v>
      </c>
    </row>
    <row r="386" customFormat="false" ht="15" hidden="false" customHeight="true" outlineLevel="0" collapsed="false">
      <c r="A386" s="5" t="n">
        <v>2705600</v>
      </c>
      <c r="B386" s="5" t="s">
        <v>497</v>
      </c>
      <c r="C386" s="5" t="s">
        <v>99</v>
      </c>
      <c r="D386" s="5" t="s">
        <v>100</v>
      </c>
      <c r="E386" s="5" t="s">
        <v>100</v>
      </c>
    </row>
    <row r="387" customFormat="false" ht="15" hidden="false" customHeight="true" outlineLevel="0" collapsed="false">
      <c r="A387" s="5" t="n">
        <v>2705700</v>
      </c>
      <c r="B387" s="5" t="s">
        <v>498</v>
      </c>
      <c r="C387" s="5" t="s">
        <v>99</v>
      </c>
      <c r="D387" s="5" t="s">
        <v>100</v>
      </c>
      <c r="E387" s="5" t="s">
        <v>100</v>
      </c>
    </row>
    <row r="388" customFormat="false" ht="15" hidden="false" customHeight="true" outlineLevel="0" collapsed="false">
      <c r="A388" s="5" t="n">
        <v>2705800</v>
      </c>
      <c r="B388" s="5" t="s">
        <v>499</v>
      </c>
      <c r="C388" s="5" t="s">
        <v>99</v>
      </c>
      <c r="D388" s="5" t="s">
        <v>100</v>
      </c>
      <c r="E388" s="5" t="s">
        <v>100</v>
      </c>
    </row>
    <row r="389" customFormat="false" ht="15" hidden="false" customHeight="true" outlineLevel="0" collapsed="false">
      <c r="A389" s="5" t="n">
        <v>2706000</v>
      </c>
      <c r="B389" s="5" t="s">
        <v>500</v>
      </c>
      <c r="C389" s="5" t="s">
        <v>142</v>
      </c>
      <c r="D389" s="5" t="s">
        <v>143</v>
      </c>
      <c r="E389" s="5" t="s">
        <v>194</v>
      </c>
    </row>
    <row r="390" customFormat="false" ht="15" hidden="false" customHeight="true" outlineLevel="0" collapsed="false">
      <c r="A390" s="5" t="n">
        <v>2706300</v>
      </c>
      <c r="B390" s="5" t="s">
        <v>501</v>
      </c>
      <c r="C390" s="5" t="s">
        <v>99</v>
      </c>
      <c r="D390" s="5" t="s">
        <v>100</v>
      </c>
      <c r="E390" s="5" t="s">
        <v>100</v>
      </c>
    </row>
    <row r="391" customFormat="false" ht="15" hidden="false" customHeight="true" outlineLevel="0" collapsed="false">
      <c r="A391" s="5" t="n">
        <v>2717800</v>
      </c>
      <c r="B391" s="5" t="s">
        <v>502</v>
      </c>
      <c r="C391" s="5" t="s">
        <v>142</v>
      </c>
      <c r="D391" s="5" t="s">
        <v>143</v>
      </c>
      <c r="E391" s="5" t="s">
        <v>167</v>
      </c>
    </row>
    <row r="392" customFormat="false" ht="15" hidden="false" customHeight="true" outlineLevel="0" collapsed="false">
      <c r="A392" s="5" t="n">
        <v>2718100</v>
      </c>
      <c r="B392" s="5" t="s">
        <v>503</v>
      </c>
      <c r="C392" s="5" t="s">
        <v>99</v>
      </c>
      <c r="D392" s="5" t="s">
        <v>114</v>
      </c>
      <c r="E392" s="5" t="s">
        <v>133</v>
      </c>
    </row>
    <row r="393" customFormat="false" ht="15" hidden="false" customHeight="true" outlineLevel="0" collapsed="false">
      <c r="A393" s="5" t="n">
        <v>2730300</v>
      </c>
      <c r="B393" s="5" t="s">
        <v>504</v>
      </c>
      <c r="C393" s="5" t="s">
        <v>99</v>
      </c>
      <c r="D393" s="5" t="s">
        <v>100</v>
      </c>
      <c r="E393" s="5" t="s">
        <v>100</v>
      </c>
    </row>
    <row r="394" customFormat="false" ht="15" hidden="false" customHeight="true" outlineLevel="0" collapsed="false">
      <c r="A394" s="5" t="n">
        <v>2730400</v>
      </c>
      <c r="B394" s="5" t="s">
        <v>505</v>
      </c>
      <c r="C394" s="5" t="s">
        <v>99</v>
      </c>
      <c r="D394" s="5" t="s">
        <v>100</v>
      </c>
      <c r="E394" s="5" t="s">
        <v>100</v>
      </c>
    </row>
    <row r="395" customFormat="false" ht="15" hidden="false" customHeight="true" outlineLevel="0" collapsed="false">
      <c r="A395" s="5" t="n">
        <v>2730500</v>
      </c>
      <c r="B395" s="5" t="s">
        <v>506</v>
      </c>
      <c r="C395" s="5" t="s">
        <v>99</v>
      </c>
      <c r="D395" s="5" t="s">
        <v>100</v>
      </c>
      <c r="E395" s="5" t="s">
        <v>100</v>
      </c>
    </row>
    <row r="396" customFormat="false" ht="15" hidden="false" customHeight="true" outlineLevel="0" collapsed="false">
      <c r="A396" s="5" t="n">
        <v>2730700</v>
      </c>
      <c r="B396" s="5" t="s">
        <v>507</v>
      </c>
      <c r="C396" s="5" t="s">
        <v>142</v>
      </c>
      <c r="D396" s="5" t="s">
        <v>143</v>
      </c>
      <c r="E396" s="5" t="s">
        <v>194</v>
      </c>
    </row>
    <row r="397" customFormat="false" ht="15" hidden="false" customHeight="true" outlineLevel="0" collapsed="false">
      <c r="A397" s="5" t="n">
        <v>2730800</v>
      </c>
      <c r="B397" s="5" t="s">
        <v>508</v>
      </c>
      <c r="C397" s="5" t="s">
        <v>142</v>
      </c>
      <c r="D397" s="5" t="s">
        <v>143</v>
      </c>
      <c r="E397" s="5" t="s">
        <v>194</v>
      </c>
    </row>
    <row r="398" customFormat="false" ht="15" hidden="false" customHeight="true" outlineLevel="0" collapsed="false">
      <c r="A398" s="5" t="n">
        <v>2730900</v>
      </c>
      <c r="B398" s="5" t="s">
        <v>509</v>
      </c>
      <c r="C398" s="5" t="s">
        <v>142</v>
      </c>
      <c r="D398" s="5" t="s">
        <v>143</v>
      </c>
      <c r="E398" s="5" t="s">
        <v>194</v>
      </c>
    </row>
    <row r="399" customFormat="false" ht="15" hidden="false" customHeight="true" outlineLevel="0" collapsed="false">
      <c r="A399" s="5" t="n">
        <v>2731000</v>
      </c>
      <c r="B399" s="5" t="s">
        <v>510</v>
      </c>
      <c r="C399" s="5" t="s">
        <v>142</v>
      </c>
      <c r="D399" s="5" t="s">
        <v>143</v>
      </c>
      <c r="E399" s="5" t="s">
        <v>194</v>
      </c>
    </row>
    <row r="400" customFormat="false" ht="15" hidden="false" customHeight="true" outlineLevel="0" collapsed="false">
      <c r="A400" s="5" t="n">
        <v>2738400</v>
      </c>
      <c r="B400" s="5" t="s">
        <v>511</v>
      </c>
      <c r="C400" s="5" t="s">
        <v>142</v>
      </c>
      <c r="D400" s="5" t="s">
        <v>143</v>
      </c>
      <c r="E400" s="5" t="s">
        <v>194</v>
      </c>
    </row>
    <row r="401" customFormat="false" ht="15" hidden="false" customHeight="true" outlineLevel="0" collapsed="false">
      <c r="A401" s="5" t="n">
        <v>2738500</v>
      </c>
      <c r="B401" s="5" t="s">
        <v>512</v>
      </c>
      <c r="C401" s="5" t="s">
        <v>142</v>
      </c>
      <c r="D401" s="5" t="s">
        <v>143</v>
      </c>
      <c r="E401" s="5" t="s">
        <v>194</v>
      </c>
    </row>
    <row r="402" customFormat="false" ht="15" hidden="false" customHeight="true" outlineLevel="0" collapsed="false">
      <c r="A402" s="5" t="n">
        <v>2738600</v>
      </c>
      <c r="B402" s="5" t="s">
        <v>513</v>
      </c>
      <c r="C402" s="5" t="s">
        <v>142</v>
      </c>
      <c r="D402" s="5" t="s">
        <v>143</v>
      </c>
      <c r="E402" s="5" t="s">
        <v>194</v>
      </c>
    </row>
    <row r="403" customFormat="false" ht="15" hidden="false" customHeight="true" outlineLevel="0" collapsed="false">
      <c r="A403" s="5" t="n">
        <v>2738700</v>
      </c>
      <c r="B403" s="5" t="s">
        <v>514</v>
      </c>
      <c r="C403" s="5" t="s">
        <v>99</v>
      </c>
      <c r="D403" s="5" t="s">
        <v>114</v>
      </c>
      <c r="E403" s="5" t="s">
        <v>230</v>
      </c>
    </row>
    <row r="404" customFormat="false" ht="15" hidden="false" customHeight="true" outlineLevel="0" collapsed="false">
      <c r="A404" s="5" t="n">
        <v>2743500</v>
      </c>
      <c r="B404" s="5" t="s">
        <v>515</v>
      </c>
      <c r="C404" s="5" t="s">
        <v>142</v>
      </c>
      <c r="D404" s="5" t="s">
        <v>143</v>
      </c>
      <c r="E404" s="5" t="s">
        <v>115</v>
      </c>
    </row>
    <row r="405" customFormat="false" ht="15" hidden="false" customHeight="true" outlineLevel="0" collapsed="false">
      <c r="A405" s="5" t="n">
        <v>2746700</v>
      </c>
      <c r="B405" s="5" t="s">
        <v>516</v>
      </c>
      <c r="C405" s="5" t="s">
        <v>142</v>
      </c>
      <c r="D405" s="5" t="s">
        <v>143</v>
      </c>
      <c r="E405" s="5" t="s">
        <v>115</v>
      </c>
    </row>
    <row r="406" customFormat="false" ht="15" hidden="false" customHeight="true" outlineLevel="0" collapsed="false">
      <c r="A406" s="5" t="n">
        <v>2746800</v>
      </c>
      <c r="B406" s="5" t="s">
        <v>517</v>
      </c>
      <c r="C406" s="5" t="s">
        <v>142</v>
      </c>
      <c r="D406" s="5" t="s">
        <v>143</v>
      </c>
      <c r="E406" s="5" t="s">
        <v>115</v>
      </c>
    </row>
    <row r="407" customFormat="false" ht="15" hidden="false" customHeight="true" outlineLevel="0" collapsed="false">
      <c r="A407" s="5" t="n">
        <v>2762400</v>
      </c>
      <c r="B407" s="5" t="s">
        <v>518</v>
      </c>
      <c r="C407" s="5" t="s">
        <v>99</v>
      </c>
      <c r="D407" s="5" t="s">
        <v>114</v>
      </c>
      <c r="E407" s="5" t="s">
        <v>128</v>
      </c>
    </row>
    <row r="408" customFormat="false" ht="15" hidden="false" customHeight="true" outlineLevel="0" collapsed="false">
      <c r="A408" s="5" t="n">
        <v>2762500</v>
      </c>
      <c r="B408" s="5" t="s">
        <v>519</v>
      </c>
      <c r="C408" s="5" t="s">
        <v>99</v>
      </c>
      <c r="D408" s="5" t="s">
        <v>114</v>
      </c>
      <c r="E408" s="5" t="s">
        <v>128</v>
      </c>
    </row>
    <row r="409" customFormat="false" ht="15" hidden="false" customHeight="true" outlineLevel="0" collapsed="false">
      <c r="A409" s="5" t="n">
        <v>2762600</v>
      </c>
      <c r="B409" s="5" t="s">
        <v>520</v>
      </c>
      <c r="C409" s="5" t="s">
        <v>99</v>
      </c>
      <c r="D409" s="5" t="s">
        <v>114</v>
      </c>
      <c r="E409" s="5" t="s">
        <v>128</v>
      </c>
    </row>
    <row r="410" customFormat="false" ht="15" hidden="false" customHeight="true" outlineLevel="0" collapsed="false">
      <c r="A410" s="5" t="n">
        <v>2762700</v>
      </c>
      <c r="B410" s="5" t="s">
        <v>521</v>
      </c>
      <c r="C410" s="5" t="s">
        <v>99</v>
      </c>
      <c r="D410" s="5" t="s">
        <v>114</v>
      </c>
      <c r="E410" s="5" t="s">
        <v>128</v>
      </c>
    </row>
    <row r="411" customFormat="false" ht="15" hidden="false" customHeight="true" outlineLevel="0" collapsed="false">
      <c r="A411" s="5" t="n">
        <v>2763000</v>
      </c>
      <c r="B411" s="5" t="s">
        <v>522</v>
      </c>
      <c r="C411" s="5" t="s">
        <v>99</v>
      </c>
      <c r="D411" s="5" t="s">
        <v>114</v>
      </c>
      <c r="E411" s="5" t="s">
        <v>128</v>
      </c>
    </row>
    <row r="412" customFormat="false" ht="15" hidden="false" customHeight="true" outlineLevel="0" collapsed="false">
      <c r="A412" s="5" t="n">
        <v>2763100</v>
      </c>
      <c r="B412" s="5" t="s">
        <v>523</v>
      </c>
      <c r="C412" s="5" t="s">
        <v>99</v>
      </c>
      <c r="D412" s="5" t="s">
        <v>114</v>
      </c>
      <c r="E412" s="5" t="s">
        <v>128</v>
      </c>
    </row>
    <row r="413" customFormat="false" ht="15" hidden="false" customHeight="true" outlineLevel="0" collapsed="false">
      <c r="A413" s="5" t="n">
        <v>2768500</v>
      </c>
      <c r="B413" s="5" t="s">
        <v>524</v>
      </c>
      <c r="C413" s="5" t="s">
        <v>99</v>
      </c>
      <c r="D413" s="5" t="s">
        <v>124</v>
      </c>
      <c r="E413" s="5" t="s">
        <v>198</v>
      </c>
    </row>
    <row r="414" customFormat="false" ht="15" hidden="false" customHeight="true" outlineLevel="0" collapsed="false">
      <c r="A414" s="5" t="n">
        <v>2768600</v>
      </c>
      <c r="B414" s="5" t="s">
        <v>525</v>
      </c>
      <c r="C414" s="5" t="s">
        <v>142</v>
      </c>
      <c r="D414" s="5" t="s">
        <v>124</v>
      </c>
      <c r="E414" s="5" t="s">
        <v>216</v>
      </c>
    </row>
    <row r="415" customFormat="false" ht="15" hidden="false" customHeight="true" outlineLevel="0" collapsed="false">
      <c r="A415" s="5" t="n">
        <v>2768700</v>
      </c>
      <c r="B415" s="5" t="s">
        <v>526</v>
      </c>
      <c r="C415" s="5" t="s">
        <v>99</v>
      </c>
      <c r="D415" s="5" t="s">
        <v>124</v>
      </c>
      <c r="E415" s="5" t="s">
        <v>198</v>
      </c>
    </row>
    <row r="416" customFormat="false" ht="15" hidden="false" customHeight="true" outlineLevel="0" collapsed="false">
      <c r="A416" s="5" t="n">
        <v>2768800</v>
      </c>
      <c r="B416" s="5" t="s">
        <v>527</v>
      </c>
      <c r="C416" s="5" t="s">
        <v>99</v>
      </c>
      <c r="D416" s="5" t="s">
        <v>124</v>
      </c>
      <c r="E416" s="5" t="s">
        <v>198</v>
      </c>
    </row>
    <row r="417" customFormat="false" ht="15" hidden="false" customHeight="true" outlineLevel="0" collapsed="false">
      <c r="A417" s="5" t="n">
        <v>2768900</v>
      </c>
      <c r="B417" s="5" t="s">
        <v>528</v>
      </c>
      <c r="C417" s="5" t="s">
        <v>142</v>
      </c>
      <c r="D417" s="5" t="s">
        <v>124</v>
      </c>
      <c r="E417" s="5" t="s">
        <v>216</v>
      </c>
    </row>
    <row r="418" customFormat="false" ht="15" hidden="false" customHeight="true" outlineLevel="0" collapsed="false">
      <c r="A418" s="5" t="n">
        <v>2769000</v>
      </c>
      <c r="B418" s="5" t="s">
        <v>529</v>
      </c>
      <c r="C418" s="5" t="s">
        <v>142</v>
      </c>
      <c r="D418" s="5" t="s">
        <v>124</v>
      </c>
      <c r="E418" s="5" t="s">
        <v>216</v>
      </c>
    </row>
    <row r="419" customFormat="false" ht="15" hidden="false" customHeight="true" outlineLevel="0" collapsed="false">
      <c r="A419" s="5" t="n">
        <v>2769100</v>
      </c>
      <c r="B419" s="5" t="s">
        <v>530</v>
      </c>
      <c r="C419" s="5" t="s">
        <v>99</v>
      </c>
      <c r="D419" s="5" t="s">
        <v>124</v>
      </c>
      <c r="E419" s="5" t="s">
        <v>198</v>
      </c>
    </row>
    <row r="420" customFormat="false" ht="15" hidden="false" customHeight="true" outlineLevel="0" collapsed="false">
      <c r="A420" s="5" t="n">
        <v>2769200</v>
      </c>
      <c r="B420" s="5" t="s">
        <v>531</v>
      </c>
      <c r="C420" s="5" t="s">
        <v>99</v>
      </c>
      <c r="D420" s="5" t="s">
        <v>124</v>
      </c>
      <c r="E420" s="5" t="s">
        <v>198</v>
      </c>
    </row>
    <row r="421" customFormat="false" ht="15" hidden="false" customHeight="true" outlineLevel="0" collapsed="false">
      <c r="A421" s="5" t="n">
        <v>2769300</v>
      </c>
      <c r="B421" s="5" t="s">
        <v>532</v>
      </c>
      <c r="C421" s="5" t="s">
        <v>142</v>
      </c>
      <c r="D421" s="5" t="s">
        <v>124</v>
      </c>
      <c r="E421" s="5" t="s">
        <v>216</v>
      </c>
    </row>
    <row r="422" customFormat="false" ht="15" hidden="false" customHeight="true" outlineLevel="0" collapsed="false">
      <c r="A422" s="5" t="n">
        <v>2769400</v>
      </c>
      <c r="B422" s="5" t="s">
        <v>533</v>
      </c>
      <c r="C422" s="5" t="s">
        <v>142</v>
      </c>
      <c r="D422" s="5" t="s">
        <v>124</v>
      </c>
      <c r="E422" s="5" t="s">
        <v>216</v>
      </c>
    </row>
    <row r="423" customFormat="false" ht="15" hidden="false" customHeight="true" outlineLevel="0" collapsed="false">
      <c r="A423" s="5" t="n">
        <v>2769500</v>
      </c>
      <c r="B423" s="5" t="s">
        <v>534</v>
      </c>
      <c r="C423" s="5" t="s">
        <v>99</v>
      </c>
      <c r="D423" s="5" t="s">
        <v>124</v>
      </c>
      <c r="E423" s="5" t="s">
        <v>198</v>
      </c>
    </row>
    <row r="424" customFormat="false" ht="15" hidden="false" customHeight="true" outlineLevel="0" collapsed="false">
      <c r="A424" s="5" t="n">
        <v>2769600</v>
      </c>
      <c r="B424" s="5" t="s">
        <v>535</v>
      </c>
      <c r="C424" s="5" t="s">
        <v>99</v>
      </c>
      <c r="D424" s="5" t="s">
        <v>124</v>
      </c>
      <c r="E424" s="5" t="s">
        <v>198</v>
      </c>
    </row>
    <row r="425" customFormat="false" ht="15" hidden="false" customHeight="true" outlineLevel="0" collapsed="false">
      <c r="A425" s="5" t="n">
        <v>2769700</v>
      </c>
      <c r="B425" s="5" t="s">
        <v>536</v>
      </c>
      <c r="C425" s="5" t="s">
        <v>99</v>
      </c>
      <c r="D425" s="5" t="s">
        <v>124</v>
      </c>
      <c r="E425" s="5" t="s">
        <v>198</v>
      </c>
    </row>
    <row r="426" customFormat="false" ht="15" hidden="false" customHeight="true" outlineLevel="0" collapsed="false">
      <c r="A426" s="5" t="n">
        <v>2769800</v>
      </c>
      <c r="B426" s="5" t="s">
        <v>537</v>
      </c>
      <c r="C426" s="5" t="s">
        <v>99</v>
      </c>
      <c r="D426" s="5" t="s">
        <v>124</v>
      </c>
      <c r="E426" s="5" t="s">
        <v>198</v>
      </c>
    </row>
    <row r="427" customFormat="false" ht="15" hidden="false" customHeight="true" outlineLevel="0" collapsed="false">
      <c r="A427" s="5" t="n">
        <v>2769900</v>
      </c>
      <c r="B427" s="5" t="s">
        <v>538</v>
      </c>
      <c r="C427" s="5" t="s">
        <v>99</v>
      </c>
      <c r="D427" s="5" t="s">
        <v>124</v>
      </c>
      <c r="E427" s="5" t="s">
        <v>198</v>
      </c>
    </row>
    <row r="428" customFormat="false" ht="15" hidden="false" customHeight="true" outlineLevel="0" collapsed="false">
      <c r="A428" s="5" t="n">
        <v>2770000</v>
      </c>
      <c r="B428" s="5" t="s">
        <v>539</v>
      </c>
      <c r="C428" s="5" t="s">
        <v>99</v>
      </c>
      <c r="D428" s="5" t="s">
        <v>124</v>
      </c>
      <c r="E428" s="5" t="s">
        <v>198</v>
      </c>
    </row>
    <row r="429" customFormat="false" ht="15" hidden="false" customHeight="true" outlineLevel="0" collapsed="false">
      <c r="A429" s="5" t="n">
        <v>2770100</v>
      </c>
      <c r="B429" s="5" t="s">
        <v>540</v>
      </c>
      <c r="C429" s="5" t="s">
        <v>99</v>
      </c>
      <c r="D429" s="5" t="s">
        <v>124</v>
      </c>
      <c r="E429" s="5" t="s">
        <v>198</v>
      </c>
    </row>
    <row r="430" customFormat="false" ht="15" hidden="false" customHeight="true" outlineLevel="0" collapsed="false">
      <c r="A430" s="5" t="n">
        <v>2770200</v>
      </c>
      <c r="B430" s="5" t="s">
        <v>541</v>
      </c>
      <c r="C430" s="5" t="s">
        <v>99</v>
      </c>
      <c r="D430" s="5" t="s">
        <v>124</v>
      </c>
      <c r="E430" s="5" t="s">
        <v>198</v>
      </c>
    </row>
    <row r="431" customFormat="false" ht="15" hidden="false" customHeight="true" outlineLevel="0" collapsed="false">
      <c r="A431" s="5" t="n">
        <v>2770300</v>
      </c>
      <c r="B431" s="5" t="s">
        <v>542</v>
      </c>
      <c r="C431" s="5" t="s">
        <v>99</v>
      </c>
      <c r="D431" s="5" t="s">
        <v>124</v>
      </c>
      <c r="E431" s="5" t="s">
        <v>198</v>
      </c>
    </row>
    <row r="432" customFormat="false" ht="15" hidden="false" customHeight="true" outlineLevel="0" collapsed="false">
      <c r="A432" s="5" t="n">
        <v>2770400</v>
      </c>
      <c r="B432" s="5" t="s">
        <v>543</v>
      </c>
      <c r="C432" s="5" t="s">
        <v>99</v>
      </c>
      <c r="D432" s="5" t="s">
        <v>124</v>
      </c>
      <c r="E432" s="5" t="s">
        <v>198</v>
      </c>
    </row>
    <row r="433" customFormat="false" ht="15" hidden="false" customHeight="true" outlineLevel="0" collapsed="false">
      <c r="A433" s="5" t="n">
        <v>2770500</v>
      </c>
      <c r="B433" s="5" t="s">
        <v>544</v>
      </c>
      <c r="C433" s="5" t="s">
        <v>99</v>
      </c>
      <c r="D433" s="5" t="s">
        <v>124</v>
      </c>
      <c r="E433" s="5" t="s">
        <v>198</v>
      </c>
    </row>
    <row r="434" customFormat="false" ht="15" hidden="false" customHeight="true" outlineLevel="0" collapsed="false">
      <c r="A434" s="5" t="n">
        <v>2770600</v>
      </c>
      <c r="B434" s="5" t="s">
        <v>545</v>
      </c>
      <c r="C434" s="5" t="s">
        <v>99</v>
      </c>
      <c r="D434" s="5" t="s">
        <v>124</v>
      </c>
      <c r="E434" s="5" t="s">
        <v>198</v>
      </c>
    </row>
    <row r="435" customFormat="false" ht="15" hidden="false" customHeight="true" outlineLevel="0" collapsed="false">
      <c r="A435" s="5" t="n">
        <v>2770700</v>
      </c>
      <c r="B435" s="5" t="s">
        <v>546</v>
      </c>
      <c r="C435" s="5" t="s">
        <v>99</v>
      </c>
      <c r="D435" s="5" t="s">
        <v>124</v>
      </c>
      <c r="E435" s="5" t="s">
        <v>198</v>
      </c>
    </row>
    <row r="436" customFormat="false" ht="15" hidden="false" customHeight="true" outlineLevel="0" collapsed="false">
      <c r="A436" s="5" t="n">
        <v>2770800</v>
      </c>
      <c r="B436" s="5" t="s">
        <v>547</v>
      </c>
      <c r="C436" s="5" t="s">
        <v>99</v>
      </c>
      <c r="D436" s="5" t="s">
        <v>124</v>
      </c>
      <c r="E436" s="5" t="s">
        <v>198</v>
      </c>
    </row>
    <row r="437" customFormat="false" ht="15" hidden="false" customHeight="true" outlineLevel="0" collapsed="false">
      <c r="A437" s="5" t="n">
        <v>2770900</v>
      </c>
      <c r="B437" s="5" t="s">
        <v>548</v>
      </c>
      <c r="C437" s="5" t="s">
        <v>99</v>
      </c>
      <c r="D437" s="5" t="s">
        <v>124</v>
      </c>
      <c r="E437" s="5" t="s">
        <v>198</v>
      </c>
    </row>
    <row r="438" customFormat="false" ht="15" hidden="false" customHeight="true" outlineLevel="0" collapsed="false">
      <c r="A438" s="5" t="n">
        <v>2771000</v>
      </c>
      <c r="B438" s="5" t="s">
        <v>549</v>
      </c>
      <c r="C438" s="5" t="s">
        <v>99</v>
      </c>
      <c r="D438" s="5" t="s">
        <v>124</v>
      </c>
      <c r="E438" s="5" t="s">
        <v>198</v>
      </c>
    </row>
    <row r="439" customFormat="false" ht="15" hidden="false" customHeight="true" outlineLevel="0" collapsed="false">
      <c r="A439" s="5" t="n">
        <v>2771100</v>
      </c>
      <c r="B439" s="5" t="s">
        <v>550</v>
      </c>
      <c r="C439" s="5" t="s">
        <v>99</v>
      </c>
      <c r="D439" s="5" t="s">
        <v>124</v>
      </c>
      <c r="E439" s="5" t="s">
        <v>198</v>
      </c>
    </row>
    <row r="440" customFormat="false" ht="15" hidden="false" customHeight="true" outlineLevel="0" collapsed="false">
      <c r="A440" s="5" t="n">
        <v>2771200</v>
      </c>
      <c r="B440" s="5" t="s">
        <v>551</v>
      </c>
      <c r="C440" s="5" t="s">
        <v>99</v>
      </c>
      <c r="D440" s="5" t="s">
        <v>124</v>
      </c>
      <c r="E440" s="5" t="s">
        <v>198</v>
      </c>
    </row>
    <row r="441" customFormat="false" ht="15" hidden="false" customHeight="true" outlineLevel="0" collapsed="false">
      <c r="A441" s="5" t="n">
        <v>2771300</v>
      </c>
      <c r="B441" s="5" t="s">
        <v>552</v>
      </c>
      <c r="C441" s="5" t="s">
        <v>99</v>
      </c>
      <c r="D441" s="5" t="s">
        <v>124</v>
      </c>
      <c r="E441" s="5" t="s">
        <v>198</v>
      </c>
    </row>
    <row r="442" customFormat="false" ht="15" hidden="false" customHeight="true" outlineLevel="0" collapsed="false">
      <c r="A442" s="5" t="n">
        <v>2771400</v>
      </c>
      <c r="B442" s="5" t="s">
        <v>553</v>
      </c>
      <c r="C442" s="5" t="s">
        <v>99</v>
      </c>
      <c r="D442" s="5" t="s">
        <v>124</v>
      </c>
      <c r="E442" s="5" t="s">
        <v>198</v>
      </c>
    </row>
    <row r="443" customFormat="false" ht="15" hidden="false" customHeight="true" outlineLevel="0" collapsed="false">
      <c r="A443" s="5" t="n">
        <v>2771500</v>
      </c>
      <c r="B443" s="5" t="s">
        <v>554</v>
      </c>
      <c r="C443" s="5" t="s">
        <v>99</v>
      </c>
      <c r="D443" s="5" t="s">
        <v>124</v>
      </c>
      <c r="E443" s="5" t="s">
        <v>198</v>
      </c>
    </row>
    <row r="444" customFormat="false" ht="15" hidden="false" customHeight="true" outlineLevel="0" collapsed="false">
      <c r="A444" s="5" t="n">
        <v>2771600</v>
      </c>
      <c r="B444" s="5" t="s">
        <v>555</v>
      </c>
      <c r="C444" s="5" t="s">
        <v>99</v>
      </c>
      <c r="D444" s="5" t="s">
        <v>124</v>
      </c>
      <c r="E444" s="5" t="s">
        <v>198</v>
      </c>
    </row>
    <row r="445" customFormat="false" ht="15" hidden="false" customHeight="true" outlineLevel="0" collapsed="false">
      <c r="A445" s="5" t="n">
        <v>2771700</v>
      </c>
      <c r="B445" s="5" t="s">
        <v>556</v>
      </c>
      <c r="C445" s="5" t="s">
        <v>99</v>
      </c>
      <c r="D445" s="5" t="s">
        <v>124</v>
      </c>
      <c r="E445" s="5" t="s">
        <v>198</v>
      </c>
    </row>
    <row r="446" customFormat="false" ht="15" hidden="false" customHeight="true" outlineLevel="0" collapsed="false">
      <c r="A446" s="5" t="n">
        <v>2771800</v>
      </c>
      <c r="B446" s="5" t="s">
        <v>557</v>
      </c>
      <c r="C446" s="5" t="s">
        <v>99</v>
      </c>
      <c r="D446" s="5" t="s">
        <v>124</v>
      </c>
      <c r="E446" s="5" t="s">
        <v>198</v>
      </c>
    </row>
    <row r="447" customFormat="false" ht="15" hidden="false" customHeight="true" outlineLevel="0" collapsed="false">
      <c r="A447" s="5" t="n">
        <v>2771900</v>
      </c>
      <c r="B447" s="5" t="s">
        <v>558</v>
      </c>
      <c r="C447" s="5" t="s">
        <v>99</v>
      </c>
      <c r="D447" s="5" t="s">
        <v>124</v>
      </c>
      <c r="E447" s="5" t="s">
        <v>198</v>
      </c>
    </row>
    <row r="448" customFormat="false" ht="15" hidden="false" customHeight="true" outlineLevel="0" collapsed="false">
      <c r="A448" s="5" t="n">
        <v>2772000</v>
      </c>
      <c r="B448" s="5" t="s">
        <v>559</v>
      </c>
      <c r="C448" s="5" t="s">
        <v>99</v>
      </c>
      <c r="D448" s="5" t="s">
        <v>124</v>
      </c>
      <c r="E448" s="5" t="s">
        <v>198</v>
      </c>
    </row>
    <row r="449" customFormat="false" ht="15" hidden="false" customHeight="true" outlineLevel="0" collapsed="false">
      <c r="A449" s="5" t="n">
        <v>2772100</v>
      </c>
      <c r="B449" s="5" t="s">
        <v>560</v>
      </c>
      <c r="C449" s="5" t="s">
        <v>99</v>
      </c>
      <c r="D449" s="5" t="s">
        <v>124</v>
      </c>
      <c r="E449" s="5" t="s">
        <v>198</v>
      </c>
    </row>
    <row r="450" customFormat="false" ht="15" hidden="false" customHeight="true" outlineLevel="0" collapsed="false">
      <c r="A450" s="5" t="n">
        <v>2772200</v>
      </c>
      <c r="B450" s="5" t="s">
        <v>561</v>
      </c>
      <c r="C450" s="5" t="s">
        <v>142</v>
      </c>
      <c r="D450" s="5" t="s">
        <v>124</v>
      </c>
      <c r="E450" s="5" t="s">
        <v>216</v>
      </c>
    </row>
    <row r="451" customFormat="false" ht="15" hidden="false" customHeight="true" outlineLevel="0" collapsed="false">
      <c r="A451" s="5" t="n">
        <v>2772300</v>
      </c>
      <c r="B451" s="5" t="s">
        <v>562</v>
      </c>
      <c r="C451" s="5" t="s">
        <v>99</v>
      </c>
      <c r="D451" s="5" t="s">
        <v>124</v>
      </c>
      <c r="E451" s="5" t="s">
        <v>198</v>
      </c>
    </row>
    <row r="452" customFormat="false" ht="15" hidden="false" customHeight="true" outlineLevel="0" collapsed="false">
      <c r="A452" s="5" t="n">
        <v>2772400</v>
      </c>
      <c r="B452" s="5" t="s">
        <v>563</v>
      </c>
      <c r="C452" s="5" t="s">
        <v>99</v>
      </c>
      <c r="D452" s="5" t="s">
        <v>124</v>
      </c>
      <c r="E452" s="5" t="s">
        <v>198</v>
      </c>
    </row>
    <row r="453" customFormat="false" ht="15" hidden="false" customHeight="true" outlineLevel="0" collapsed="false">
      <c r="A453" s="5" t="n">
        <v>2780100</v>
      </c>
      <c r="B453" s="5" t="s">
        <v>564</v>
      </c>
      <c r="C453" s="5" t="s">
        <v>99</v>
      </c>
      <c r="D453" s="5" t="s">
        <v>100</v>
      </c>
      <c r="E453" s="5" t="s">
        <v>100</v>
      </c>
    </row>
    <row r="454" customFormat="false" ht="15" hidden="false" customHeight="true" outlineLevel="0" collapsed="false">
      <c r="A454" s="5" t="n">
        <v>2781500</v>
      </c>
      <c r="B454" s="5" t="s">
        <v>565</v>
      </c>
      <c r="C454" s="5" t="s">
        <v>142</v>
      </c>
      <c r="D454" s="5" t="s">
        <v>143</v>
      </c>
      <c r="E454" s="5" t="s">
        <v>212</v>
      </c>
    </row>
    <row r="455" customFormat="false" ht="15" hidden="false" customHeight="true" outlineLevel="0" collapsed="false">
      <c r="A455" s="5" t="n">
        <v>2802800</v>
      </c>
      <c r="B455" s="5" t="s">
        <v>566</v>
      </c>
      <c r="C455" s="5" t="s">
        <v>142</v>
      </c>
      <c r="D455" s="5" t="s">
        <v>143</v>
      </c>
      <c r="E455" s="5" t="s">
        <v>115</v>
      </c>
    </row>
    <row r="456" customFormat="false" ht="15" hidden="false" customHeight="true" outlineLevel="0" collapsed="false">
      <c r="A456" s="5" t="n">
        <v>2802900</v>
      </c>
      <c r="B456" s="5" t="s">
        <v>567</v>
      </c>
      <c r="C456" s="5" t="s">
        <v>142</v>
      </c>
      <c r="D456" s="5" t="s">
        <v>143</v>
      </c>
      <c r="E456" s="5" t="s">
        <v>115</v>
      </c>
    </row>
    <row r="457" customFormat="false" ht="15" hidden="false" customHeight="true" outlineLevel="0" collapsed="false">
      <c r="A457" s="5" t="n">
        <v>2803200</v>
      </c>
      <c r="B457" s="5" t="s">
        <v>568</v>
      </c>
      <c r="C457" s="5" t="s">
        <v>142</v>
      </c>
      <c r="D457" s="5" t="s">
        <v>143</v>
      </c>
      <c r="E457" s="5" t="s">
        <v>115</v>
      </c>
    </row>
    <row r="458" customFormat="false" ht="15" hidden="false" customHeight="true" outlineLevel="0" collapsed="false">
      <c r="A458" s="5" t="n">
        <v>2803300</v>
      </c>
      <c r="B458" s="5" t="s">
        <v>569</v>
      </c>
      <c r="C458" s="5" t="s">
        <v>142</v>
      </c>
      <c r="D458" s="5" t="s">
        <v>143</v>
      </c>
      <c r="E458" s="5" t="s">
        <v>115</v>
      </c>
    </row>
    <row r="459" customFormat="false" ht="15" hidden="false" customHeight="true" outlineLevel="0" collapsed="false">
      <c r="A459" s="5" t="n">
        <v>2803500</v>
      </c>
      <c r="B459" s="5" t="s">
        <v>570</v>
      </c>
      <c r="C459" s="5" t="s">
        <v>142</v>
      </c>
      <c r="D459" s="5" t="s">
        <v>143</v>
      </c>
      <c r="E459" s="5" t="s">
        <v>117</v>
      </c>
    </row>
    <row r="460" customFormat="false" ht="15" hidden="false" customHeight="true" outlineLevel="0" collapsed="false">
      <c r="A460" s="5" t="n">
        <v>2803600</v>
      </c>
      <c r="B460" s="5" t="s">
        <v>571</v>
      </c>
      <c r="C460" s="5" t="s">
        <v>142</v>
      </c>
      <c r="D460" s="5" t="s">
        <v>143</v>
      </c>
      <c r="E460" s="5" t="s">
        <v>117</v>
      </c>
    </row>
    <row r="461" customFormat="false" ht="15" hidden="false" customHeight="true" outlineLevel="0" collapsed="false">
      <c r="A461" s="5" t="n">
        <v>2803700</v>
      </c>
      <c r="B461" s="5" t="s">
        <v>572</v>
      </c>
      <c r="C461" s="5" t="s">
        <v>142</v>
      </c>
      <c r="D461" s="5" t="s">
        <v>143</v>
      </c>
      <c r="E461" s="5" t="s">
        <v>117</v>
      </c>
    </row>
    <row r="462" customFormat="false" ht="15" hidden="false" customHeight="true" outlineLevel="0" collapsed="false">
      <c r="A462" s="5" t="n">
        <v>2807800</v>
      </c>
      <c r="B462" s="5" t="s">
        <v>573</v>
      </c>
      <c r="C462" s="5" t="s">
        <v>142</v>
      </c>
      <c r="D462" s="5" t="s">
        <v>143</v>
      </c>
      <c r="E462" s="5" t="s">
        <v>167</v>
      </c>
    </row>
    <row r="463" customFormat="false" ht="15" hidden="false" customHeight="true" outlineLevel="0" collapsed="false">
      <c r="A463" s="5" t="n">
        <v>2808100</v>
      </c>
      <c r="B463" s="5" t="s">
        <v>574</v>
      </c>
      <c r="C463" s="5" t="s">
        <v>142</v>
      </c>
      <c r="D463" s="5" t="s">
        <v>143</v>
      </c>
      <c r="E463" s="5" t="s">
        <v>117</v>
      </c>
    </row>
    <row r="464" customFormat="false" ht="15" hidden="false" customHeight="true" outlineLevel="0" collapsed="false">
      <c r="A464" s="5" t="n">
        <v>2808200</v>
      </c>
      <c r="B464" s="5" t="s">
        <v>575</v>
      </c>
      <c r="C464" s="5" t="s">
        <v>142</v>
      </c>
      <c r="D464" s="5" t="s">
        <v>143</v>
      </c>
      <c r="E464" s="5" t="s">
        <v>117</v>
      </c>
    </row>
    <row r="465" customFormat="false" ht="15" hidden="false" customHeight="true" outlineLevel="0" collapsed="false">
      <c r="A465" s="5" t="n">
        <v>2812100</v>
      </c>
      <c r="B465" s="5" t="s">
        <v>576</v>
      </c>
      <c r="C465" s="5" t="s">
        <v>99</v>
      </c>
      <c r="D465" s="5" t="s">
        <v>114</v>
      </c>
      <c r="E465" s="5" t="s">
        <v>133</v>
      </c>
    </row>
    <row r="466" customFormat="false" ht="15" hidden="false" customHeight="true" outlineLevel="0" collapsed="false">
      <c r="A466" s="5" t="n">
        <v>2812200</v>
      </c>
      <c r="B466" s="5" t="s">
        <v>577</v>
      </c>
      <c r="C466" s="5" t="s">
        <v>99</v>
      </c>
      <c r="D466" s="5" t="s">
        <v>114</v>
      </c>
      <c r="E466" s="5" t="s">
        <v>133</v>
      </c>
    </row>
    <row r="467" customFormat="false" ht="15" hidden="false" customHeight="true" outlineLevel="0" collapsed="false">
      <c r="A467" s="5" t="n">
        <v>2812600</v>
      </c>
      <c r="B467" s="5" t="s">
        <v>578</v>
      </c>
      <c r="C467" s="5" t="s">
        <v>142</v>
      </c>
      <c r="D467" s="5" t="s">
        <v>143</v>
      </c>
      <c r="E467" s="5" t="s">
        <v>264</v>
      </c>
    </row>
    <row r="468" customFormat="false" ht="15" hidden="false" customHeight="true" outlineLevel="0" collapsed="false">
      <c r="A468" s="5" t="n">
        <v>2812700</v>
      </c>
      <c r="B468" s="5" t="s">
        <v>579</v>
      </c>
      <c r="C468" s="5" t="s">
        <v>142</v>
      </c>
      <c r="D468" s="5" t="s">
        <v>143</v>
      </c>
      <c r="E468" s="5" t="s">
        <v>264</v>
      </c>
    </row>
    <row r="469" customFormat="false" ht="15" hidden="false" customHeight="true" outlineLevel="0" collapsed="false">
      <c r="A469" s="5" t="n">
        <v>2812800</v>
      </c>
      <c r="B469" s="5" t="s">
        <v>580</v>
      </c>
      <c r="C469" s="5" t="s">
        <v>142</v>
      </c>
      <c r="D469" s="5" t="s">
        <v>143</v>
      </c>
      <c r="E469" s="5" t="s">
        <v>194</v>
      </c>
    </row>
    <row r="470" customFormat="false" ht="15" hidden="false" customHeight="true" outlineLevel="0" collapsed="false">
      <c r="A470" s="5" t="n">
        <v>2812900</v>
      </c>
      <c r="B470" s="5" t="s">
        <v>581</v>
      </c>
      <c r="C470" s="5" t="s">
        <v>142</v>
      </c>
      <c r="D470" s="5" t="s">
        <v>143</v>
      </c>
      <c r="E470" s="5" t="s">
        <v>194</v>
      </c>
    </row>
    <row r="471" customFormat="false" ht="15" hidden="false" customHeight="true" outlineLevel="0" collapsed="false">
      <c r="A471" s="5" t="n">
        <v>2813000</v>
      </c>
      <c r="B471" s="5" t="s">
        <v>582</v>
      </c>
      <c r="C471" s="5" t="s">
        <v>142</v>
      </c>
      <c r="D471" s="5" t="s">
        <v>143</v>
      </c>
      <c r="E471" s="5" t="s">
        <v>194</v>
      </c>
    </row>
    <row r="472" customFormat="false" ht="15" hidden="false" customHeight="true" outlineLevel="0" collapsed="false">
      <c r="A472" s="5" t="n">
        <v>2818300</v>
      </c>
      <c r="B472" s="5" t="s">
        <v>583</v>
      </c>
      <c r="C472" s="5" t="s">
        <v>142</v>
      </c>
      <c r="D472" s="5" t="s">
        <v>143</v>
      </c>
      <c r="E472" s="5" t="s">
        <v>194</v>
      </c>
    </row>
    <row r="473" customFormat="false" ht="15" hidden="false" customHeight="true" outlineLevel="0" collapsed="false">
      <c r="A473" s="5" t="n">
        <v>2818500</v>
      </c>
      <c r="B473" s="5" t="s">
        <v>584</v>
      </c>
      <c r="C473" s="5" t="s">
        <v>142</v>
      </c>
      <c r="D473" s="5" t="s">
        <v>143</v>
      </c>
      <c r="E473" s="5" t="s">
        <v>194</v>
      </c>
    </row>
    <row r="474" customFormat="false" ht="15" hidden="false" customHeight="true" outlineLevel="0" collapsed="false">
      <c r="A474" s="5" t="n">
        <v>2818600</v>
      </c>
      <c r="B474" s="5" t="s">
        <v>585</v>
      </c>
      <c r="C474" s="5" t="s">
        <v>142</v>
      </c>
      <c r="D474" s="5" t="s">
        <v>143</v>
      </c>
      <c r="E474" s="5" t="s">
        <v>194</v>
      </c>
    </row>
    <row r="475" customFormat="false" ht="15" hidden="false" customHeight="true" outlineLevel="0" collapsed="false">
      <c r="A475" s="5" t="n">
        <v>2854300</v>
      </c>
      <c r="B475" s="5" t="s">
        <v>586</v>
      </c>
      <c r="C475" s="5" t="s">
        <v>99</v>
      </c>
      <c r="D475" s="5" t="s">
        <v>124</v>
      </c>
      <c r="E475" s="5" t="s">
        <v>198</v>
      </c>
    </row>
    <row r="476" customFormat="false" ht="15" hidden="false" customHeight="true" outlineLevel="0" collapsed="false">
      <c r="A476" s="5" t="n">
        <v>2854400</v>
      </c>
      <c r="B476" s="5" t="s">
        <v>587</v>
      </c>
      <c r="C476" s="5" t="s">
        <v>99</v>
      </c>
      <c r="D476" s="5" t="s">
        <v>124</v>
      </c>
      <c r="E476" s="5" t="s">
        <v>198</v>
      </c>
    </row>
    <row r="477" customFormat="false" ht="15" hidden="false" customHeight="true" outlineLevel="0" collapsed="false">
      <c r="A477" s="5" t="n">
        <v>2854700</v>
      </c>
      <c r="B477" s="5" t="s">
        <v>588</v>
      </c>
      <c r="C477" s="5" t="s">
        <v>142</v>
      </c>
      <c r="D477" s="5" t="s">
        <v>283</v>
      </c>
      <c r="E477" s="5" t="s">
        <v>167</v>
      </c>
    </row>
    <row r="478" customFormat="false" ht="15" hidden="false" customHeight="true" outlineLevel="0" collapsed="false">
      <c r="A478" s="5" t="n">
        <v>2854900</v>
      </c>
      <c r="B478" s="5" t="s">
        <v>589</v>
      </c>
      <c r="C478" s="5" t="s">
        <v>142</v>
      </c>
      <c r="D478" s="5" t="s">
        <v>283</v>
      </c>
      <c r="E478" s="5" t="s">
        <v>167</v>
      </c>
    </row>
    <row r="479" customFormat="false" ht="15" hidden="false" customHeight="true" outlineLevel="0" collapsed="false">
      <c r="A479" s="5" t="n">
        <v>2855100</v>
      </c>
      <c r="B479" s="5" t="s">
        <v>590</v>
      </c>
      <c r="C479" s="5" t="s">
        <v>142</v>
      </c>
      <c r="D479" s="5" t="s">
        <v>283</v>
      </c>
      <c r="E479" s="5" t="s">
        <v>167</v>
      </c>
    </row>
    <row r="480" customFormat="false" ht="15" hidden="false" customHeight="true" outlineLevel="0" collapsed="false">
      <c r="A480" s="5" t="n">
        <v>2855200</v>
      </c>
      <c r="B480" s="5" t="s">
        <v>591</v>
      </c>
      <c r="C480" s="5" t="s">
        <v>142</v>
      </c>
      <c r="D480" s="5" t="s">
        <v>143</v>
      </c>
      <c r="E480" s="5" t="s">
        <v>194</v>
      </c>
    </row>
    <row r="481" customFormat="false" ht="15" hidden="false" customHeight="true" outlineLevel="0" collapsed="false">
      <c r="A481" s="5" t="n">
        <v>2855300</v>
      </c>
      <c r="B481" s="5" t="s">
        <v>592</v>
      </c>
      <c r="C481" s="5" t="s">
        <v>142</v>
      </c>
      <c r="D481" s="5" t="s">
        <v>143</v>
      </c>
      <c r="E481" s="5" t="s">
        <v>194</v>
      </c>
    </row>
    <row r="482" customFormat="false" ht="15" hidden="false" customHeight="true" outlineLevel="0" collapsed="false">
      <c r="A482" s="5" t="n">
        <v>2864000</v>
      </c>
      <c r="B482" s="5" t="s">
        <v>593</v>
      </c>
      <c r="C482" s="5" t="s">
        <v>99</v>
      </c>
      <c r="D482" s="5" t="s">
        <v>124</v>
      </c>
      <c r="E482" s="5" t="s">
        <v>198</v>
      </c>
    </row>
    <row r="483" customFormat="false" ht="15" hidden="false" customHeight="true" outlineLevel="0" collapsed="false">
      <c r="A483" s="5" t="n">
        <v>2864300</v>
      </c>
      <c r="B483" s="5" t="s">
        <v>594</v>
      </c>
      <c r="C483" s="5" t="s">
        <v>99</v>
      </c>
      <c r="D483" s="5" t="s">
        <v>100</v>
      </c>
      <c r="E483" s="5" t="s">
        <v>100</v>
      </c>
    </row>
    <row r="484" customFormat="false" ht="15" hidden="false" customHeight="true" outlineLevel="0" collapsed="false">
      <c r="A484" s="5" t="n">
        <v>2864400</v>
      </c>
      <c r="B484" s="5" t="s">
        <v>595</v>
      </c>
      <c r="C484" s="5" t="s">
        <v>99</v>
      </c>
      <c r="D484" s="5" t="s">
        <v>100</v>
      </c>
      <c r="E484" s="5" t="s">
        <v>100</v>
      </c>
    </row>
    <row r="485" customFormat="false" ht="15" hidden="false" customHeight="true" outlineLevel="0" collapsed="false">
      <c r="A485" s="5" t="n">
        <v>2864500</v>
      </c>
      <c r="B485" s="5" t="s">
        <v>596</v>
      </c>
      <c r="C485" s="5" t="s">
        <v>142</v>
      </c>
      <c r="D485" s="5" t="s">
        <v>143</v>
      </c>
      <c r="E485" s="5" t="s">
        <v>115</v>
      </c>
    </row>
    <row r="486" customFormat="false" ht="15" hidden="false" customHeight="true" outlineLevel="0" collapsed="false">
      <c r="A486" s="5" t="n">
        <v>2865200</v>
      </c>
      <c r="B486" s="5" t="s">
        <v>597</v>
      </c>
      <c r="C486" s="5" t="s">
        <v>142</v>
      </c>
      <c r="D486" s="5" t="s">
        <v>143</v>
      </c>
      <c r="E486" s="5" t="s">
        <v>117</v>
      </c>
    </row>
    <row r="487" customFormat="false" ht="15" hidden="false" customHeight="true" outlineLevel="0" collapsed="false">
      <c r="A487" s="5" t="n">
        <v>2865300</v>
      </c>
      <c r="B487" s="5" t="s">
        <v>598</v>
      </c>
      <c r="C487" s="5" t="s">
        <v>99</v>
      </c>
      <c r="D487" s="5" t="s">
        <v>114</v>
      </c>
      <c r="E487" s="5" t="s">
        <v>117</v>
      </c>
    </row>
    <row r="488" customFormat="false" ht="15" hidden="false" customHeight="true" outlineLevel="0" collapsed="false">
      <c r="A488" s="5" t="n">
        <v>2865400</v>
      </c>
      <c r="B488" s="5" t="s">
        <v>599</v>
      </c>
      <c r="C488" s="5" t="s">
        <v>142</v>
      </c>
      <c r="D488" s="5" t="s">
        <v>143</v>
      </c>
      <c r="E488" s="5" t="s">
        <v>117</v>
      </c>
    </row>
    <row r="489" customFormat="false" ht="15" hidden="false" customHeight="true" outlineLevel="0" collapsed="false">
      <c r="A489" s="5" t="n">
        <v>2865500</v>
      </c>
      <c r="B489" s="5" t="s">
        <v>600</v>
      </c>
      <c r="C489" s="5" t="s">
        <v>142</v>
      </c>
      <c r="D489" s="5" t="s">
        <v>143</v>
      </c>
      <c r="E489" s="5" t="s">
        <v>117</v>
      </c>
    </row>
    <row r="490" customFormat="false" ht="15" hidden="false" customHeight="true" outlineLevel="0" collapsed="false">
      <c r="A490" s="5" t="n">
        <v>2900600</v>
      </c>
      <c r="B490" s="5" t="s">
        <v>601</v>
      </c>
      <c r="C490" s="5" t="s">
        <v>99</v>
      </c>
      <c r="D490" s="5" t="s">
        <v>114</v>
      </c>
      <c r="E490" s="5" t="s">
        <v>128</v>
      </c>
    </row>
    <row r="491" customFormat="false" ht="15" hidden="false" customHeight="true" outlineLevel="0" collapsed="false">
      <c r="A491" s="5" t="n">
        <v>2900700</v>
      </c>
      <c r="B491" s="5" t="s">
        <v>602</v>
      </c>
      <c r="C491" s="5" t="s">
        <v>99</v>
      </c>
      <c r="D491" s="5" t="s">
        <v>114</v>
      </c>
      <c r="E491" s="5" t="s">
        <v>128</v>
      </c>
    </row>
    <row r="492" customFormat="false" ht="15" hidden="false" customHeight="true" outlineLevel="0" collapsed="false">
      <c r="A492" s="5" t="n">
        <v>2900800</v>
      </c>
      <c r="B492" s="5" t="s">
        <v>603</v>
      </c>
      <c r="C492" s="5" t="s">
        <v>99</v>
      </c>
      <c r="D492" s="5" t="s">
        <v>114</v>
      </c>
      <c r="E492" s="5" t="s">
        <v>128</v>
      </c>
    </row>
    <row r="493" customFormat="false" ht="15" hidden="false" customHeight="true" outlineLevel="0" collapsed="false">
      <c r="A493" s="5" t="n">
        <v>2900900</v>
      </c>
      <c r="B493" s="5" t="s">
        <v>604</v>
      </c>
      <c r="C493" s="5" t="s">
        <v>99</v>
      </c>
      <c r="D493" s="5" t="s">
        <v>114</v>
      </c>
      <c r="E493" s="5" t="s">
        <v>128</v>
      </c>
    </row>
    <row r="494" customFormat="false" ht="15" hidden="false" customHeight="true" outlineLevel="0" collapsed="false">
      <c r="A494" s="5" t="n">
        <v>2901400</v>
      </c>
      <c r="B494" s="5" t="s">
        <v>605</v>
      </c>
      <c r="C494" s="5" t="s">
        <v>99</v>
      </c>
      <c r="D494" s="5" t="s">
        <v>114</v>
      </c>
      <c r="E494" s="5" t="s">
        <v>128</v>
      </c>
    </row>
    <row r="495" customFormat="false" ht="15" hidden="false" customHeight="true" outlineLevel="0" collapsed="false">
      <c r="A495" s="5" t="n">
        <v>2901500</v>
      </c>
      <c r="B495" s="5" t="s">
        <v>606</v>
      </c>
      <c r="C495" s="5" t="s">
        <v>99</v>
      </c>
      <c r="D495" s="5" t="s">
        <v>114</v>
      </c>
      <c r="E495" s="5" t="s">
        <v>128</v>
      </c>
    </row>
    <row r="496" customFormat="false" ht="15" hidden="false" customHeight="true" outlineLevel="0" collapsed="false">
      <c r="A496" s="5" t="n">
        <v>2902100</v>
      </c>
      <c r="B496" s="5" t="s">
        <v>607</v>
      </c>
      <c r="C496" s="5" t="s">
        <v>99</v>
      </c>
      <c r="D496" s="5" t="s">
        <v>124</v>
      </c>
      <c r="E496" s="5" t="s">
        <v>198</v>
      </c>
    </row>
    <row r="497" customFormat="false" ht="15" hidden="false" customHeight="true" outlineLevel="0" collapsed="false">
      <c r="A497" s="5" t="n">
        <v>2902200</v>
      </c>
      <c r="B497" s="5" t="s">
        <v>608</v>
      </c>
      <c r="C497" s="5" t="s">
        <v>99</v>
      </c>
      <c r="D497" s="5" t="s">
        <v>124</v>
      </c>
      <c r="E497" s="5" t="s">
        <v>198</v>
      </c>
    </row>
    <row r="498" customFormat="false" ht="15" hidden="false" customHeight="true" outlineLevel="0" collapsed="false">
      <c r="A498" s="5" t="n">
        <v>2902300</v>
      </c>
      <c r="B498" s="5" t="s">
        <v>609</v>
      </c>
      <c r="C498" s="5" t="s">
        <v>99</v>
      </c>
      <c r="D498" s="5" t="s">
        <v>124</v>
      </c>
      <c r="E498" s="5" t="s">
        <v>198</v>
      </c>
    </row>
    <row r="499" customFormat="false" ht="15" hidden="false" customHeight="true" outlineLevel="0" collapsed="false">
      <c r="A499" s="5" t="n">
        <v>2902400</v>
      </c>
      <c r="B499" s="5" t="s">
        <v>610</v>
      </c>
      <c r="C499" s="5" t="s">
        <v>99</v>
      </c>
      <c r="D499" s="5" t="s">
        <v>114</v>
      </c>
      <c r="E499" s="5" t="s">
        <v>133</v>
      </c>
    </row>
    <row r="500" customFormat="false" ht="15" hidden="false" customHeight="true" outlineLevel="0" collapsed="false">
      <c r="A500" s="5" t="n">
        <v>2902500</v>
      </c>
      <c r="B500" s="5" t="s">
        <v>611</v>
      </c>
      <c r="C500" s="5" t="s">
        <v>99</v>
      </c>
      <c r="D500" s="5" t="s">
        <v>114</v>
      </c>
      <c r="E500" s="5" t="s">
        <v>133</v>
      </c>
    </row>
    <row r="501" customFormat="false" ht="15" hidden="false" customHeight="true" outlineLevel="0" collapsed="false">
      <c r="A501" s="5" t="n">
        <v>2902700</v>
      </c>
      <c r="B501" s="5" t="s">
        <v>612</v>
      </c>
      <c r="C501" s="5" t="s">
        <v>99</v>
      </c>
      <c r="D501" s="5" t="s">
        <v>100</v>
      </c>
      <c r="E501" s="5" t="s">
        <v>100</v>
      </c>
    </row>
    <row r="502" customFormat="false" ht="15" hidden="false" customHeight="true" outlineLevel="0" collapsed="false">
      <c r="A502" s="5" t="n">
        <v>2902800</v>
      </c>
      <c r="B502" s="5" t="s">
        <v>613</v>
      </c>
      <c r="C502" s="5" t="s">
        <v>99</v>
      </c>
      <c r="D502" s="5" t="s">
        <v>124</v>
      </c>
      <c r="E502" s="5" t="s">
        <v>198</v>
      </c>
    </row>
    <row r="503" customFormat="false" ht="15" hidden="false" customHeight="true" outlineLevel="0" collapsed="false">
      <c r="A503" s="5" t="n">
        <v>2902900</v>
      </c>
      <c r="B503" s="5" t="s">
        <v>614</v>
      </c>
      <c r="C503" s="5" t="s">
        <v>99</v>
      </c>
      <c r="D503" s="5" t="s">
        <v>124</v>
      </c>
      <c r="E503" s="5" t="s">
        <v>125</v>
      </c>
    </row>
    <row r="504" customFormat="false" ht="15" hidden="false" customHeight="true" outlineLevel="0" collapsed="false">
      <c r="A504" s="5" t="n">
        <v>2903000</v>
      </c>
      <c r="B504" s="5" t="s">
        <v>615</v>
      </c>
      <c r="C504" s="5" t="s">
        <v>99</v>
      </c>
      <c r="D504" s="5" t="s">
        <v>124</v>
      </c>
      <c r="E504" s="5" t="s">
        <v>125</v>
      </c>
    </row>
    <row r="505" customFormat="false" ht="15" hidden="false" customHeight="true" outlineLevel="0" collapsed="false">
      <c r="A505" s="5" t="n">
        <v>2903100</v>
      </c>
      <c r="B505" s="5" t="s">
        <v>616</v>
      </c>
      <c r="C505" s="5" t="s">
        <v>99</v>
      </c>
      <c r="D505" s="5" t="s">
        <v>124</v>
      </c>
      <c r="E505" s="5" t="s">
        <v>125</v>
      </c>
    </row>
    <row r="506" customFormat="false" ht="15" hidden="false" customHeight="true" outlineLevel="0" collapsed="false">
      <c r="A506" s="5" t="n">
        <v>2903200</v>
      </c>
      <c r="B506" s="5" t="s">
        <v>617</v>
      </c>
      <c r="C506" s="5" t="s">
        <v>99</v>
      </c>
      <c r="D506" s="5" t="s">
        <v>124</v>
      </c>
      <c r="E506" s="5" t="s">
        <v>125</v>
      </c>
    </row>
    <row r="507" customFormat="false" ht="15" hidden="false" customHeight="true" outlineLevel="0" collapsed="false">
      <c r="A507" s="5" t="n">
        <v>2903300</v>
      </c>
      <c r="B507" s="5" t="s">
        <v>618</v>
      </c>
      <c r="C507" s="5" t="s">
        <v>99</v>
      </c>
      <c r="D507" s="5" t="s">
        <v>124</v>
      </c>
      <c r="E507" s="5" t="s">
        <v>125</v>
      </c>
    </row>
    <row r="508" customFormat="false" ht="15" hidden="false" customHeight="true" outlineLevel="0" collapsed="false">
      <c r="A508" s="5" t="n">
        <v>2903400</v>
      </c>
      <c r="B508" s="5" t="s">
        <v>619</v>
      </c>
      <c r="C508" s="5" t="s">
        <v>99</v>
      </c>
      <c r="D508" s="5" t="s">
        <v>124</v>
      </c>
      <c r="E508" s="5" t="s">
        <v>125</v>
      </c>
    </row>
    <row r="509" customFormat="false" ht="15" hidden="false" customHeight="true" outlineLevel="0" collapsed="false">
      <c r="A509" s="5" t="n">
        <v>2903500</v>
      </c>
      <c r="B509" s="5" t="s">
        <v>620</v>
      </c>
      <c r="C509" s="5" t="s">
        <v>99</v>
      </c>
      <c r="D509" s="5" t="s">
        <v>124</v>
      </c>
      <c r="E509" s="5" t="s">
        <v>198</v>
      </c>
    </row>
    <row r="510" customFormat="false" ht="15" hidden="false" customHeight="true" outlineLevel="0" collapsed="false">
      <c r="A510" s="5" t="n">
        <v>2906900</v>
      </c>
      <c r="B510" s="5" t="s">
        <v>621</v>
      </c>
      <c r="C510" s="5" t="s">
        <v>142</v>
      </c>
      <c r="D510" s="5" t="s">
        <v>143</v>
      </c>
      <c r="E510" s="5" t="s">
        <v>264</v>
      </c>
    </row>
    <row r="511" customFormat="false" ht="15" hidden="false" customHeight="true" outlineLevel="0" collapsed="false">
      <c r="A511" s="5" t="n">
        <v>2907000</v>
      </c>
      <c r="B511" s="5" t="s">
        <v>622</v>
      </c>
      <c r="C511" s="5" t="s">
        <v>142</v>
      </c>
      <c r="D511" s="5" t="s">
        <v>143</v>
      </c>
      <c r="E511" s="5" t="s">
        <v>264</v>
      </c>
    </row>
    <row r="512" customFormat="false" ht="15" hidden="false" customHeight="true" outlineLevel="0" collapsed="false">
      <c r="A512" s="5" t="n">
        <v>2907100</v>
      </c>
      <c r="B512" s="5" t="s">
        <v>623</v>
      </c>
      <c r="C512" s="5" t="s">
        <v>142</v>
      </c>
      <c r="D512" s="5" t="s">
        <v>143</v>
      </c>
      <c r="E512" s="5" t="s">
        <v>264</v>
      </c>
    </row>
    <row r="513" customFormat="false" ht="15" hidden="false" customHeight="true" outlineLevel="0" collapsed="false">
      <c r="A513" s="5" t="n">
        <v>2907300</v>
      </c>
      <c r="B513" s="5" t="s">
        <v>624</v>
      </c>
      <c r="C513" s="5" t="s">
        <v>142</v>
      </c>
      <c r="D513" s="5" t="s">
        <v>143</v>
      </c>
      <c r="E513" s="5" t="s">
        <v>264</v>
      </c>
    </row>
    <row r="514" customFormat="false" ht="15" hidden="false" customHeight="true" outlineLevel="0" collapsed="false">
      <c r="A514" s="5" t="n">
        <v>2907400</v>
      </c>
      <c r="B514" s="5" t="s">
        <v>625</v>
      </c>
      <c r="C514" s="5" t="s">
        <v>142</v>
      </c>
      <c r="D514" s="5" t="s">
        <v>143</v>
      </c>
      <c r="E514" s="5" t="s">
        <v>264</v>
      </c>
    </row>
    <row r="515" customFormat="false" ht="15" hidden="false" customHeight="true" outlineLevel="0" collapsed="false">
      <c r="A515" s="5" t="n">
        <v>2907500</v>
      </c>
      <c r="B515" s="5" t="s">
        <v>626</v>
      </c>
      <c r="C515" s="5" t="s">
        <v>142</v>
      </c>
      <c r="D515" s="5" t="s">
        <v>143</v>
      </c>
      <c r="E515" s="5" t="s">
        <v>264</v>
      </c>
    </row>
    <row r="516" customFormat="false" ht="15" hidden="false" customHeight="true" outlineLevel="0" collapsed="false">
      <c r="A516" s="5" t="n">
        <v>2907600</v>
      </c>
      <c r="B516" s="5" t="s">
        <v>627</v>
      </c>
      <c r="C516" s="5" t="s">
        <v>142</v>
      </c>
      <c r="D516" s="5" t="s">
        <v>143</v>
      </c>
      <c r="E516" s="5" t="s">
        <v>167</v>
      </c>
    </row>
    <row r="517" customFormat="false" ht="15" hidden="false" customHeight="true" outlineLevel="0" collapsed="false">
      <c r="A517" s="5" t="n">
        <v>2911000</v>
      </c>
      <c r="B517" s="5" t="s">
        <v>628</v>
      </c>
      <c r="C517" s="5" t="s">
        <v>99</v>
      </c>
      <c r="D517" s="5" t="s">
        <v>100</v>
      </c>
      <c r="E517" s="5" t="s">
        <v>100</v>
      </c>
    </row>
    <row r="518" customFormat="false" ht="15" hidden="false" customHeight="true" outlineLevel="0" collapsed="false">
      <c r="A518" s="5" t="n">
        <v>2911200</v>
      </c>
      <c r="B518" s="5" t="s">
        <v>629</v>
      </c>
      <c r="C518" s="5" t="s">
        <v>99</v>
      </c>
      <c r="D518" s="5" t="s">
        <v>100</v>
      </c>
      <c r="E518" s="5" t="s">
        <v>100</v>
      </c>
    </row>
    <row r="519" customFormat="false" ht="15" hidden="false" customHeight="true" outlineLevel="0" collapsed="false">
      <c r="A519" s="5" t="n">
        <v>2911300</v>
      </c>
      <c r="B519" s="5" t="s">
        <v>630</v>
      </c>
      <c r="C519" s="5" t="s">
        <v>99</v>
      </c>
      <c r="D519" s="5" t="s">
        <v>100</v>
      </c>
      <c r="E519" s="5" t="s">
        <v>100</v>
      </c>
    </row>
    <row r="520" customFormat="false" ht="15" hidden="false" customHeight="true" outlineLevel="0" collapsed="false">
      <c r="A520" s="5" t="n">
        <v>2911400</v>
      </c>
      <c r="B520" s="5" t="s">
        <v>631</v>
      </c>
      <c r="C520" s="5" t="s">
        <v>99</v>
      </c>
      <c r="D520" s="5" t="s">
        <v>100</v>
      </c>
      <c r="E520" s="5" t="s">
        <v>100</v>
      </c>
    </row>
    <row r="521" customFormat="false" ht="15" hidden="false" customHeight="true" outlineLevel="0" collapsed="false">
      <c r="A521" s="5" t="n">
        <v>2911500</v>
      </c>
      <c r="B521" s="5" t="s">
        <v>632</v>
      </c>
      <c r="C521" s="5" t="s">
        <v>99</v>
      </c>
      <c r="D521" s="5" t="s">
        <v>100</v>
      </c>
      <c r="E521" s="5" t="s">
        <v>100</v>
      </c>
    </row>
    <row r="522" customFormat="false" ht="15" hidden="false" customHeight="true" outlineLevel="0" collapsed="false">
      <c r="A522" s="5" t="n">
        <v>2911700</v>
      </c>
      <c r="B522" s="5" t="s">
        <v>633</v>
      </c>
      <c r="C522" s="5" t="s">
        <v>99</v>
      </c>
      <c r="D522" s="5" t="s">
        <v>100</v>
      </c>
      <c r="E522" s="5" t="s">
        <v>100</v>
      </c>
    </row>
    <row r="523" customFormat="false" ht="15" hidden="false" customHeight="true" outlineLevel="0" collapsed="false">
      <c r="A523" s="5" t="n">
        <v>2919800</v>
      </c>
      <c r="B523" s="5" t="s">
        <v>634</v>
      </c>
      <c r="C523" s="5" t="s">
        <v>142</v>
      </c>
      <c r="D523" s="5" t="s">
        <v>143</v>
      </c>
      <c r="E523" s="5" t="s">
        <v>117</v>
      </c>
    </row>
    <row r="524" customFormat="false" ht="15" hidden="false" customHeight="true" outlineLevel="0" collapsed="false">
      <c r="A524" s="5" t="n">
        <v>2919900</v>
      </c>
      <c r="B524" s="5" t="s">
        <v>635</v>
      </c>
      <c r="C524" s="5" t="s">
        <v>142</v>
      </c>
      <c r="D524" s="5" t="s">
        <v>143</v>
      </c>
      <c r="E524" s="5" t="s">
        <v>117</v>
      </c>
    </row>
    <row r="525" customFormat="false" ht="15" hidden="false" customHeight="true" outlineLevel="0" collapsed="false">
      <c r="A525" s="5" t="n">
        <v>2924900</v>
      </c>
      <c r="B525" s="5" t="s">
        <v>636</v>
      </c>
      <c r="C525" s="5" t="s">
        <v>99</v>
      </c>
      <c r="D525" s="5" t="s">
        <v>124</v>
      </c>
      <c r="E525" s="5" t="s">
        <v>125</v>
      </c>
    </row>
    <row r="526" customFormat="false" ht="15" hidden="false" customHeight="true" outlineLevel="0" collapsed="false">
      <c r="A526" s="5" t="n">
        <v>2925000</v>
      </c>
      <c r="B526" s="5" t="s">
        <v>637</v>
      </c>
      <c r="C526" s="5" t="s">
        <v>99</v>
      </c>
      <c r="D526" s="5" t="s">
        <v>124</v>
      </c>
      <c r="E526" s="5" t="s">
        <v>125</v>
      </c>
    </row>
    <row r="527" customFormat="false" ht="15" hidden="false" customHeight="true" outlineLevel="0" collapsed="false">
      <c r="A527" s="5" t="n">
        <v>2925100</v>
      </c>
      <c r="B527" s="5" t="s">
        <v>638</v>
      </c>
      <c r="C527" s="5" t="s">
        <v>99</v>
      </c>
      <c r="D527" s="5" t="s">
        <v>114</v>
      </c>
      <c r="E527" s="5" t="s">
        <v>115</v>
      </c>
    </row>
    <row r="528" customFormat="false" ht="15" hidden="false" customHeight="true" outlineLevel="0" collapsed="false">
      <c r="A528" s="5" t="n">
        <v>2925200</v>
      </c>
      <c r="B528" s="5" t="s">
        <v>639</v>
      </c>
      <c r="C528" s="5" t="s">
        <v>99</v>
      </c>
      <c r="D528" s="5" t="s">
        <v>114</v>
      </c>
      <c r="E528" s="5" t="s">
        <v>115</v>
      </c>
    </row>
    <row r="529" customFormat="false" ht="15" hidden="false" customHeight="true" outlineLevel="0" collapsed="false">
      <c r="A529" s="5" t="n">
        <v>2925300</v>
      </c>
      <c r="B529" s="5" t="s">
        <v>640</v>
      </c>
      <c r="C529" s="5" t="s">
        <v>99</v>
      </c>
      <c r="D529" s="5" t="s">
        <v>124</v>
      </c>
      <c r="E529" s="5" t="s">
        <v>198</v>
      </c>
    </row>
    <row r="530" customFormat="false" ht="15" hidden="false" customHeight="true" outlineLevel="0" collapsed="false">
      <c r="A530" s="5" t="n">
        <v>2925400</v>
      </c>
      <c r="B530" s="5" t="s">
        <v>641</v>
      </c>
      <c r="C530" s="5" t="s">
        <v>99</v>
      </c>
      <c r="D530" s="5" t="s">
        <v>124</v>
      </c>
      <c r="E530" s="5" t="s">
        <v>198</v>
      </c>
    </row>
    <row r="531" customFormat="false" ht="15" hidden="false" customHeight="true" outlineLevel="0" collapsed="false">
      <c r="A531" s="5" t="n">
        <v>2925500</v>
      </c>
      <c r="B531" s="5" t="s">
        <v>642</v>
      </c>
      <c r="C531" s="5" t="s">
        <v>99</v>
      </c>
      <c r="D531" s="5" t="s">
        <v>124</v>
      </c>
      <c r="E531" s="5" t="s">
        <v>198</v>
      </c>
    </row>
    <row r="532" customFormat="false" ht="15" hidden="false" customHeight="true" outlineLevel="0" collapsed="false">
      <c r="A532" s="5" t="n">
        <v>2925600</v>
      </c>
      <c r="B532" s="5" t="s">
        <v>643</v>
      </c>
      <c r="C532" s="5" t="s">
        <v>99</v>
      </c>
      <c r="D532" s="5" t="s">
        <v>124</v>
      </c>
      <c r="E532" s="5" t="s">
        <v>198</v>
      </c>
    </row>
    <row r="533" customFormat="false" ht="15" hidden="false" customHeight="true" outlineLevel="0" collapsed="false">
      <c r="A533" s="5" t="n">
        <v>2925700</v>
      </c>
      <c r="B533" s="5" t="s">
        <v>644</v>
      </c>
      <c r="C533" s="5" t="s">
        <v>99</v>
      </c>
      <c r="D533" s="5" t="s">
        <v>124</v>
      </c>
      <c r="E533" s="5" t="s">
        <v>198</v>
      </c>
    </row>
    <row r="534" customFormat="false" ht="15" hidden="false" customHeight="true" outlineLevel="0" collapsed="false">
      <c r="A534" s="5" t="n">
        <v>2925800</v>
      </c>
      <c r="B534" s="5" t="s">
        <v>645</v>
      </c>
      <c r="C534" s="5" t="s">
        <v>99</v>
      </c>
      <c r="D534" s="5" t="s">
        <v>100</v>
      </c>
      <c r="E534" s="5" t="s">
        <v>100</v>
      </c>
    </row>
    <row r="535" customFormat="false" ht="15" hidden="false" customHeight="true" outlineLevel="0" collapsed="false">
      <c r="A535" s="5" t="n">
        <v>3000000</v>
      </c>
      <c r="B535" s="5" t="s">
        <v>646</v>
      </c>
      <c r="C535" s="5" t="s">
        <v>99</v>
      </c>
      <c r="D535" s="5" t="s">
        <v>124</v>
      </c>
      <c r="E535" s="5" t="s">
        <v>198</v>
      </c>
    </row>
    <row r="536" customFormat="false" ht="15" hidden="false" customHeight="true" outlineLevel="0" collapsed="false">
      <c r="A536" s="5" t="n">
        <v>3000100</v>
      </c>
      <c r="B536" s="5" t="s">
        <v>647</v>
      </c>
      <c r="C536" s="5" t="s">
        <v>99</v>
      </c>
      <c r="D536" s="5" t="s">
        <v>124</v>
      </c>
      <c r="E536" s="5" t="s">
        <v>198</v>
      </c>
    </row>
    <row r="537" customFormat="false" ht="15" hidden="false" customHeight="true" outlineLevel="0" collapsed="false">
      <c r="A537" s="5" t="n">
        <v>3042700</v>
      </c>
      <c r="B537" s="5" t="s">
        <v>648</v>
      </c>
      <c r="C537" s="5" t="s">
        <v>99</v>
      </c>
      <c r="D537" s="5" t="s">
        <v>124</v>
      </c>
      <c r="E537" s="5" t="s">
        <v>198</v>
      </c>
    </row>
    <row r="538" customFormat="false" ht="15" hidden="false" customHeight="true" outlineLevel="0" collapsed="false">
      <c r="A538" s="5" t="n">
        <v>3042900</v>
      </c>
      <c r="B538" s="5" t="s">
        <v>649</v>
      </c>
      <c r="C538" s="5" t="s">
        <v>142</v>
      </c>
      <c r="D538" s="5" t="s">
        <v>143</v>
      </c>
      <c r="E538" s="5" t="s">
        <v>167</v>
      </c>
    </row>
    <row r="539" customFormat="false" ht="15" hidden="false" customHeight="true" outlineLevel="0" collapsed="false">
      <c r="A539" s="5" t="n">
        <v>3078300</v>
      </c>
      <c r="B539" s="5" t="s">
        <v>650</v>
      </c>
      <c r="C539" s="5" t="s">
        <v>99</v>
      </c>
      <c r="D539" s="5" t="s">
        <v>124</v>
      </c>
      <c r="E539" s="5" t="s">
        <v>198</v>
      </c>
    </row>
    <row r="540" customFormat="false" ht="15" hidden="false" customHeight="true" outlineLevel="0" collapsed="false">
      <c r="A540" s="5" t="n">
        <v>3078500</v>
      </c>
      <c r="B540" s="5" t="s">
        <v>651</v>
      </c>
      <c r="C540" s="5" t="s">
        <v>99</v>
      </c>
      <c r="D540" s="5" t="s">
        <v>114</v>
      </c>
      <c r="E540" s="5" t="s">
        <v>152</v>
      </c>
    </row>
    <row r="541" customFormat="false" ht="15" hidden="false" customHeight="true" outlineLevel="0" collapsed="false">
      <c r="A541" s="5" t="n">
        <v>3078600</v>
      </c>
      <c r="B541" s="5" t="s">
        <v>652</v>
      </c>
      <c r="C541" s="5" t="s">
        <v>99</v>
      </c>
      <c r="D541" s="5" t="s">
        <v>114</v>
      </c>
      <c r="E541" s="5" t="s">
        <v>115</v>
      </c>
    </row>
    <row r="542" customFormat="false" ht="15" hidden="false" customHeight="true" outlineLevel="0" collapsed="false">
      <c r="A542" s="5" t="n">
        <v>3079800</v>
      </c>
      <c r="B542" s="5" t="s">
        <v>653</v>
      </c>
      <c r="C542" s="5" t="s">
        <v>99</v>
      </c>
      <c r="D542" s="5" t="s">
        <v>114</v>
      </c>
      <c r="E542" s="5" t="s">
        <v>115</v>
      </c>
    </row>
    <row r="543" customFormat="false" ht="15" hidden="false" customHeight="true" outlineLevel="0" collapsed="false">
      <c r="A543" s="5" t="n">
        <v>3079900</v>
      </c>
      <c r="B543" s="5" t="s">
        <v>654</v>
      </c>
      <c r="C543" s="5" t="s">
        <v>142</v>
      </c>
      <c r="D543" s="5" t="s">
        <v>283</v>
      </c>
      <c r="E543" s="5" t="s">
        <v>115</v>
      </c>
    </row>
    <row r="544" customFormat="false" ht="15" hidden="false" customHeight="true" outlineLevel="0" collapsed="false">
      <c r="A544" s="5" t="n">
        <v>3106800</v>
      </c>
      <c r="B544" s="5" t="s">
        <v>655</v>
      </c>
      <c r="C544" s="5" t="s">
        <v>142</v>
      </c>
      <c r="D544" s="5" t="s">
        <v>143</v>
      </c>
      <c r="E544" s="5" t="s">
        <v>264</v>
      </c>
    </row>
    <row r="545" customFormat="false" ht="15" hidden="false" customHeight="true" outlineLevel="0" collapsed="false">
      <c r="A545" s="5" t="n">
        <v>3106900</v>
      </c>
      <c r="B545" s="5" t="s">
        <v>656</v>
      </c>
      <c r="C545" s="5" t="s">
        <v>142</v>
      </c>
      <c r="D545" s="5" t="s">
        <v>143</v>
      </c>
      <c r="E545" s="5" t="s">
        <v>194</v>
      </c>
    </row>
    <row r="546" customFormat="false" ht="15" hidden="false" customHeight="true" outlineLevel="0" collapsed="false">
      <c r="A546" s="5" t="n">
        <v>3107000</v>
      </c>
      <c r="B546" s="5" t="s">
        <v>657</v>
      </c>
      <c r="C546" s="5" t="s">
        <v>142</v>
      </c>
      <c r="D546" s="5" t="s">
        <v>143</v>
      </c>
      <c r="E546" s="5" t="s">
        <v>194</v>
      </c>
    </row>
    <row r="547" customFormat="false" ht="15" hidden="false" customHeight="true" outlineLevel="0" collapsed="false">
      <c r="A547" s="5" t="n">
        <v>3107100</v>
      </c>
      <c r="B547" s="5" t="s">
        <v>658</v>
      </c>
      <c r="C547" s="5" t="s">
        <v>142</v>
      </c>
      <c r="D547" s="5" t="s">
        <v>143</v>
      </c>
      <c r="E547" s="5" t="s">
        <v>194</v>
      </c>
    </row>
    <row r="548" customFormat="false" ht="15" hidden="false" customHeight="true" outlineLevel="0" collapsed="false">
      <c r="A548" s="5" t="n">
        <v>3107300</v>
      </c>
      <c r="B548" s="5" t="s">
        <v>659</v>
      </c>
      <c r="C548" s="5" t="s">
        <v>99</v>
      </c>
      <c r="D548" s="5" t="s">
        <v>124</v>
      </c>
      <c r="E548" s="5" t="s">
        <v>198</v>
      </c>
    </row>
    <row r="549" customFormat="false" ht="15" hidden="false" customHeight="true" outlineLevel="0" collapsed="false">
      <c r="A549" s="5" t="n">
        <v>3107400</v>
      </c>
      <c r="B549" s="5" t="s">
        <v>660</v>
      </c>
      <c r="C549" s="5" t="s">
        <v>99</v>
      </c>
      <c r="D549" s="5" t="s">
        <v>114</v>
      </c>
      <c r="E549" s="5" t="s">
        <v>128</v>
      </c>
    </row>
    <row r="550" customFormat="false" ht="15" hidden="false" customHeight="true" outlineLevel="0" collapsed="false">
      <c r="A550" s="5" t="n">
        <v>3107800</v>
      </c>
      <c r="B550" s="5" t="s">
        <v>661</v>
      </c>
      <c r="C550" s="5" t="s">
        <v>99</v>
      </c>
      <c r="D550" s="5" t="s">
        <v>114</v>
      </c>
      <c r="E550" s="5" t="s">
        <v>128</v>
      </c>
    </row>
    <row r="551" customFormat="false" ht="15" hidden="false" customHeight="true" outlineLevel="0" collapsed="false">
      <c r="A551" s="5" t="n">
        <v>3107900</v>
      </c>
      <c r="B551" s="5" t="s">
        <v>662</v>
      </c>
      <c r="C551" s="5" t="s">
        <v>99</v>
      </c>
      <c r="D551" s="5" t="s">
        <v>114</v>
      </c>
      <c r="E551" s="5" t="s">
        <v>128</v>
      </c>
    </row>
    <row r="552" customFormat="false" ht="15" hidden="false" customHeight="true" outlineLevel="0" collapsed="false">
      <c r="A552" s="5" t="n">
        <v>3111200</v>
      </c>
      <c r="B552" s="5" t="s">
        <v>663</v>
      </c>
      <c r="C552" s="5" t="s">
        <v>142</v>
      </c>
      <c r="D552" s="5" t="s">
        <v>143</v>
      </c>
      <c r="E552" s="5" t="s">
        <v>172</v>
      </c>
    </row>
    <row r="553" customFormat="false" ht="15" hidden="false" customHeight="true" outlineLevel="0" collapsed="false">
      <c r="A553" s="5" t="n">
        <v>3111300</v>
      </c>
      <c r="B553" s="5" t="s">
        <v>664</v>
      </c>
      <c r="C553" s="5" t="s">
        <v>142</v>
      </c>
      <c r="D553" s="5" t="s">
        <v>143</v>
      </c>
      <c r="E553" s="5" t="s">
        <v>172</v>
      </c>
    </row>
    <row r="554" customFormat="false" ht="15" hidden="false" customHeight="true" outlineLevel="0" collapsed="false">
      <c r="A554" s="5" t="n">
        <v>3111400</v>
      </c>
      <c r="B554" s="5" t="s">
        <v>665</v>
      </c>
      <c r="C554" s="5" t="s">
        <v>142</v>
      </c>
      <c r="D554" s="5" t="s">
        <v>143</v>
      </c>
      <c r="E554" s="5" t="s">
        <v>172</v>
      </c>
    </row>
    <row r="555" customFormat="false" ht="15" hidden="false" customHeight="true" outlineLevel="0" collapsed="false">
      <c r="A555" s="5" t="n">
        <v>3111500</v>
      </c>
      <c r="B555" s="5" t="s">
        <v>666</v>
      </c>
      <c r="C555" s="5" t="s">
        <v>142</v>
      </c>
      <c r="D555" s="5" t="s">
        <v>143</v>
      </c>
      <c r="E555" s="5" t="s">
        <v>172</v>
      </c>
    </row>
    <row r="556" customFormat="false" ht="15" hidden="false" customHeight="true" outlineLevel="0" collapsed="false">
      <c r="A556" s="5" t="n">
        <v>3111600</v>
      </c>
      <c r="B556" s="5" t="s">
        <v>667</v>
      </c>
      <c r="C556" s="5" t="s">
        <v>142</v>
      </c>
      <c r="D556" s="5" t="s">
        <v>143</v>
      </c>
      <c r="E556" s="5" t="s">
        <v>172</v>
      </c>
    </row>
    <row r="557" customFormat="false" ht="15" hidden="false" customHeight="true" outlineLevel="0" collapsed="false">
      <c r="A557" s="5" t="n">
        <v>3111700</v>
      </c>
      <c r="B557" s="5" t="s">
        <v>668</v>
      </c>
      <c r="C557" s="5" t="s">
        <v>142</v>
      </c>
      <c r="D557" s="5" t="s">
        <v>143</v>
      </c>
      <c r="E557" s="5" t="s">
        <v>172</v>
      </c>
    </row>
    <row r="558" customFormat="false" ht="15" hidden="false" customHeight="true" outlineLevel="0" collapsed="false">
      <c r="A558" s="5" t="n">
        <v>3111800</v>
      </c>
      <c r="B558" s="5" t="s">
        <v>669</v>
      </c>
      <c r="C558" s="5" t="s">
        <v>142</v>
      </c>
      <c r="D558" s="5" t="s">
        <v>143</v>
      </c>
      <c r="E558" s="5" t="s">
        <v>172</v>
      </c>
    </row>
    <row r="559" customFormat="false" ht="15" hidden="false" customHeight="true" outlineLevel="0" collapsed="false">
      <c r="A559" s="5" t="n">
        <v>3111900</v>
      </c>
      <c r="B559" s="5" t="s">
        <v>670</v>
      </c>
      <c r="C559" s="5" t="s">
        <v>142</v>
      </c>
      <c r="D559" s="5" t="s">
        <v>143</v>
      </c>
      <c r="E559" s="5" t="s">
        <v>172</v>
      </c>
    </row>
    <row r="560" customFormat="false" ht="15" hidden="false" customHeight="true" outlineLevel="0" collapsed="false">
      <c r="A560" s="5" t="n">
        <v>3112000</v>
      </c>
      <c r="B560" s="5" t="s">
        <v>671</v>
      </c>
      <c r="C560" s="5" t="s">
        <v>142</v>
      </c>
      <c r="D560" s="5" t="s">
        <v>143</v>
      </c>
      <c r="E560" s="5" t="s">
        <v>172</v>
      </c>
    </row>
    <row r="561" customFormat="false" ht="15" hidden="false" customHeight="true" outlineLevel="0" collapsed="false">
      <c r="A561" s="5" t="n">
        <v>3112100</v>
      </c>
      <c r="B561" s="5" t="s">
        <v>672</v>
      </c>
      <c r="C561" s="5" t="s">
        <v>142</v>
      </c>
      <c r="D561" s="5" t="s">
        <v>143</v>
      </c>
      <c r="E561" s="5" t="s">
        <v>172</v>
      </c>
    </row>
    <row r="562" customFormat="false" ht="15" hidden="false" customHeight="true" outlineLevel="0" collapsed="false">
      <c r="A562" s="5" t="n">
        <v>3112200</v>
      </c>
      <c r="B562" s="5" t="s">
        <v>673</v>
      </c>
      <c r="C562" s="5" t="s">
        <v>142</v>
      </c>
      <c r="D562" s="5" t="s">
        <v>143</v>
      </c>
      <c r="E562" s="5" t="s">
        <v>172</v>
      </c>
    </row>
    <row r="563" customFormat="false" ht="15" hidden="false" customHeight="true" outlineLevel="0" collapsed="false">
      <c r="A563" s="5" t="n">
        <v>3112300</v>
      </c>
      <c r="B563" s="5" t="s">
        <v>674</v>
      </c>
      <c r="C563" s="5" t="s">
        <v>142</v>
      </c>
      <c r="D563" s="5" t="s">
        <v>143</v>
      </c>
      <c r="E563" s="5" t="s">
        <v>172</v>
      </c>
    </row>
    <row r="564" customFormat="false" ht="15" hidden="false" customHeight="true" outlineLevel="0" collapsed="false">
      <c r="A564" s="5" t="n">
        <v>3112400</v>
      </c>
      <c r="B564" s="5" t="s">
        <v>675</v>
      </c>
      <c r="C564" s="5" t="s">
        <v>142</v>
      </c>
      <c r="D564" s="5" t="s">
        <v>143</v>
      </c>
      <c r="E564" s="5" t="s">
        <v>172</v>
      </c>
    </row>
    <row r="565" customFormat="false" ht="15" hidden="false" customHeight="true" outlineLevel="0" collapsed="false">
      <c r="A565" s="5" t="n">
        <v>3112500</v>
      </c>
      <c r="B565" s="5" t="s">
        <v>676</v>
      </c>
      <c r="C565" s="5" t="s">
        <v>142</v>
      </c>
      <c r="D565" s="5" t="s">
        <v>143</v>
      </c>
      <c r="E565" s="5" t="s">
        <v>172</v>
      </c>
    </row>
    <row r="566" customFormat="false" ht="15" hidden="false" customHeight="true" outlineLevel="0" collapsed="false">
      <c r="A566" s="5" t="n">
        <v>3114900</v>
      </c>
      <c r="B566" s="5" t="s">
        <v>677</v>
      </c>
      <c r="C566" s="5" t="s">
        <v>142</v>
      </c>
      <c r="D566" s="5" t="s">
        <v>143</v>
      </c>
      <c r="E566" s="5" t="s">
        <v>117</v>
      </c>
    </row>
    <row r="567" customFormat="false" ht="15" hidden="false" customHeight="true" outlineLevel="0" collapsed="false">
      <c r="A567" s="5" t="n">
        <v>3115000</v>
      </c>
      <c r="B567" s="5" t="s">
        <v>678</v>
      </c>
      <c r="C567" s="5" t="s">
        <v>142</v>
      </c>
      <c r="D567" s="5" t="s">
        <v>143</v>
      </c>
      <c r="E567" s="5" t="s">
        <v>117</v>
      </c>
    </row>
    <row r="568" customFormat="false" ht="15" hidden="false" customHeight="true" outlineLevel="0" collapsed="false">
      <c r="A568" s="5" t="n">
        <v>3115100</v>
      </c>
      <c r="B568" s="5" t="s">
        <v>679</v>
      </c>
      <c r="C568" s="5" t="s">
        <v>142</v>
      </c>
      <c r="D568" s="5" t="s">
        <v>143</v>
      </c>
      <c r="E568" s="5" t="s">
        <v>264</v>
      </c>
    </row>
    <row r="569" customFormat="false" ht="15" hidden="false" customHeight="true" outlineLevel="0" collapsed="false">
      <c r="A569" s="5" t="n">
        <v>3120200</v>
      </c>
      <c r="B569" s="5" t="s">
        <v>680</v>
      </c>
      <c r="C569" s="5" t="s">
        <v>99</v>
      </c>
      <c r="D569" s="5" t="s">
        <v>124</v>
      </c>
      <c r="E569" s="5" t="s">
        <v>198</v>
      </c>
    </row>
    <row r="570" customFormat="false" ht="15" hidden="false" customHeight="true" outlineLevel="0" collapsed="false">
      <c r="A570" s="5" t="n">
        <v>3130900</v>
      </c>
      <c r="B570" s="5" t="s">
        <v>681</v>
      </c>
      <c r="C570" s="5" t="s">
        <v>142</v>
      </c>
      <c r="D570" s="5" t="s">
        <v>143</v>
      </c>
      <c r="E570" s="5" t="s">
        <v>194</v>
      </c>
    </row>
    <row r="571" customFormat="false" ht="15" hidden="false" customHeight="true" outlineLevel="0" collapsed="false">
      <c r="A571" s="5" t="n">
        <v>3131000</v>
      </c>
      <c r="B571" s="5" t="s">
        <v>389</v>
      </c>
      <c r="C571" s="5" t="s">
        <v>99</v>
      </c>
      <c r="D571" s="5" t="s">
        <v>114</v>
      </c>
      <c r="E571" s="5" t="s">
        <v>152</v>
      </c>
    </row>
    <row r="572" customFormat="false" ht="15" hidden="false" customHeight="true" outlineLevel="0" collapsed="false">
      <c r="A572" s="5" t="n">
        <v>3131100</v>
      </c>
      <c r="B572" s="5" t="s">
        <v>682</v>
      </c>
      <c r="C572" s="5" t="s">
        <v>99</v>
      </c>
      <c r="D572" s="5" t="s">
        <v>114</v>
      </c>
      <c r="E572" s="5" t="s">
        <v>152</v>
      </c>
    </row>
    <row r="573" customFormat="false" ht="15" hidden="false" customHeight="true" outlineLevel="0" collapsed="false">
      <c r="A573" s="5" t="n">
        <v>3131200</v>
      </c>
      <c r="B573" s="5" t="s">
        <v>683</v>
      </c>
      <c r="C573" s="5" t="s">
        <v>99</v>
      </c>
      <c r="D573" s="5" t="s">
        <v>114</v>
      </c>
      <c r="E573" s="5" t="s">
        <v>152</v>
      </c>
    </row>
    <row r="574" customFormat="false" ht="15" hidden="false" customHeight="true" outlineLevel="0" collapsed="false">
      <c r="A574" s="5" t="n">
        <v>3132400</v>
      </c>
      <c r="B574" s="5" t="s">
        <v>684</v>
      </c>
      <c r="C574" s="5" t="s">
        <v>99</v>
      </c>
      <c r="D574" s="5" t="s">
        <v>114</v>
      </c>
      <c r="E574" s="5" t="s">
        <v>152</v>
      </c>
    </row>
    <row r="575" customFormat="false" ht="15" hidden="false" customHeight="true" outlineLevel="0" collapsed="false">
      <c r="A575" s="5" t="n">
        <v>3132500</v>
      </c>
      <c r="B575" s="5" t="s">
        <v>685</v>
      </c>
      <c r="C575" s="5" t="s">
        <v>99</v>
      </c>
      <c r="D575" s="5" t="s">
        <v>114</v>
      </c>
      <c r="E575" s="5" t="s">
        <v>152</v>
      </c>
    </row>
    <row r="576" customFormat="false" ht="15" hidden="false" customHeight="true" outlineLevel="0" collapsed="false">
      <c r="A576" s="5" t="n">
        <v>3132600</v>
      </c>
      <c r="B576" s="5" t="s">
        <v>686</v>
      </c>
      <c r="C576" s="5" t="s">
        <v>99</v>
      </c>
      <c r="D576" s="5" t="s">
        <v>114</v>
      </c>
      <c r="E576" s="5" t="s">
        <v>152</v>
      </c>
    </row>
    <row r="577" customFormat="false" ht="15" hidden="false" customHeight="true" outlineLevel="0" collapsed="false">
      <c r="A577" s="5" t="n">
        <v>3133200</v>
      </c>
      <c r="B577" s="5" t="s">
        <v>687</v>
      </c>
      <c r="C577" s="5" t="s">
        <v>142</v>
      </c>
      <c r="D577" s="5" t="s">
        <v>143</v>
      </c>
      <c r="E577" s="5" t="s">
        <v>212</v>
      </c>
    </row>
    <row r="578" customFormat="false" ht="15" hidden="false" customHeight="true" outlineLevel="0" collapsed="false">
      <c r="A578" s="5" t="n">
        <v>3133300</v>
      </c>
      <c r="B578" s="5" t="s">
        <v>688</v>
      </c>
      <c r="C578" s="5" t="s">
        <v>142</v>
      </c>
      <c r="D578" s="5" t="s">
        <v>143</v>
      </c>
      <c r="E578" s="5" t="s">
        <v>212</v>
      </c>
    </row>
    <row r="579" customFormat="false" ht="15" hidden="false" customHeight="true" outlineLevel="0" collapsed="false">
      <c r="A579" s="5" t="n">
        <v>3133400</v>
      </c>
      <c r="B579" s="5" t="s">
        <v>689</v>
      </c>
      <c r="C579" s="5" t="s">
        <v>142</v>
      </c>
      <c r="D579" s="5" t="s">
        <v>143</v>
      </c>
      <c r="E579" s="5" t="s">
        <v>212</v>
      </c>
    </row>
    <row r="580" customFormat="false" ht="15" hidden="false" customHeight="true" outlineLevel="0" collapsed="false">
      <c r="A580" s="5" t="n">
        <v>3133600</v>
      </c>
      <c r="B580" s="5" t="s">
        <v>690</v>
      </c>
      <c r="C580" s="5" t="s">
        <v>142</v>
      </c>
      <c r="D580" s="5" t="s">
        <v>143</v>
      </c>
      <c r="E580" s="5" t="s">
        <v>212</v>
      </c>
    </row>
    <row r="581" customFormat="false" ht="15" hidden="false" customHeight="true" outlineLevel="0" collapsed="false">
      <c r="A581" s="5" t="n">
        <v>3133800</v>
      </c>
      <c r="B581" s="5" t="s">
        <v>691</v>
      </c>
      <c r="C581" s="5" t="s">
        <v>142</v>
      </c>
      <c r="D581" s="5" t="s">
        <v>143</v>
      </c>
      <c r="E581" s="5" t="s">
        <v>212</v>
      </c>
    </row>
    <row r="582" customFormat="false" ht="15" hidden="false" customHeight="true" outlineLevel="0" collapsed="false">
      <c r="A582" s="5" t="n">
        <v>3133900</v>
      </c>
      <c r="B582" s="5" t="s">
        <v>692</v>
      </c>
      <c r="C582" s="5" t="s">
        <v>142</v>
      </c>
      <c r="D582" s="5" t="s">
        <v>143</v>
      </c>
      <c r="E582" s="5" t="s">
        <v>212</v>
      </c>
    </row>
    <row r="583" customFormat="false" ht="15" hidden="false" customHeight="true" outlineLevel="0" collapsed="false">
      <c r="A583" s="5" t="n">
        <v>3134100</v>
      </c>
      <c r="B583" s="5" t="s">
        <v>693</v>
      </c>
      <c r="C583" s="5" t="s">
        <v>99</v>
      </c>
      <c r="D583" s="5" t="s">
        <v>114</v>
      </c>
      <c r="E583" s="5" t="s">
        <v>133</v>
      </c>
    </row>
    <row r="584" customFormat="false" ht="15" hidden="false" customHeight="true" outlineLevel="0" collapsed="false">
      <c r="A584" s="5" t="n">
        <v>3134400</v>
      </c>
      <c r="B584" s="5" t="s">
        <v>694</v>
      </c>
      <c r="C584" s="5" t="s">
        <v>99</v>
      </c>
      <c r="D584" s="5" t="s">
        <v>114</v>
      </c>
      <c r="E584" s="5" t="s">
        <v>133</v>
      </c>
    </row>
    <row r="585" customFormat="false" ht="15" hidden="false" customHeight="true" outlineLevel="0" collapsed="false">
      <c r="A585" s="5" t="n">
        <v>3134500</v>
      </c>
      <c r="B585" s="5" t="s">
        <v>695</v>
      </c>
      <c r="C585" s="5" t="s">
        <v>99</v>
      </c>
      <c r="D585" s="5" t="s">
        <v>114</v>
      </c>
      <c r="E585" s="5" t="s">
        <v>133</v>
      </c>
    </row>
    <row r="586" customFormat="false" ht="15" hidden="false" customHeight="true" outlineLevel="0" collapsed="false">
      <c r="A586" s="5" t="n">
        <v>3134600</v>
      </c>
      <c r="B586" s="5" t="s">
        <v>696</v>
      </c>
      <c r="C586" s="5" t="s">
        <v>99</v>
      </c>
      <c r="D586" s="5" t="s">
        <v>114</v>
      </c>
      <c r="E586" s="5" t="s">
        <v>133</v>
      </c>
    </row>
    <row r="587" customFormat="false" ht="15" hidden="false" customHeight="true" outlineLevel="0" collapsed="false">
      <c r="A587" s="5" t="n">
        <v>3134700</v>
      </c>
      <c r="B587" s="5" t="s">
        <v>697</v>
      </c>
      <c r="C587" s="5" t="s">
        <v>142</v>
      </c>
      <c r="D587" s="5" t="s">
        <v>143</v>
      </c>
      <c r="E587" s="5" t="s">
        <v>212</v>
      </c>
    </row>
    <row r="588" customFormat="false" ht="15" hidden="false" customHeight="true" outlineLevel="0" collapsed="false">
      <c r="A588" s="5" t="n">
        <v>3134800</v>
      </c>
      <c r="B588" s="5" t="s">
        <v>698</v>
      </c>
      <c r="C588" s="5" t="s">
        <v>142</v>
      </c>
      <c r="D588" s="5" t="s">
        <v>143</v>
      </c>
      <c r="E588" s="5" t="s">
        <v>212</v>
      </c>
    </row>
    <row r="589" customFormat="false" ht="15" hidden="false" customHeight="true" outlineLevel="0" collapsed="false">
      <c r="A589" s="5" t="n">
        <v>3134900</v>
      </c>
      <c r="B589" s="5" t="s">
        <v>699</v>
      </c>
      <c r="C589" s="5" t="s">
        <v>142</v>
      </c>
      <c r="D589" s="5" t="s">
        <v>143</v>
      </c>
      <c r="E589" s="5" t="s">
        <v>212</v>
      </c>
    </row>
    <row r="590" customFormat="false" ht="15" hidden="false" customHeight="true" outlineLevel="0" collapsed="false">
      <c r="A590" s="5" t="n">
        <v>3135100</v>
      </c>
      <c r="B590" s="5" t="s">
        <v>700</v>
      </c>
      <c r="C590" s="5" t="s">
        <v>142</v>
      </c>
      <c r="D590" s="5" t="s">
        <v>143</v>
      </c>
      <c r="E590" s="5" t="s">
        <v>212</v>
      </c>
    </row>
    <row r="591" customFormat="false" ht="15" hidden="false" customHeight="true" outlineLevel="0" collapsed="false">
      <c r="A591" s="5" t="n">
        <v>3135200</v>
      </c>
      <c r="B591" s="5" t="s">
        <v>701</v>
      </c>
      <c r="C591" s="5" t="s">
        <v>142</v>
      </c>
      <c r="D591" s="5" t="s">
        <v>143</v>
      </c>
      <c r="E591" s="5" t="s">
        <v>212</v>
      </c>
    </row>
    <row r="592" customFormat="false" ht="15" hidden="false" customHeight="true" outlineLevel="0" collapsed="false">
      <c r="A592" s="5" t="n">
        <v>3135300</v>
      </c>
      <c r="B592" s="5" t="s">
        <v>702</v>
      </c>
      <c r="C592" s="5" t="s">
        <v>142</v>
      </c>
      <c r="D592" s="5" t="s">
        <v>143</v>
      </c>
      <c r="E592" s="5" t="s">
        <v>212</v>
      </c>
    </row>
    <row r="593" customFormat="false" ht="15" hidden="false" customHeight="true" outlineLevel="0" collapsed="false">
      <c r="A593" s="5" t="n">
        <v>3141700</v>
      </c>
      <c r="B593" s="5" t="s">
        <v>703</v>
      </c>
      <c r="C593" s="5" t="s">
        <v>142</v>
      </c>
      <c r="D593" s="5" t="s">
        <v>143</v>
      </c>
      <c r="E593" s="5" t="s">
        <v>294</v>
      </c>
    </row>
    <row r="594" customFormat="false" ht="15" hidden="false" customHeight="true" outlineLevel="0" collapsed="false">
      <c r="A594" s="5" t="n">
        <v>3141900</v>
      </c>
      <c r="B594" s="5" t="s">
        <v>704</v>
      </c>
      <c r="C594" s="5" t="s">
        <v>142</v>
      </c>
      <c r="D594" s="5" t="s">
        <v>143</v>
      </c>
      <c r="E594" s="5" t="s">
        <v>294</v>
      </c>
    </row>
    <row r="595" customFormat="false" ht="15" hidden="false" customHeight="true" outlineLevel="0" collapsed="false">
      <c r="A595" s="5" t="n">
        <v>3142600</v>
      </c>
      <c r="B595" s="5" t="s">
        <v>705</v>
      </c>
      <c r="C595" s="5" t="s">
        <v>142</v>
      </c>
      <c r="D595" s="5" t="s">
        <v>143</v>
      </c>
      <c r="E595" s="5" t="s">
        <v>117</v>
      </c>
    </row>
    <row r="596" customFormat="false" ht="15" hidden="false" customHeight="true" outlineLevel="0" collapsed="false">
      <c r="A596" s="5" t="n">
        <v>3142700</v>
      </c>
      <c r="B596" s="5" t="s">
        <v>706</v>
      </c>
      <c r="C596" s="5" t="s">
        <v>99</v>
      </c>
      <c r="D596" s="5" t="s">
        <v>114</v>
      </c>
      <c r="E596" s="5" t="s">
        <v>117</v>
      </c>
    </row>
    <row r="597" customFormat="false" ht="15" hidden="false" customHeight="true" outlineLevel="0" collapsed="false">
      <c r="A597" s="5" t="n">
        <v>3142800</v>
      </c>
      <c r="B597" s="5" t="s">
        <v>707</v>
      </c>
      <c r="C597" s="5" t="s">
        <v>142</v>
      </c>
      <c r="D597" s="5" t="s">
        <v>143</v>
      </c>
      <c r="E597" s="5" t="s">
        <v>117</v>
      </c>
    </row>
    <row r="598" customFormat="false" ht="15" hidden="false" customHeight="true" outlineLevel="0" collapsed="false">
      <c r="A598" s="5" t="n">
        <v>3142900</v>
      </c>
      <c r="B598" s="5" t="s">
        <v>708</v>
      </c>
      <c r="C598" s="5" t="s">
        <v>142</v>
      </c>
      <c r="D598" s="5" t="s">
        <v>143</v>
      </c>
      <c r="E598" s="5" t="s">
        <v>117</v>
      </c>
    </row>
    <row r="599" customFormat="false" ht="15" hidden="false" customHeight="true" outlineLevel="0" collapsed="false">
      <c r="A599" s="5" t="n">
        <v>3143000</v>
      </c>
      <c r="B599" s="5" t="s">
        <v>709</v>
      </c>
      <c r="C599" s="5" t="s">
        <v>142</v>
      </c>
      <c r="D599" s="5" t="s">
        <v>143</v>
      </c>
      <c r="E599" s="5" t="s">
        <v>117</v>
      </c>
    </row>
    <row r="600" customFormat="false" ht="15" hidden="false" customHeight="true" outlineLevel="0" collapsed="false">
      <c r="A600" s="5" t="n">
        <v>3183100</v>
      </c>
      <c r="B600" s="5" t="s">
        <v>710</v>
      </c>
      <c r="C600" s="5" t="s">
        <v>142</v>
      </c>
      <c r="D600" s="5" t="s">
        <v>143</v>
      </c>
      <c r="E600" s="5" t="s">
        <v>194</v>
      </c>
    </row>
    <row r="601" customFormat="false" ht="15" hidden="false" customHeight="true" outlineLevel="0" collapsed="false">
      <c r="A601" s="5" t="n">
        <v>3240900</v>
      </c>
      <c r="B601" s="5" t="s">
        <v>711</v>
      </c>
      <c r="C601" s="5" t="s">
        <v>99</v>
      </c>
      <c r="D601" s="5" t="s">
        <v>114</v>
      </c>
      <c r="E601" s="5" t="s">
        <v>152</v>
      </c>
    </row>
    <row r="602" customFormat="false" ht="15" hidden="false" customHeight="true" outlineLevel="0" collapsed="false">
      <c r="A602" s="5" t="n">
        <v>3241000</v>
      </c>
      <c r="B602" s="5" t="s">
        <v>712</v>
      </c>
      <c r="C602" s="5" t="s">
        <v>99</v>
      </c>
      <c r="D602" s="5" t="s">
        <v>114</v>
      </c>
      <c r="E602" s="5" t="s">
        <v>152</v>
      </c>
    </row>
    <row r="603" customFormat="false" ht="15" hidden="false" customHeight="true" outlineLevel="0" collapsed="false">
      <c r="A603" s="5" t="n">
        <v>3241100</v>
      </c>
      <c r="B603" s="5" t="s">
        <v>713</v>
      </c>
      <c r="C603" s="5" t="s">
        <v>99</v>
      </c>
      <c r="D603" s="5" t="s">
        <v>114</v>
      </c>
      <c r="E603" s="5" t="s">
        <v>152</v>
      </c>
    </row>
    <row r="604" customFormat="false" ht="15" hidden="false" customHeight="true" outlineLevel="0" collapsed="false">
      <c r="A604" s="5" t="n">
        <v>3241200</v>
      </c>
      <c r="B604" s="5" t="s">
        <v>714</v>
      </c>
      <c r="C604" s="5" t="s">
        <v>99</v>
      </c>
      <c r="D604" s="5" t="s">
        <v>114</v>
      </c>
      <c r="E604" s="5" t="s">
        <v>152</v>
      </c>
    </row>
    <row r="605" customFormat="false" ht="15" hidden="false" customHeight="true" outlineLevel="0" collapsed="false">
      <c r="A605" s="5" t="n">
        <v>3241400</v>
      </c>
      <c r="B605" s="5" t="s">
        <v>715</v>
      </c>
      <c r="C605" s="5" t="s">
        <v>99</v>
      </c>
      <c r="D605" s="5" t="s">
        <v>114</v>
      </c>
      <c r="E605" s="5" t="s">
        <v>152</v>
      </c>
    </row>
    <row r="606" customFormat="false" ht="15" hidden="false" customHeight="true" outlineLevel="0" collapsed="false">
      <c r="A606" s="5" t="n">
        <v>3241500</v>
      </c>
      <c r="B606" s="5" t="s">
        <v>716</v>
      </c>
      <c r="C606" s="5" t="s">
        <v>99</v>
      </c>
      <c r="D606" s="5" t="s">
        <v>114</v>
      </c>
      <c r="E606" s="5" t="s">
        <v>152</v>
      </c>
    </row>
    <row r="607" customFormat="false" ht="15" hidden="false" customHeight="true" outlineLevel="0" collapsed="false">
      <c r="A607" s="5" t="n">
        <v>3241800</v>
      </c>
      <c r="B607" s="5" t="s">
        <v>717</v>
      </c>
      <c r="C607" s="5" t="s">
        <v>99</v>
      </c>
      <c r="D607" s="5" t="s">
        <v>114</v>
      </c>
      <c r="E607" s="5" t="s">
        <v>152</v>
      </c>
    </row>
    <row r="608" customFormat="false" ht="15" hidden="false" customHeight="true" outlineLevel="0" collapsed="false">
      <c r="A608" s="5" t="n">
        <v>3241900</v>
      </c>
      <c r="B608" s="5" t="s">
        <v>718</v>
      </c>
      <c r="C608" s="5" t="s">
        <v>99</v>
      </c>
      <c r="D608" s="5" t="s">
        <v>114</v>
      </c>
      <c r="E608" s="5" t="s">
        <v>152</v>
      </c>
    </row>
    <row r="609" customFormat="false" ht="15" hidden="false" customHeight="true" outlineLevel="0" collapsed="false">
      <c r="A609" s="5" t="n">
        <v>3242100</v>
      </c>
      <c r="B609" s="5" t="s">
        <v>719</v>
      </c>
      <c r="C609" s="5" t="s">
        <v>99</v>
      </c>
      <c r="D609" s="5" t="s">
        <v>114</v>
      </c>
      <c r="E609" s="5" t="s">
        <v>152</v>
      </c>
    </row>
    <row r="610" customFormat="false" ht="15" hidden="false" customHeight="true" outlineLevel="0" collapsed="false">
      <c r="A610" s="5" t="n">
        <v>3242200</v>
      </c>
      <c r="B610" s="5" t="s">
        <v>720</v>
      </c>
      <c r="C610" s="5" t="s">
        <v>99</v>
      </c>
      <c r="D610" s="5" t="s">
        <v>114</v>
      </c>
      <c r="E610" s="5" t="s">
        <v>152</v>
      </c>
    </row>
    <row r="611" customFormat="false" ht="15" hidden="false" customHeight="true" outlineLevel="0" collapsed="false">
      <c r="A611" s="5" t="n">
        <v>3242400</v>
      </c>
      <c r="B611" s="5" t="s">
        <v>721</v>
      </c>
      <c r="C611" s="5" t="s">
        <v>99</v>
      </c>
      <c r="D611" s="5" t="s">
        <v>114</v>
      </c>
      <c r="E611" s="5" t="s">
        <v>152</v>
      </c>
    </row>
    <row r="612" customFormat="false" ht="15" hidden="false" customHeight="true" outlineLevel="0" collapsed="false">
      <c r="A612" s="5" t="n">
        <v>3242500</v>
      </c>
      <c r="B612" s="5" t="s">
        <v>722</v>
      </c>
      <c r="C612" s="5" t="s">
        <v>99</v>
      </c>
      <c r="D612" s="5" t="s">
        <v>114</v>
      </c>
      <c r="E612" s="5" t="s">
        <v>152</v>
      </c>
    </row>
    <row r="613" customFormat="false" ht="15" hidden="false" customHeight="true" outlineLevel="0" collapsed="false">
      <c r="A613" s="5" t="n">
        <v>3242600</v>
      </c>
      <c r="B613" s="5" t="s">
        <v>723</v>
      </c>
      <c r="C613" s="5" t="s">
        <v>99</v>
      </c>
      <c r="D613" s="5" t="s">
        <v>114</v>
      </c>
      <c r="E613" s="5" t="s">
        <v>152</v>
      </c>
    </row>
    <row r="614" customFormat="false" ht="15" hidden="false" customHeight="true" outlineLevel="0" collapsed="false">
      <c r="A614" s="5" t="n">
        <v>3242700</v>
      </c>
      <c r="B614" s="5" t="s">
        <v>724</v>
      </c>
      <c r="C614" s="5" t="s">
        <v>99</v>
      </c>
      <c r="D614" s="5" t="s">
        <v>114</v>
      </c>
      <c r="E614" s="5" t="s">
        <v>152</v>
      </c>
    </row>
    <row r="615" customFormat="false" ht="15" hidden="false" customHeight="true" outlineLevel="0" collapsed="false">
      <c r="A615" s="5" t="n">
        <v>3242800</v>
      </c>
      <c r="B615" s="5" t="s">
        <v>725</v>
      </c>
      <c r="C615" s="5" t="s">
        <v>99</v>
      </c>
      <c r="D615" s="5" t="s">
        <v>114</v>
      </c>
      <c r="E615" s="5" t="s">
        <v>152</v>
      </c>
    </row>
    <row r="616" customFormat="false" ht="15" hidden="false" customHeight="true" outlineLevel="0" collapsed="false">
      <c r="A616" s="5" t="n">
        <v>3243400</v>
      </c>
      <c r="B616" s="5" t="s">
        <v>726</v>
      </c>
      <c r="C616" s="5" t="s">
        <v>99</v>
      </c>
      <c r="D616" s="5" t="s">
        <v>114</v>
      </c>
      <c r="E616" s="5" t="s">
        <v>152</v>
      </c>
    </row>
    <row r="617" customFormat="false" ht="15" hidden="false" customHeight="true" outlineLevel="0" collapsed="false">
      <c r="A617" s="5" t="n">
        <v>3243700</v>
      </c>
      <c r="B617" s="5" t="s">
        <v>727</v>
      </c>
      <c r="C617" s="5" t="s">
        <v>142</v>
      </c>
      <c r="D617" s="5" t="s">
        <v>143</v>
      </c>
      <c r="E617" s="5" t="s">
        <v>167</v>
      </c>
    </row>
    <row r="618" customFormat="false" ht="15" hidden="false" customHeight="true" outlineLevel="0" collapsed="false">
      <c r="A618" s="5" t="n">
        <v>3246500</v>
      </c>
      <c r="B618" s="5" t="s">
        <v>728</v>
      </c>
      <c r="C618" s="5" t="s">
        <v>142</v>
      </c>
      <c r="D618" s="5" t="s">
        <v>143</v>
      </c>
      <c r="E618" s="5" t="s">
        <v>117</v>
      </c>
    </row>
    <row r="619" customFormat="false" ht="15" hidden="false" customHeight="true" outlineLevel="0" collapsed="false">
      <c r="A619" s="5" t="n">
        <v>3246600</v>
      </c>
      <c r="B619" s="5" t="s">
        <v>729</v>
      </c>
      <c r="C619" s="5" t="s">
        <v>142</v>
      </c>
      <c r="D619" s="5" t="s">
        <v>143</v>
      </c>
      <c r="E619" s="5" t="s">
        <v>117</v>
      </c>
    </row>
    <row r="620" customFormat="false" ht="15" hidden="false" customHeight="true" outlineLevel="0" collapsed="false">
      <c r="A620" s="5" t="n">
        <v>3252600</v>
      </c>
      <c r="B620" s="5" t="s">
        <v>730</v>
      </c>
      <c r="C620" s="5" t="s">
        <v>99</v>
      </c>
      <c r="D620" s="5" t="s">
        <v>114</v>
      </c>
      <c r="E620" s="5" t="s">
        <v>128</v>
      </c>
    </row>
    <row r="621" customFormat="false" ht="15" hidden="false" customHeight="true" outlineLevel="0" collapsed="false">
      <c r="A621" s="5" t="n">
        <v>3256900</v>
      </c>
      <c r="B621" s="5" t="s">
        <v>731</v>
      </c>
      <c r="C621" s="5" t="s">
        <v>99</v>
      </c>
      <c r="D621" s="5" t="s">
        <v>114</v>
      </c>
      <c r="E621" s="5" t="s">
        <v>128</v>
      </c>
    </row>
    <row r="622" customFormat="false" ht="15" hidden="false" customHeight="true" outlineLevel="0" collapsed="false">
      <c r="A622" s="5" t="n">
        <v>3286600</v>
      </c>
      <c r="B622" s="5" t="s">
        <v>732</v>
      </c>
      <c r="C622" s="5" t="s">
        <v>99</v>
      </c>
      <c r="D622" s="5" t="s">
        <v>114</v>
      </c>
      <c r="E622" s="5" t="s">
        <v>230</v>
      </c>
    </row>
    <row r="623" customFormat="false" ht="15" hidden="false" customHeight="true" outlineLevel="0" collapsed="false">
      <c r="A623" s="5" t="n">
        <v>3309100</v>
      </c>
      <c r="B623" s="5" t="s">
        <v>733</v>
      </c>
      <c r="C623" s="5" t="s">
        <v>142</v>
      </c>
      <c r="D623" s="5" t="s">
        <v>143</v>
      </c>
      <c r="E623" s="5" t="s">
        <v>294</v>
      </c>
    </row>
    <row r="624" customFormat="false" ht="15" hidden="false" customHeight="true" outlineLevel="0" collapsed="false">
      <c r="A624" s="5" t="n">
        <v>3309200</v>
      </c>
      <c r="B624" s="5" t="s">
        <v>734</v>
      </c>
      <c r="C624" s="5" t="s">
        <v>142</v>
      </c>
      <c r="D624" s="5" t="s">
        <v>143</v>
      </c>
      <c r="E624" s="5" t="s">
        <v>294</v>
      </c>
    </row>
    <row r="625" customFormat="false" ht="15" hidden="false" customHeight="true" outlineLevel="0" collapsed="false">
      <c r="A625" s="5" t="n">
        <v>3309500</v>
      </c>
      <c r="B625" s="5" t="s">
        <v>735</v>
      </c>
      <c r="C625" s="5" t="s">
        <v>142</v>
      </c>
      <c r="D625" s="5" t="s">
        <v>143</v>
      </c>
      <c r="E625" s="5" t="s">
        <v>294</v>
      </c>
    </row>
    <row r="626" customFormat="false" ht="15" hidden="false" customHeight="true" outlineLevel="0" collapsed="false">
      <c r="A626" s="5" t="n">
        <v>3309600</v>
      </c>
      <c r="B626" s="5" t="s">
        <v>736</v>
      </c>
      <c r="C626" s="5" t="s">
        <v>142</v>
      </c>
      <c r="D626" s="5" t="s">
        <v>143</v>
      </c>
      <c r="E626" s="5" t="s">
        <v>294</v>
      </c>
    </row>
    <row r="627" customFormat="false" ht="15" hidden="false" customHeight="true" outlineLevel="0" collapsed="false">
      <c r="A627" s="5" t="n">
        <v>3309700</v>
      </c>
      <c r="B627" s="5" t="s">
        <v>737</v>
      </c>
      <c r="C627" s="5" t="s">
        <v>142</v>
      </c>
      <c r="D627" s="5" t="s">
        <v>143</v>
      </c>
      <c r="E627" s="5" t="s">
        <v>294</v>
      </c>
    </row>
    <row r="628" customFormat="false" ht="15" hidden="false" customHeight="true" outlineLevel="0" collapsed="false">
      <c r="A628" s="5" t="n">
        <v>3309900</v>
      </c>
      <c r="B628" s="5" t="s">
        <v>738</v>
      </c>
      <c r="C628" s="5" t="s">
        <v>142</v>
      </c>
      <c r="D628" s="5" t="s">
        <v>143</v>
      </c>
      <c r="E628" s="5" t="s">
        <v>294</v>
      </c>
    </row>
    <row r="629" customFormat="false" ht="15" hidden="false" customHeight="true" outlineLevel="0" collapsed="false">
      <c r="A629" s="5" t="n">
        <v>3310000</v>
      </c>
      <c r="B629" s="5" t="s">
        <v>739</v>
      </c>
      <c r="C629" s="5" t="s">
        <v>142</v>
      </c>
      <c r="D629" s="5" t="s">
        <v>143</v>
      </c>
      <c r="E629" s="5" t="s">
        <v>294</v>
      </c>
    </row>
    <row r="630" customFormat="false" ht="15" hidden="false" customHeight="true" outlineLevel="0" collapsed="false">
      <c r="A630" s="5" t="n">
        <v>3310100</v>
      </c>
      <c r="B630" s="5" t="s">
        <v>740</v>
      </c>
      <c r="C630" s="5" t="s">
        <v>142</v>
      </c>
      <c r="D630" s="5" t="s">
        <v>143</v>
      </c>
      <c r="E630" s="5" t="s">
        <v>294</v>
      </c>
    </row>
    <row r="631" customFormat="false" ht="15" hidden="false" customHeight="true" outlineLevel="0" collapsed="false">
      <c r="A631" s="5" t="n">
        <v>3310300</v>
      </c>
      <c r="B631" s="5" t="s">
        <v>741</v>
      </c>
      <c r="C631" s="5" t="s">
        <v>142</v>
      </c>
      <c r="D631" s="5" t="s">
        <v>143</v>
      </c>
      <c r="E631" s="5" t="s">
        <v>294</v>
      </c>
    </row>
    <row r="632" customFormat="false" ht="15" hidden="false" customHeight="true" outlineLevel="0" collapsed="false">
      <c r="A632" s="5" t="n">
        <v>3310400</v>
      </c>
      <c r="B632" s="5" t="s">
        <v>742</v>
      </c>
      <c r="C632" s="5" t="s">
        <v>142</v>
      </c>
      <c r="D632" s="5" t="s">
        <v>143</v>
      </c>
      <c r="E632" s="5" t="s">
        <v>294</v>
      </c>
    </row>
    <row r="633" customFormat="false" ht="15" hidden="false" customHeight="true" outlineLevel="0" collapsed="false">
      <c r="A633" s="5" t="n">
        <v>3310600</v>
      </c>
      <c r="B633" s="5" t="s">
        <v>743</v>
      </c>
      <c r="C633" s="5" t="s">
        <v>142</v>
      </c>
      <c r="D633" s="5" t="s">
        <v>143</v>
      </c>
      <c r="E633" s="5" t="s">
        <v>264</v>
      </c>
    </row>
    <row r="634" customFormat="false" ht="15" hidden="false" customHeight="true" outlineLevel="0" collapsed="false">
      <c r="A634" s="5" t="n">
        <v>3310700</v>
      </c>
      <c r="B634" s="5" t="s">
        <v>744</v>
      </c>
      <c r="C634" s="5" t="s">
        <v>142</v>
      </c>
      <c r="D634" s="5" t="s">
        <v>143</v>
      </c>
      <c r="E634" s="5" t="s">
        <v>264</v>
      </c>
    </row>
    <row r="635" customFormat="false" ht="15" hidden="false" customHeight="true" outlineLevel="0" collapsed="false">
      <c r="A635" s="5" t="n">
        <v>3310800</v>
      </c>
      <c r="B635" s="5" t="s">
        <v>745</v>
      </c>
      <c r="C635" s="5" t="s">
        <v>142</v>
      </c>
      <c r="D635" s="5" t="s">
        <v>143</v>
      </c>
      <c r="E635" s="5" t="s">
        <v>194</v>
      </c>
    </row>
    <row r="636" customFormat="false" ht="15" hidden="false" customHeight="true" outlineLevel="0" collapsed="false">
      <c r="A636" s="5" t="n">
        <v>3310900</v>
      </c>
      <c r="B636" s="5" t="s">
        <v>746</v>
      </c>
      <c r="C636" s="5" t="s">
        <v>142</v>
      </c>
      <c r="D636" s="5" t="s">
        <v>143</v>
      </c>
      <c r="E636" s="5" t="s">
        <v>194</v>
      </c>
    </row>
    <row r="637" customFormat="false" ht="15" hidden="false" customHeight="true" outlineLevel="0" collapsed="false">
      <c r="A637" s="5" t="n">
        <v>3445500</v>
      </c>
      <c r="B637" s="5" t="s">
        <v>747</v>
      </c>
      <c r="C637" s="5" t="s">
        <v>99</v>
      </c>
      <c r="D637" s="5" t="s">
        <v>100</v>
      </c>
      <c r="E637" s="5" t="s">
        <v>100</v>
      </c>
    </row>
    <row r="638" customFormat="false" ht="15" hidden="false" customHeight="true" outlineLevel="0" collapsed="false">
      <c r="A638" s="5" t="n">
        <v>3445600</v>
      </c>
      <c r="B638" s="5" t="s">
        <v>748</v>
      </c>
      <c r="C638" s="5" t="s">
        <v>99</v>
      </c>
      <c r="D638" s="5" t="s">
        <v>100</v>
      </c>
      <c r="E638" s="5" t="s">
        <v>100</v>
      </c>
    </row>
    <row r="639" customFormat="false" ht="15" hidden="false" customHeight="true" outlineLevel="0" collapsed="false">
      <c r="A639" s="5" t="n">
        <v>3445700</v>
      </c>
      <c r="B639" s="5" t="s">
        <v>749</v>
      </c>
      <c r="C639" s="5" t="s">
        <v>99</v>
      </c>
      <c r="D639" s="5" t="s">
        <v>124</v>
      </c>
      <c r="E639" s="5" t="s">
        <v>198</v>
      </c>
    </row>
    <row r="640" customFormat="false" ht="15" hidden="false" customHeight="true" outlineLevel="0" collapsed="false">
      <c r="A640" s="5" t="n">
        <v>3517900</v>
      </c>
      <c r="B640" s="5" t="s">
        <v>750</v>
      </c>
      <c r="C640" s="5" t="s">
        <v>99</v>
      </c>
      <c r="D640" s="5" t="s">
        <v>124</v>
      </c>
      <c r="E640" s="5" t="s">
        <v>198</v>
      </c>
    </row>
    <row r="641" customFormat="false" ht="15" hidden="false" customHeight="true" outlineLevel="0" collapsed="false">
      <c r="A641" s="5" t="n">
        <v>3518000</v>
      </c>
      <c r="B641" s="5" t="s">
        <v>751</v>
      </c>
      <c r="C641" s="5" t="s">
        <v>99</v>
      </c>
      <c r="D641" s="5" t="s">
        <v>124</v>
      </c>
      <c r="E641" s="5" t="s">
        <v>198</v>
      </c>
    </row>
    <row r="642" customFormat="false" ht="15" hidden="false" customHeight="true" outlineLevel="0" collapsed="false">
      <c r="A642" s="5" t="n">
        <v>3519500</v>
      </c>
      <c r="B642" s="5" t="s">
        <v>752</v>
      </c>
      <c r="C642" s="5" t="s">
        <v>142</v>
      </c>
      <c r="D642" s="5" t="s">
        <v>143</v>
      </c>
      <c r="E642" s="5" t="s">
        <v>264</v>
      </c>
    </row>
    <row r="643" customFormat="false" ht="15" hidden="false" customHeight="true" outlineLevel="0" collapsed="false">
      <c r="A643" s="5" t="n">
        <v>3519600</v>
      </c>
      <c r="B643" s="5" t="s">
        <v>753</v>
      </c>
      <c r="C643" s="5" t="s">
        <v>142</v>
      </c>
      <c r="D643" s="5" t="s">
        <v>143</v>
      </c>
      <c r="E643" s="5" t="s">
        <v>264</v>
      </c>
    </row>
    <row r="644" customFormat="false" ht="15" hidden="false" customHeight="true" outlineLevel="0" collapsed="false">
      <c r="A644" s="5" t="n">
        <v>3535100</v>
      </c>
      <c r="B644" s="5" t="s">
        <v>754</v>
      </c>
      <c r="C644" s="5" t="s">
        <v>142</v>
      </c>
      <c r="D644" s="5" t="s">
        <v>143</v>
      </c>
      <c r="E644" s="5" t="s">
        <v>115</v>
      </c>
    </row>
    <row r="645" customFormat="false" ht="15" hidden="false" customHeight="true" outlineLevel="0" collapsed="false">
      <c r="A645" s="5" t="n">
        <v>3555100</v>
      </c>
      <c r="B645" s="5" t="s">
        <v>755</v>
      </c>
      <c r="C645" s="5" t="s">
        <v>142</v>
      </c>
      <c r="D645" s="5" t="s">
        <v>143</v>
      </c>
      <c r="E645" s="5" t="s">
        <v>194</v>
      </c>
    </row>
    <row r="646" customFormat="false" ht="15" hidden="false" customHeight="true" outlineLevel="0" collapsed="false">
      <c r="A646" s="5" t="n">
        <v>3555200</v>
      </c>
      <c r="B646" s="5" t="s">
        <v>756</v>
      </c>
      <c r="C646" s="5" t="s">
        <v>99</v>
      </c>
      <c r="D646" s="5" t="s">
        <v>114</v>
      </c>
      <c r="E646" s="5" t="s">
        <v>152</v>
      </c>
    </row>
    <row r="647" customFormat="false" ht="15" hidden="false" customHeight="true" outlineLevel="0" collapsed="false">
      <c r="A647" s="5" t="n">
        <v>3555300</v>
      </c>
      <c r="B647" s="5" t="s">
        <v>757</v>
      </c>
      <c r="C647" s="5" t="s">
        <v>99</v>
      </c>
      <c r="D647" s="5" t="s">
        <v>114</v>
      </c>
      <c r="E647" s="5" t="s">
        <v>152</v>
      </c>
    </row>
    <row r="648" customFormat="false" ht="15" hidden="false" customHeight="true" outlineLevel="0" collapsed="false">
      <c r="A648" s="5" t="n">
        <v>3555600</v>
      </c>
      <c r="B648" s="5" t="s">
        <v>758</v>
      </c>
      <c r="C648" s="5" t="s">
        <v>99</v>
      </c>
      <c r="D648" s="5" t="s">
        <v>114</v>
      </c>
      <c r="E648" s="5" t="s">
        <v>115</v>
      </c>
    </row>
    <row r="649" customFormat="false" ht="15" hidden="false" customHeight="true" outlineLevel="0" collapsed="false">
      <c r="A649" s="5" t="n">
        <v>3555800</v>
      </c>
      <c r="B649" s="5" t="s">
        <v>759</v>
      </c>
      <c r="C649" s="5" t="s">
        <v>142</v>
      </c>
      <c r="D649" s="5" t="s">
        <v>143</v>
      </c>
      <c r="E649" s="5" t="s">
        <v>117</v>
      </c>
    </row>
    <row r="650" customFormat="false" ht="15" hidden="false" customHeight="true" outlineLevel="0" collapsed="false">
      <c r="A650" s="5" t="n">
        <v>3555900</v>
      </c>
      <c r="B650" s="5" t="s">
        <v>760</v>
      </c>
      <c r="C650" s="5" t="s">
        <v>142</v>
      </c>
      <c r="D650" s="5" t="s">
        <v>143</v>
      </c>
      <c r="E650" s="5" t="s">
        <v>117</v>
      </c>
    </row>
    <row r="651" customFormat="false" ht="15" hidden="false" customHeight="true" outlineLevel="0" collapsed="false">
      <c r="A651" s="5" t="n">
        <v>3556000</v>
      </c>
      <c r="B651" s="5" t="s">
        <v>761</v>
      </c>
      <c r="C651" s="5" t="s">
        <v>142</v>
      </c>
      <c r="D651" s="5" t="s">
        <v>143</v>
      </c>
      <c r="E651" s="5" t="s">
        <v>117</v>
      </c>
    </row>
    <row r="652" customFormat="false" ht="15" hidden="false" customHeight="true" outlineLevel="0" collapsed="false">
      <c r="A652" s="5" t="n">
        <v>3556200</v>
      </c>
      <c r="B652" s="5" t="s">
        <v>762</v>
      </c>
      <c r="C652" s="5" t="s">
        <v>99</v>
      </c>
      <c r="D652" s="5" t="s">
        <v>114</v>
      </c>
      <c r="E652" s="5" t="s">
        <v>128</v>
      </c>
    </row>
    <row r="653" customFormat="false" ht="15" hidden="false" customHeight="true" outlineLevel="0" collapsed="false">
      <c r="A653" s="5" t="n">
        <v>3556300</v>
      </c>
      <c r="B653" s="5" t="s">
        <v>763</v>
      </c>
      <c r="C653" s="5" t="s">
        <v>99</v>
      </c>
      <c r="D653" s="5" t="s">
        <v>114</v>
      </c>
      <c r="E653" s="5" t="s">
        <v>128</v>
      </c>
    </row>
    <row r="654" customFormat="false" ht="15" hidden="false" customHeight="true" outlineLevel="0" collapsed="false">
      <c r="A654" s="5" t="n">
        <v>3556600</v>
      </c>
      <c r="B654" s="5" t="s">
        <v>764</v>
      </c>
      <c r="C654" s="5" t="s">
        <v>99</v>
      </c>
      <c r="D654" s="5" t="s">
        <v>114</v>
      </c>
      <c r="E654" s="5" t="s">
        <v>128</v>
      </c>
    </row>
    <row r="655" customFormat="false" ht="15" hidden="false" customHeight="true" outlineLevel="0" collapsed="false">
      <c r="A655" s="5" t="n">
        <v>3556700</v>
      </c>
      <c r="B655" s="5" t="s">
        <v>765</v>
      </c>
      <c r="C655" s="5" t="s">
        <v>99</v>
      </c>
      <c r="D655" s="5" t="s">
        <v>114</v>
      </c>
      <c r="E655" s="5" t="s">
        <v>128</v>
      </c>
    </row>
    <row r="656" customFormat="false" ht="15" hidden="false" customHeight="true" outlineLevel="0" collapsed="false">
      <c r="A656" s="5" t="n">
        <v>3556800</v>
      </c>
      <c r="B656" s="5" t="s">
        <v>766</v>
      </c>
      <c r="C656" s="5" t="s">
        <v>99</v>
      </c>
      <c r="D656" s="5" t="s">
        <v>124</v>
      </c>
      <c r="E656" s="5" t="s">
        <v>198</v>
      </c>
    </row>
    <row r="657" customFormat="false" ht="15" hidden="false" customHeight="true" outlineLevel="0" collapsed="false">
      <c r="A657" s="5" t="n">
        <v>3556900</v>
      </c>
      <c r="B657" s="5" t="s">
        <v>767</v>
      </c>
      <c r="C657" s="5" t="s">
        <v>99</v>
      </c>
      <c r="D657" s="5" t="s">
        <v>124</v>
      </c>
      <c r="E657" s="5" t="s">
        <v>198</v>
      </c>
    </row>
    <row r="658" customFormat="false" ht="15" hidden="false" customHeight="true" outlineLevel="0" collapsed="false">
      <c r="A658" s="5" t="n">
        <v>3561200</v>
      </c>
      <c r="B658" s="5" t="s">
        <v>768</v>
      </c>
      <c r="C658" s="5" t="s">
        <v>142</v>
      </c>
      <c r="D658" s="5" t="s">
        <v>283</v>
      </c>
      <c r="E658" s="5" t="s">
        <v>167</v>
      </c>
    </row>
    <row r="659" customFormat="false" ht="15" hidden="false" customHeight="true" outlineLevel="0" collapsed="false">
      <c r="A659" s="5" t="n">
        <v>3561300</v>
      </c>
      <c r="B659" s="5" t="s">
        <v>769</v>
      </c>
      <c r="C659" s="5" t="s">
        <v>142</v>
      </c>
      <c r="D659" s="5" t="s">
        <v>283</v>
      </c>
      <c r="E659" s="5" t="s">
        <v>167</v>
      </c>
    </row>
    <row r="660" customFormat="false" ht="15" hidden="false" customHeight="true" outlineLevel="0" collapsed="false">
      <c r="A660" s="5" t="n">
        <v>3562700</v>
      </c>
      <c r="B660" s="5" t="s">
        <v>770</v>
      </c>
      <c r="C660" s="5" t="s">
        <v>142</v>
      </c>
      <c r="D660" s="5" t="s">
        <v>143</v>
      </c>
      <c r="E660" s="5" t="s">
        <v>172</v>
      </c>
    </row>
    <row r="661" customFormat="false" ht="15" hidden="false" customHeight="true" outlineLevel="0" collapsed="false">
      <c r="A661" s="5" t="n">
        <v>3566600</v>
      </c>
      <c r="B661" s="5" t="s">
        <v>771</v>
      </c>
      <c r="C661" s="5" t="s">
        <v>99</v>
      </c>
      <c r="D661" s="5" t="s">
        <v>114</v>
      </c>
      <c r="E661" s="5" t="s">
        <v>152</v>
      </c>
    </row>
    <row r="662" customFormat="false" ht="15" hidden="false" customHeight="true" outlineLevel="0" collapsed="false">
      <c r="A662" s="5" t="n">
        <v>3567600</v>
      </c>
      <c r="B662" s="5" t="s">
        <v>772</v>
      </c>
      <c r="C662" s="5" t="s">
        <v>99</v>
      </c>
      <c r="D662" s="5" t="s">
        <v>124</v>
      </c>
      <c r="E662" s="5" t="s">
        <v>198</v>
      </c>
    </row>
    <row r="663" customFormat="false" ht="15" hidden="false" customHeight="true" outlineLevel="0" collapsed="false">
      <c r="A663" s="5" t="n">
        <v>3567800</v>
      </c>
      <c r="B663" s="5" t="s">
        <v>773</v>
      </c>
      <c r="C663" s="5" t="s">
        <v>142</v>
      </c>
      <c r="D663" s="5" t="s">
        <v>143</v>
      </c>
      <c r="E663" s="5" t="s">
        <v>194</v>
      </c>
    </row>
    <row r="664" customFormat="false" ht="15" hidden="false" customHeight="true" outlineLevel="0" collapsed="false">
      <c r="A664" s="5" t="n">
        <v>3568400</v>
      </c>
      <c r="B664" s="5" t="s">
        <v>774</v>
      </c>
      <c r="C664" s="5" t="s">
        <v>142</v>
      </c>
      <c r="D664" s="5" t="s">
        <v>143</v>
      </c>
      <c r="E664" s="5" t="s">
        <v>194</v>
      </c>
    </row>
    <row r="665" customFormat="false" ht="15" hidden="false" customHeight="true" outlineLevel="0" collapsed="false">
      <c r="A665" s="5" t="n">
        <v>3576100</v>
      </c>
      <c r="B665" s="5" t="s">
        <v>775</v>
      </c>
      <c r="C665" s="5" t="s">
        <v>99</v>
      </c>
      <c r="D665" s="5" t="s">
        <v>114</v>
      </c>
      <c r="E665" s="5" t="s">
        <v>133</v>
      </c>
    </row>
    <row r="666" customFormat="false" ht="15" hidden="false" customHeight="true" outlineLevel="0" collapsed="false">
      <c r="A666" s="5" t="n">
        <v>3576200</v>
      </c>
      <c r="B666" s="5" t="s">
        <v>776</v>
      </c>
      <c r="C666" s="5" t="s">
        <v>99</v>
      </c>
      <c r="D666" s="5" t="s">
        <v>114</v>
      </c>
      <c r="E666" s="5" t="s">
        <v>133</v>
      </c>
    </row>
    <row r="667" customFormat="false" ht="15" hidden="false" customHeight="true" outlineLevel="0" collapsed="false">
      <c r="A667" s="5" t="n">
        <v>3576300</v>
      </c>
      <c r="B667" s="5" t="s">
        <v>777</v>
      </c>
      <c r="C667" s="5" t="s">
        <v>99</v>
      </c>
      <c r="D667" s="5" t="s">
        <v>114</v>
      </c>
      <c r="E667" s="5" t="s">
        <v>133</v>
      </c>
    </row>
    <row r="668" customFormat="false" ht="15" hidden="false" customHeight="true" outlineLevel="0" collapsed="false">
      <c r="A668" s="5" t="n">
        <v>3576500</v>
      </c>
      <c r="B668" s="5" t="s">
        <v>778</v>
      </c>
      <c r="C668" s="5" t="s">
        <v>99</v>
      </c>
      <c r="D668" s="5" t="s">
        <v>114</v>
      </c>
      <c r="E668" s="5" t="s">
        <v>133</v>
      </c>
    </row>
    <row r="669" customFormat="false" ht="15" hidden="false" customHeight="true" outlineLevel="0" collapsed="false">
      <c r="A669" s="5" t="n">
        <v>3576600</v>
      </c>
      <c r="B669" s="5" t="s">
        <v>779</v>
      </c>
      <c r="C669" s="5" t="s">
        <v>99</v>
      </c>
      <c r="D669" s="5" t="s">
        <v>114</v>
      </c>
      <c r="E669" s="5" t="s">
        <v>133</v>
      </c>
    </row>
    <row r="670" customFormat="false" ht="15" hidden="false" customHeight="true" outlineLevel="0" collapsed="false">
      <c r="A670" s="5" t="n">
        <v>3576700</v>
      </c>
      <c r="B670" s="5" t="s">
        <v>780</v>
      </c>
      <c r="C670" s="5" t="s">
        <v>99</v>
      </c>
      <c r="D670" s="5" t="s">
        <v>114</v>
      </c>
      <c r="E670" s="5" t="s">
        <v>133</v>
      </c>
    </row>
    <row r="671" customFormat="false" ht="15" hidden="false" customHeight="true" outlineLevel="0" collapsed="false">
      <c r="A671" s="5" t="n">
        <v>3576800</v>
      </c>
      <c r="B671" s="5" t="s">
        <v>781</v>
      </c>
      <c r="C671" s="5" t="s">
        <v>99</v>
      </c>
      <c r="D671" s="5" t="s">
        <v>114</v>
      </c>
      <c r="E671" s="5" t="s">
        <v>133</v>
      </c>
    </row>
    <row r="672" customFormat="false" ht="15" hidden="false" customHeight="true" outlineLevel="0" collapsed="false">
      <c r="A672" s="5" t="n">
        <v>3576900</v>
      </c>
      <c r="B672" s="5" t="s">
        <v>782</v>
      </c>
      <c r="C672" s="5" t="s">
        <v>99</v>
      </c>
      <c r="D672" s="5" t="s">
        <v>114</v>
      </c>
      <c r="E672" s="5" t="s">
        <v>133</v>
      </c>
    </row>
    <row r="673" customFormat="false" ht="15" hidden="false" customHeight="true" outlineLevel="0" collapsed="false">
      <c r="A673" s="5" t="n">
        <v>3577000</v>
      </c>
      <c r="B673" s="5" t="s">
        <v>783</v>
      </c>
      <c r="C673" s="5" t="s">
        <v>99</v>
      </c>
      <c r="D673" s="5" t="s">
        <v>114</v>
      </c>
      <c r="E673" s="5" t="s">
        <v>133</v>
      </c>
    </row>
    <row r="674" customFormat="false" ht="15" hidden="false" customHeight="true" outlineLevel="0" collapsed="false">
      <c r="A674" s="5" t="n">
        <v>3577100</v>
      </c>
      <c r="B674" s="5" t="s">
        <v>784</v>
      </c>
      <c r="C674" s="5" t="s">
        <v>99</v>
      </c>
      <c r="D674" s="5" t="s">
        <v>114</v>
      </c>
      <c r="E674" s="5" t="s">
        <v>133</v>
      </c>
    </row>
    <row r="675" customFormat="false" ht="15" hidden="false" customHeight="true" outlineLevel="0" collapsed="false">
      <c r="A675" s="5" t="n">
        <v>3577300</v>
      </c>
      <c r="B675" s="5" t="s">
        <v>785</v>
      </c>
      <c r="C675" s="5" t="s">
        <v>142</v>
      </c>
      <c r="D675" s="5" t="s">
        <v>143</v>
      </c>
      <c r="E675" s="5" t="s">
        <v>212</v>
      </c>
    </row>
    <row r="676" customFormat="false" ht="15" hidden="false" customHeight="true" outlineLevel="0" collapsed="false">
      <c r="A676" s="5" t="n">
        <v>3577400</v>
      </c>
      <c r="B676" s="5" t="s">
        <v>786</v>
      </c>
      <c r="C676" s="5" t="s">
        <v>142</v>
      </c>
      <c r="D676" s="5" t="s">
        <v>143</v>
      </c>
      <c r="E676" s="5" t="s">
        <v>212</v>
      </c>
    </row>
    <row r="677" customFormat="false" ht="15" hidden="false" customHeight="true" outlineLevel="0" collapsed="false">
      <c r="A677" s="5" t="n">
        <v>3577500</v>
      </c>
      <c r="B677" s="5" t="s">
        <v>787</v>
      </c>
      <c r="C677" s="5" t="s">
        <v>142</v>
      </c>
      <c r="D677" s="5" t="s">
        <v>143</v>
      </c>
      <c r="E677" s="5" t="s">
        <v>212</v>
      </c>
    </row>
    <row r="678" customFormat="false" ht="15" hidden="false" customHeight="true" outlineLevel="0" collapsed="false">
      <c r="A678" s="5" t="n">
        <v>3577700</v>
      </c>
      <c r="B678" s="5" t="s">
        <v>788</v>
      </c>
      <c r="C678" s="5" t="s">
        <v>142</v>
      </c>
      <c r="D678" s="5" t="s">
        <v>143</v>
      </c>
      <c r="E678" s="5" t="s">
        <v>212</v>
      </c>
    </row>
    <row r="679" customFormat="false" ht="15" hidden="false" customHeight="true" outlineLevel="0" collapsed="false">
      <c r="A679" s="5" t="n">
        <v>3577900</v>
      </c>
      <c r="B679" s="5" t="s">
        <v>789</v>
      </c>
      <c r="C679" s="5" t="s">
        <v>142</v>
      </c>
      <c r="D679" s="5" t="s">
        <v>143</v>
      </c>
      <c r="E679" s="5" t="s">
        <v>212</v>
      </c>
    </row>
    <row r="680" customFormat="false" ht="15" hidden="false" customHeight="true" outlineLevel="0" collapsed="false">
      <c r="A680" s="5" t="n">
        <v>3578100</v>
      </c>
      <c r="B680" s="5" t="s">
        <v>790</v>
      </c>
      <c r="C680" s="5" t="s">
        <v>99</v>
      </c>
      <c r="D680" s="5" t="s">
        <v>114</v>
      </c>
      <c r="E680" s="5" t="s">
        <v>133</v>
      </c>
    </row>
    <row r="681" customFormat="false" ht="15" hidden="false" customHeight="true" outlineLevel="0" collapsed="false">
      <c r="A681" s="5" t="n">
        <v>3578200</v>
      </c>
      <c r="B681" s="5" t="s">
        <v>791</v>
      </c>
      <c r="C681" s="5" t="s">
        <v>99</v>
      </c>
      <c r="D681" s="5" t="s">
        <v>114</v>
      </c>
      <c r="E681" s="5" t="s">
        <v>133</v>
      </c>
    </row>
    <row r="682" customFormat="false" ht="15" hidden="false" customHeight="true" outlineLevel="0" collapsed="false">
      <c r="A682" s="5" t="n">
        <v>3578300</v>
      </c>
      <c r="B682" s="5" t="s">
        <v>792</v>
      </c>
      <c r="C682" s="5" t="s">
        <v>99</v>
      </c>
      <c r="D682" s="5" t="s">
        <v>114</v>
      </c>
      <c r="E682" s="5" t="s">
        <v>133</v>
      </c>
    </row>
    <row r="683" customFormat="false" ht="15" hidden="false" customHeight="true" outlineLevel="0" collapsed="false">
      <c r="A683" s="5" t="n">
        <v>3578400</v>
      </c>
      <c r="B683" s="5" t="s">
        <v>793</v>
      </c>
      <c r="C683" s="5" t="s">
        <v>142</v>
      </c>
      <c r="D683" s="5" t="s">
        <v>143</v>
      </c>
      <c r="E683" s="5" t="s">
        <v>212</v>
      </c>
    </row>
    <row r="684" customFormat="false" ht="15" hidden="false" customHeight="true" outlineLevel="0" collapsed="false">
      <c r="A684" s="5" t="n">
        <v>3578500</v>
      </c>
      <c r="B684" s="5" t="s">
        <v>794</v>
      </c>
      <c r="C684" s="5" t="s">
        <v>142</v>
      </c>
      <c r="D684" s="5" t="s">
        <v>143</v>
      </c>
      <c r="E684" s="5" t="s">
        <v>212</v>
      </c>
    </row>
    <row r="685" customFormat="false" ht="15" hidden="false" customHeight="true" outlineLevel="0" collapsed="false">
      <c r="A685" s="5" t="n">
        <v>3580700</v>
      </c>
      <c r="B685" s="5" t="s">
        <v>795</v>
      </c>
      <c r="C685" s="5" t="s">
        <v>99</v>
      </c>
      <c r="D685" s="5" t="s">
        <v>114</v>
      </c>
      <c r="E685" s="5" t="s">
        <v>133</v>
      </c>
    </row>
    <row r="686" customFormat="false" ht="15" hidden="false" customHeight="true" outlineLevel="0" collapsed="false">
      <c r="A686" s="5" t="n">
        <v>3609800</v>
      </c>
      <c r="B686" s="5" t="s">
        <v>796</v>
      </c>
      <c r="C686" s="5" t="s">
        <v>99</v>
      </c>
      <c r="D686" s="5" t="s">
        <v>100</v>
      </c>
      <c r="E686" s="5" t="s">
        <v>100</v>
      </c>
    </row>
    <row r="687" customFormat="false" ht="15" hidden="false" customHeight="true" outlineLevel="0" collapsed="false">
      <c r="A687" s="5" t="n">
        <v>3609900</v>
      </c>
      <c r="B687" s="5" t="s">
        <v>797</v>
      </c>
      <c r="C687" s="5" t="s">
        <v>99</v>
      </c>
      <c r="D687" s="5" t="s">
        <v>100</v>
      </c>
      <c r="E687" s="5" t="s">
        <v>100</v>
      </c>
    </row>
    <row r="688" customFormat="false" ht="15" hidden="false" customHeight="true" outlineLevel="0" collapsed="false">
      <c r="A688" s="5" t="n">
        <v>3612900</v>
      </c>
      <c r="B688" s="5" t="s">
        <v>798</v>
      </c>
      <c r="C688" s="5" t="s">
        <v>142</v>
      </c>
      <c r="D688" s="5" t="s">
        <v>143</v>
      </c>
      <c r="E688" s="5" t="s">
        <v>167</v>
      </c>
    </row>
    <row r="689" customFormat="false" ht="15" hidden="false" customHeight="true" outlineLevel="0" collapsed="false">
      <c r="A689" s="5" t="n">
        <v>3613000</v>
      </c>
      <c r="B689" s="5" t="s">
        <v>799</v>
      </c>
      <c r="C689" s="5" t="s">
        <v>142</v>
      </c>
      <c r="D689" s="5" t="s">
        <v>143</v>
      </c>
      <c r="E689" s="5" t="s">
        <v>167</v>
      </c>
    </row>
    <row r="690" customFormat="false" ht="15" hidden="false" customHeight="true" outlineLevel="0" collapsed="false">
      <c r="A690" s="5" t="n">
        <v>3613100</v>
      </c>
      <c r="B690" s="5" t="s">
        <v>800</v>
      </c>
      <c r="C690" s="5" t="s">
        <v>142</v>
      </c>
      <c r="D690" s="5" t="s">
        <v>143</v>
      </c>
      <c r="E690" s="5" t="s">
        <v>194</v>
      </c>
    </row>
    <row r="691" customFormat="false" ht="15" hidden="false" customHeight="true" outlineLevel="0" collapsed="false">
      <c r="A691" s="5" t="n">
        <v>3613800</v>
      </c>
      <c r="B691" s="5" t="s">
        <v>801</v>
      </c>
      <c r="C691" s="5" t="s">
        <v>99</v>
      </c>
      <c r="D691" s="5" t="s">
        <v>114</v>
      </c>
      <c r="E691" s="5" t="s">
        <v>152</v>
      </c>
    </row>
    <row r="692" customFormat="false" ht="15" hidden="false" customHeight="true" outlineLevel="0" collapsed="false">
      <c r="A692" s="5" t="n">
        <v>3613900</v>
      </c>
      <c r="B692" s="5" t="s">
        <v>802</v>
      </c>
      <c r="C692" s="5" t="s">
        <v>99</v>
      </c>
      <c r="D692" s="5" t="s">
        <v>114</v>
      </c>
      <c r="E692" s="5" t="s">
        <v>152</v>
      </c>
    </row>
    <row r="693" customFormat="false" ht="15" hidden="false" customHeight="true" outlineLevel="0" collapsed="false">
      <c r="A693" s="5" t="n">
        <v>3614000</v>
      </c>
      <c r="B693" s="5" t="s">
        <v>803</v>
      </c>
      <c r="C693" s="5" t="s">
        <v>99</v>
      </c>
      <c r="D693" s="5" t="s">
        <v>114</v>
      </c>
      <c r="E693" s="5" t="s">
        <v>152</v>
      </c>
    </row>
    <row r="694" customFormat="false" ht="15" hidden="false" customHeight="true" outlineLevel="0" collapsed="false">
      <c r="A694" s="5" t="n">
        <v>3614100</v>
      </c>
      <c r="B694" s="5" t="s">
        <v>804</v>
      </c>
      <c r="C694" s="5" t="s">
        <v>99</v>
      </c>
      <c r="D694" s="5" t="s">
        <v>114</v>
      </c>
      <c r="E694" s="5" t="s">
        <v>152</v>
      </c>
    </row>
    <row r="695" customFormat="false" ht="15" hidden="false" customHeight="true" outlineLevel="0" collapsed="false">
      <c r="A695" s="5" t="n">
        <v>3614200</v>
      </c>
      <c r="B695" s="5" t="s">
        <v>805</v>
      </c>
      <c r="C695" s="5" t="s">
        <v>99</v>
      </c>
      <c r="D695" s="5" t="s">
        <v>114</v>
      </c>
      <c r="E695" s="5" t="s">
        <v>152</v>
      </c>
    </row>
    <row r="696" customFormat="false" ht="15" hidden="false" customHeight="true" outlineLevel="0" collapsed="false">
      <c r="A696" s="5" t="n">
        <v>3614300</v>
      </c>
      <c r="B696" s="5" t="s">
        <v>806</v>
      </c>
      <c r="C696" s="5" t="s">
        <v>99</v>
      </c>
      <c r="D696" s="5" t="s">
        <v>114</v>
      </c>
      <c r="E696" s="5" t="s">
        <v>152</v>
      </c>
    </row>
    <row r="697" customFormat="false" ht="15" hidden="false" customHeight="true" outlineLevel="0" collapsed="false">
      <c r="A697" s="5" t="n">
        <v>3614400</v>
      </c>
      <c r="B697" s="5" t="s">
        <v>807</v>
      </c>
      <c r="C697" s="5" t="s">
        <v>99</v>
      </c>
      <c r="D697" s="5" t="s">
        <v>114</v>
      </c>
      <c r="E697" s="5" t="s">
        <v>152</v>
      </c>
    </row>
    <row r="698" customFormat="false" ht="15" hidden="false" customHeight="true" outlineLevel="0" collapsed="false">
      <c r="A698" s="5" t="n">
        <v>3614500</v>
      </c>
      <c r="B698" s="5" t="s">
        <v>808</v>
      </c>
      <c r="C698" s="5" t="s">
        <v>99</v>
      </c>
      <c r="D698" s="5" t="s">
        <v>114</v>
      </c>
      <c r="E698" s="5" t="s">
        <v>152</v>
      </c>
    </row>
    <row r="699" customFormat="false" ht="15" hidden="false" customHeight="true" outlineLevel="0" collapsed="false">
      <c r="A699" s="5" t="n">
        <v>3614600</v>
      </c>
      <c r="B699" s="5" t="s">
        <v>809</v>
      </c>
      <c r="C699" s="5" t="s">
        <v>99</v>
      </c>
      <c r="D699" s="5" t="s">
        <v>114</v>
      </c>
      <c r="E699" s="5" t="s">
        <v>152</v>
      </c>
    </row>
    <row r="700" customFormat="false" ht="15" hidden="false" customHeight="true" outlineLevel="0" collapsed="false">
      <c r="A700" s="5" t="n">
        <v>3614700</v>
      </c>
      <c r="B700" s="5" t="s">
        <v>810</v>
      </c>
      <c r="C700" s="5" t="s">
        <v>99</v>
      </c>
      <c r="D700" s="5" t="s">
        <v>114</v>
      </c>
      <c r="E700" s="5" t="s">
        <v>152</v>
      </c>
    </row>
    <row r="701" customFormat="false" ht="15" hidden="false" customHeight="true" outlineLevel="0" collapsed="false">
      <c r="A701" s="5" t="n">
        <v>3616900</v>
      </c>
      <c r="B701" s="5" t="s">
        <v>811</v>
      </c>
      <c r="C701" s="5" t="s">
        <v>142</v>
      </c>
      <c r="D701" s="5" t="s">
        <v>143</v>
      </c>
      <c r="E701" s="5" t="s">
        <v>167</v>
      </c>
    </row>
    <row r="702" customFormat="false" ht="15" hidden="false" customHeight="true" outlineLevel="0" collapsed="false">
      <c r="A702" s="5" t="n">
        <v>3617000</v>
      </c>
      <c r="B702" s="5" t="s">
        <v>812</v>
      </c>
      <c r="C702" s="5" t="s">
        <v>142</v>
      </c>
      <c r="D702" s="5" t="s">
        <v>143</v>
      </c>
      <c r="E702" s="5" t="s">
        <v>167</v>
      </c>
    </row>
    <row r="703" customFormat="false" ht="15" hidden="false" customHeight="true" outlineLevel="0" collapsed="false">
      <c r="A703" s="5" t="n">
        <v>3617100</v>
      </c>
      <c r="B703" s="5" t="s">
        <v>813</v>
      </c>
      <c r="C703" s="5" t="s">
        <v>142</v>
      </c>
      <c r="D703" s="5" t="s">
        <v>143</v>
      </c>
      <c r="E703" s="5" t="s">
        <v>167</v>
      </c>
    </row>
    <row r="704" customFormat="false" ht="15" hidden="false" customHeight="true" outlineLevel="0" collapsed="false">
      <c r="A704" s="5" t="n">
        <v>3617200</v>
      </c>
      <c r="B704" s="5" t="s">
        <v>814</v>
      </c>
      <c r="C704" s="5" t="s">
        <v>142</v>
      </c>
      <c r="D704" s="5" t="s">
        <v>143</v>
      </c>
      <c r="E704" s="5" t="s">
        <v>167</v>
      </c>
    </row>
    <row r="705" customFormat="false" ht="15" hidden="false" customHeight="true" outlineLevel="0" collapsed="false">
      <c r="A705" s="5" t="n">
        <v>3617300</v>
      </c>
      <c r="B705" s="5" t="s">
        <v>815</v>
      </c>
      <c r="C705" s="5" t="s">
        <v>142</v>
      </c>
      <c r="D705" s="5" t="s">
        <v>143</v>
      </c>
      <c r="E705" s="5" t="s">
        <v>167</v>
      </c>
    </row>
    <row r="706" customFormat="false" ht="15" hidden="false" customHeight="true" outlineLevel="0" collapsed="false">
      <c r="A706" s="5" t="n">
        <v>3617400</v>
      </c>
      <c r="B706" s="5" t="s">
        <v>816</v>
      </c>
      <c r="C706" s="5" t="s">
        <v>142</v>
      </c>
      <c r="D706" s="5" t="s">
        <v>143</v>
      </c>
      <c r="E706" s="5" t="s">
        <v>167</v>
      </c>
    </row>
    <row r="707" customFormat="false" ht="15" hidden="false" customHeight="true" outlineLevel="0" collapsed="false">
      <c r="A707" s="5" t="n">
        <v>3617700</v>
      </c>
      <c r="B707" s="5" t="s">
        <v>817</v>
      </c>
      <c r="C707" s="5" t="s">
        <v>99</v>
      </c>
      <c r="D707" s="5" t="s">
        <v>114</v>
      </c>
      <c r="E707" s="5" t="s">
        <v>115</v>
      </c>
    </row>
    <row r="708" customFormat="false" ht="15" hidden="false" customHeight="true" outlineLevel="0" collapsed="false">
      <c r="A708" s="5" t="n">
        <v>3617800</v>
      </c>
      <c r="B708" s="5" t="s">
        <v>818</v>
      </c>
      <c r="C708" s="5" t="s">
        <v>99</v>
      </c>
      <c r="D708" s="5" t="s">
        <v>114</v>
      </c>
      <c r="E708" s="5" t="s">
        <v>115</v>
      </c>
    </row>
    <row r="709" customFormat="false" ht="15" hidden="false" customHeight="true" outlineLevel="0" collapsed="false">
      <c r="A709" s="5" t="n">
        <v>3624700</v>
      </c>
      <c r="B709" s="5" t="s">
        <v>220</v>
      </c>
      <c r="C709" s="5" t="s">
        <v>99</v>
      </c>
      <c r="D709" s="5" t="s">
        <v>124</v>
      </c>
      <c r="E709" s="5" t="s">
        <v>198</v>
      </c>
    </row>
    <row r="710" customFormat="false" ht="15" hidden="false" customHeight="true" outlineLevel="0" collapsed="false">
      <c r="A710" s="5" t="n">
        <v>3624800</v>
      </c>
      <c r="B710" s="5" t="s">
        <v>290</v>
      </c>
      <c r="C710" s="5" t="s">
        <v>99</v>
      </c>
      <c r="D710" s="5" t="s">
        <v>124</v>
      </c>
      <c r="E710" s="5" t="s">
        <v>198</v>
      </c>
    </row>
    <row r="711" customFormat="false" ht="15" hidden="false" customHeight="true" outlineLevel="0" collapsed="false">
      <c r="A711" s="5" t="n">
        <v>3626100</v>
      </c>
      <c r="B711" s="5" t="s">
        <v>819</v>
      </c>
      <c r="C711" s="5" t="s">
        <v>99</v>
      </c>
      <c r="D711" s="5" t="s">
        <v>124</v>
      </c>
      <c r="E711" s="5" t="s">
        <v>198</v>
      </c>
    </row>
    <row r="712" customFormat="false" ht="15" hidden="false" customHeight="true" outlineLevel="0" collapsed="false">
      <c r="A712" s="5" t="n">
        <v>3626600</v>
      </c>
      <c r="B712" s="5" t="s">
        <v>820</v>
      </c>
      <c r="C712" s="5" t="s">
        <v>142</v>
      </c>
      <c r="D712" s="5" t="s">
        <v>143</v>
      </c>
      <c r="E712" s="5" t="s">
        <v>167</v>
      </c>
    </row>
    <row r="713" customFormat="false" ht="15" hidden="false" customHeight="true" outlineLevel="0" collapsed="false">
      <c r="A713" s="5" t="n">
        <v>3626700</v>
      </c>
      <c r="B713" s="5" t="s">
        <v>821</v>
      </c>
      <c r="C713" s="5" t="s">
        <v>142</v>
      </c>
      <c r="D713" s="5" t="s">
        <v>143</v>
      </c>
      <c r="E713" s="5" t="s">
        <v>167</v>
      </c>
    </row>
    <row r="714" customFormat="false" ht="15" hidden="false" customHeight="true" outlineLevel="0" collapsed="false">
      <c r="A714" s="5" t="n">
        <v>3626800</v>
      </c>
      <c r="B714" s="5" t="s">
        <v>822</v>
      </c>
      <c r="C714" s="5" t="s">
        <v>142</v>
      </c>
      <c r="D714" s="5" t="s">
        <v>143</v>
      </c>
      <c r="E714" s="5" t="s">
        <v>167</v>
      </c>
    </row>
    <row r="715" customFormat="false" ht="15" hidden="false" customHeight="true" outlineLevel="0" collapsed="false">
      <c r="A715" s="5" t="n">
        <v>3627200</v>
      </c>
      <c r="B715" s="5" t="s">
        <v>823</v>
      </c>
      <c r="C715" s="5" t="s">
        <v>142</v>
      </c>
      <c r="D715" s="5" t="s">
        <v>283</v>
      </c>
      <c r="E715" s="5" t="s">
        <v>167</v>
      </c>
    </row>
    <row r="716" customFormat="false" ht="15" hidden="false" customHeight="true" outlineLevel="0" collapsed="false">
      <c r="A716" s="5" t="n">
        <v>3627300</v>
      </c>
      <c r="B716" s="5" t="s">
        <v>824</v>
      </c>
      <c r="C716" s="5" t="s">
        <v>142</v>
      </c>
      <c r="D716" s="5" t="s">
        <v>283</v>
      </c>
      <c r="E716" s="5" t="s">
        <v>167</v>
      </c>
    </row>
    <row r="717" customFormat="false" ht="15" hidden="false" customHeight="true" outlineLevel="0" collapsed="false">
      <c r="A717" s="5" t="n">
        <v>3627400</v>
      </c>
      <c r="B717" s="5" t="s">
        <v>825</v>
      </c>
      <c r="C717" s="5" t="s">
        <v>142</v>
      </c>
      <c r="D717" s="5" t="s">
        <v>283</v>
      </c>
      <c r="E717" s="5" t="s">
        <v>167</v>
      </c>
    </row>
    <row r="718" customFormat="false" ht="15" hidden="false" customHeight="true" outlineLevel="0" collapsed="false">
      <c r="A718" s="5" t="n">
        <v>3627500</v>
      </c>
      <c r="B718" s="5" t="s">
        <v>826</v>
      </c>
      <c r="C718" s="5" t="s">
        <v>142</v>
      </c>
      <c r="D718" s="5" t="s">
        <v>143</v>
      </c>
      <c r="E718" s="5" t="s">
        <v>172</v>
      </c>
    </row>
    <row r="719" customFormat="false" ht="15" hidden="false" customHeight="true" outlineLevel="0" collapsed="false">
      <c r="A719" s="5" t="n">
        <v>3627800</v>
      </c>
      <c r="B719" s="5" t="s">
        <v>827</v>
      </c>
      <c r="C719" s="5" t="s">
        <v>99</v>
      </c>
      <c r="D719" s="5" t="s">
        <v>114</v>
      </c>
      <c r="E719" s="5" t="s">
        <v>152</v>
      </c>
    </row>
    <row r="720" customFormat="false" ht="15" hidden="false" customHeight="true" outlineLevel="0" collapsed="false">
      <c r="A720" s="5" t="n">
        <v>3630000</v>
      </c>
      <c r="B720" s="5" t="s">
        <v>828</v>
      </c>
      <c r="C720" s="5" t="s">
        <v>99</v>
      </c>
      <c r="D720" s="5" t="s">
        <v>114</v>
      </c>
      <c r="E720" s="5" t="s">
        <v>152</v>
      </c>
    </row>
    <row r="721" customFormat="false" ht="15" hidden="false" customHeight="true" outlineLevel="0" collapsed="false">
      <c r="A721" s="5" t="n">
        <v>3656700</v>
      </c>
      <c r="B721" s="5" t="s">
        <v>829</v>
      </c>
      <c r="C721" s="5" t="s">
        <v>142</v>
      </c>
      <c r="D721" s="5" t="s">
        <v>143</v>
      </c>
      <c r="E721" s="5" t="s">
        <v>194</v>
      </c>
    </row>
    <row r="722" customFormat="false" ht="15" hidden="false" customHeight="true" outlineLevel="0" collapsed="false">
      <c r="A722" s="5" t="n">
        <v>3656900</v>
      </c>
      <c r="B722" s="5" t="s">
        <v>830</v>
      </c>
      <c r="C722" s="5" t="s">
        <v>142</v>
      </c>
      <c r="D722" s="5" t="s">
        <v>143</v>
      </c>
      <c r="E722" s="5" t="s">
        <v>212</v>
      </c>
    </row>
    <row r="723" customFormat="false" ht="15" hidden="false" customHeight="true" outlineLevel="0" collapsed="false">
      <c r="A723" s="5" t="n">
        <v>3657000</v>
      </c>
      <c r="B723" s="5" t="s">
        <v>831</v>
      </c>
      <c r="C723" s="5" t="s">
        <v>142</v>
      </c>
      <c r="D723" s="5" t="s">
        <v>143</v>
      </c>
      <c r="E723" s="5" t="s">
        <v>264</v>
      </c>
    </row>
    <row r="724" customFormat="false" ht="15" hidden="false" customHeight="true" outlineLevel="0" collapsed="false">
      <c r="A724" s="5" t="n">
        <v>3657100</v>
      </c>
      <c r="B724" s="5" t="s">
        <v>832</v>
      </c>
      <c r="C724" s="5" t="s">
        <v>142</v>
      </c>
      <c r="D724" s="5" t="s">
        <v>143</v>
      </c>
      <c r="E724" s="5" t="s">
        <v>264</v>
      </c>
    </row>
    <row r="725" customFormat="false" ht="15" hidden="false" customHeight="true" outlineLevel="0" collapsed="false">
      <c r="A725" s="5" t="n">
        <v>3657300</v>
      </c>
      <c r="B725" s="5" t="s">
        <v>833</v>
      </c>
      <c r="C725" s="5" t="s">
        <v>99</v>
      </c>
      <c r="D725" s="5" t="s">
        <v>114</v>
      </c>
      <c r="E725" s="5" t="s">
        <v>128</v>
      </c>
    </row>
    <row r="726" customFormat="false" ht="15" hidden="false" customHeight="true" outlineLevel="0" collapsed="false">
      <c r="A726" s="5" t="n">
        <v>3657400</v>
      </c>
      <c r="B726" s="5" t="s">
        <v>834</v>
      </c>
      <c r="C726" s="5" t="s">
        <v>99</v>
      </c>
      <c r="D726" s="5" t="s">
        <v>114</v>
      </c>
      <c r="E726" s="5" t="s">
        <v>128</v>
      </c>
    </row>
    <row r="727" customFormat="false" ht="15" hidden="false" customHeight="true" outlineLevel="0" collapsed="false">
      <c r="A727" s="5" t="n">
        <v>3657700</v>
      </c>
      <c r="B727" s="5" t="s">
        <v>835</v>
      </c>
      <c r="C727" s="5" t="s">
        <v>99</v>
      </c>
      <c r="D727" s="5" t="s">
        <v>124</v>
      </c>
      <c r="E727" s="5" t="s">
        <v>198</v>
      </c>
    </row>
    <row r="728" customFormat="false" ht="15" hidden="false" customHeight="true" outlineLevel="0" collapsed="false">
      <c r="A728" s="5" t="n">
        <v>3657800</v>
      </c>
      <c r="B728" s="5" t="s">
        <v>836</v>
      </c>
      <c r="C728" s="5" t="s">
        <v>99</v>
      </c>
      <c r="D728" s="5" t="s">
        <v>124</v>
      </c>
      <c r="E728" s="5" t="s">
        <v>198</v>
      </c>
    </row>
    <row r="729" customFormat="false" ht="15" hidden="false" customHeight="true" outlineLevel="0" collapsed="false">
      <c r="A729" s="5" t="n">
        <v>3657900</v>
      </c>
      <c r="B729" s="5" t="s">
        <v>837</v>
      </c>
      <c r="C729" s="5" t="s">
        <v>99</v>
      </c>
      <c r="D729" s="5" t="s">
        <v>124</v>
      </c>
      <c r="E729" s="5" t="s">
        <v>125</v>
      </c>
    </row>
    <row r="730" customFormat="false" ht="15" hidden="false" customHeight="true" outlineLevel="0" collapsed="false">
      <c r="A730" s="5" t="n">
        <v>3658000</v>
      </c>
      <c r="B730" s="5" t="s">
        <v>838</v>
      </c>
      <c r="C730" s="5" t="s">
        <v>99</v>
      </c>
      <c r="D730" s="5" t="s">
        <v>124</v>
      </c>
      <c r="E730" s="5" t="s">
        <v>125</v>
      </c>
    </row>
    <row r="731" customFormat="false" ht="15" hidden="false" customHeight="true" outlineLevel="0" collapsed="false">
      <c r="A731" s="5" t="n">
        <v>3658100</v>
      </c>
      <c r="B731" s="5" t="s">
        <v>839</v>
      </c>
      <c r="C731" s="5" t="s">
        <v>99</v>
      </c>
      <c r="D731" s="5" t="s">
        <v>124</v>
      </c>
      <c r="E731" s="5" t="s">
        <v>125</v>
      </c>
    </row>
    <row r="732" customFormat="false" ht="15" hidden="false" customHeight="true" outlineLevel="0" collapsed="false">
      <c r="A732" s="5" t="n">
        <v>3658200</v>
      </c>
      <c r="B732" s="5" t="s">
        <v>840</v>
      </c>
      <c r="C732" s="5" t="s">
        <v>99</v>
      </c>
      <c r="D732" s="5" t="s">
        <v>124</v>
      </c>
      <c r="E732" s="5" t="s">
        <v>125</v>
      </c>
    </row>
    <row r="733" customFormat="false" ht="15" hidden="false" customHeight="true" outlineLevel="0" collapsed="false">
      <c r="A733" s="5" t="n">
        <v>3659100</v>
      </c>
      <c r="B733" s="5" t="s">
        <v>841</v>
      </c>
      <c r="C733" s="5" t="s">
        <v>99</v>
      </c>
      <c r="D733" s="5" t="s">
        <v>114</v>
      </c>
      <c r="E733" s="5" t="s">
        <v>128</v>
      </c>
    </row>
    <row r="734" customFormat="false" ht="15" hidden="false" customHeight="true" outlineLevel="0" collapsed="false">
      <c r="A734" s="5" t="n">
        <v>3734300</v>
      </c>
      <c r="B734" s="5" t="s">
        <v>462</v>
      </c>
      <c r="C734" s="5" t="s">
        <v>99</v>
      </c>
      <c r="D734" s="5" t="s">
        <v>100</v>
      </c>
      <c r="E734" s="5" t="s">
        <v>100</v>
      </c>
    </row>
    <row r="735" customFormat="false" ht="15" hidden="false" customHeight="true" outlineLevel="0" collapsed="false">
      <c r="A735" s="5" t="n">
        <v>3734400</v>
      </c>
      <c r="B735" s="5" t="s">
        <v>465</v>
      </c>
      <c r="C735" s="5" t="s">
        <v>99</v>
      </c>
      <c r="D735" s="5" t="s">
        <v>100</v>
      </c>
      <c r="E735" s="5" t="s">
        <v>100</v>
      </c>
    </row>
    <row r="736" customFormat="false" ht="15" hidden="false" customHeight="true" outlineLevel="0" collapsed="false">
      <c r="A736" s="5" t="n">
        <v>3734500</v>
      </c>
      <c r="B736" s="5" t="s">
        <v>497</v>
      </c>
      <c r="C736" s="5" t="s">
        <v>99</v>
      </c>
      <c r="D736" s="5" t="s">
        <v>100</v>
      </c>
      <c r="E736" s="5" t="s">
        <v>100</v>
      </c>
    </row>
    <row r="737" customFormat="false" ht="15" hidden="false" customHeight="true" outlineLevel="0" collapsed="false">
      <c r="A737" s="5" t="n">
        <v>3734600</v>
      </c>
      <c r="B737" s="5" t="s">
        <v>498</v>
      </c>
      <c r="C737" s="5" t="s">
        <v>99</v>
      </c>
      <c r="D737" s="5" t="s">
        <v>100</v>
      </c>
      <c r="E737" s="5" t="s">
        <v>100</v>
      </c>
    </row>
    <row r="738" customFormat="false" ht="15" hidden="false" customHeight="true" outlineLevel="0" collapsed="false">
      <c r="A738" s="5" t="n">
        <v>3735100</v>
      </c>
      <c r="B738" s="5" t="s">
        <v>842</v>
      </c>
      <c r="C738" s="5" t="s">
        <v>99</v>
      </c>
      <c r="D738" s="5" t="s">
        <v>114</v>
      </c>
      <c r="E738" s="5" t="s">
        <v>117</v>
      </c>
    </row>
    <row r="739" customFormat="false" ht="15" hidden="false" customHeight="true" outlineLevel="0" collapsed="false">
      <c r="A739" s="5" t="n">
        <v>3735200</v>
      </c>
      <c r="B739" s="5" t="s">
        <v>843</v>
      </c>
      <c r="C739" s="5" t="s">
        <v>142</v>
      </c>
      <c r="D739" s="5" t="s">
        <v>143</v>
      </c>
      <c r="E739" s="5" t="s">
        <v>117</v>
      </c>
    </row>
    <row r="740" customFormat="false" ht="15" hidden="false" customHeight="true" outlineLevel="0" collapsed="false">
      <c r="A740" s="5" t="n">
        <v>3735300</v>
      </c>
      <c r="B740" s="5" t="s">
        <v>844</v>
      </c>
      <c r="C740" s="5" t="s">
        <v>99</v>
      </c>
      <c r="D740" s="5" t="s">
        <v>114</v>
      </c>
      <c r="E740" s="5" t="s">
        <v>117</v>
      </c>
    </row>
    <row r="741" customFormat="false" ht="15" hidden="false" customHeight="true" outlineLevel="0" collapsed="false">
      <c r="A741" s="5" t="n">
        <v>3735400</v>
      </c>
      <c r="B741" s="5" t="s">
        <v>845</v>
      </c>
      <c r="C741" s="5" t="s">
        <v>142</v>
      </c>
      <c r="D741" s="5" t="s">
        <v>143</v>
      </c>
      <c r="E741" s="5" t="s">
        <v>117</v>
      </c>
    </row>
    <row r="742" customFormat="false" ht="15" hidden="false" customHeight="true" outlineLevel="0" collapsed="false">
      <c r="A742" s="5" t="n">
        <v>3737000</v>
      </c>
      <c r="B742" s="5" t="s">
        <v>846</v>
      </c>
      <c r="C742" s="5" t="s">
        <v>99</v>
      </c>
      <c r="D742" s="5" t="s">
        <v>114</v>
      </c>
      <c r="E742" s="5" t="s">
        <v>152</v>
      </c>
    </row>
    <row r="743" customFormat="false" ht="15" hidden="false" customHeight="true" outlineLevel="0" collapsed="false">
      <c r="A743" s="5" t="n">
        <v>3745300</v>
      </c>
      <c r="B743" s="5" t="s">
        <v>847</v>
      </c>
      <c r="C743" s="5" t="s">
        <v>99</v>
      </c>
      <c r="D743" s="5" t="s">
        <v>100</v>
      </c>
      <c r="E743" s="5" t="s">
        <v>100</v>
      </c>
    </row>
    <row r="744" customFormat="false" ht="15" hidden="false" customHeight="true" outlineLevel="0" collapsed="false">
      <c r="A744" s="5" t="n">
        <v>3745400</v>
      </c>
      <c r="B744" s="5" t="s">
        <v>848</v>
      </c>
      <c r="C744" s="5" t="s">
        <v>99</v>
      </c>
      <c r="D744" s="5" t="s">
        <v>114</v>
      </c>
      <c r="E744" s="5" t="s">
        <v>133</v>
      </c>
    </row>
    <row r="745" customFormat="false" ht="15" hidden="false" customHeight="true" outlineLevel="0" collapsed="false">
      <c r="A745" s="5" t="n">
        <v>3745700</v>
      </c>
      <c r="B745" s="5" t="s">
        <v>849</v>
      </c>
      <c r="C745" s="5" t="s">
        <v>99</v>
      </c>
      <c r="D745" s="5" t="s">
        <v>114</v>
      </c>
      <c r="E745" s="5" t="s">
        <v>133</v>
      </c>
    </row>
    <row r="746" customFormat="false" ht="15" hidden="false" customHeight="true" outlineLevel="0" collapsed="false">
      <c r="A746" s="5" t="n">
        <v>3745800</v>
      </c>
      <c r="B746" s="5" t="s">
        <v>850</v>
      </c>
      <c r="C746" s="5" t="s">
        <v>99</v>
      </c>
      <c r="D746" s="5" t="s">
        <v>114</v>
      </c>
      <c r="E746" s="5" t="s">
        <v>115</v>
      </c>
    </row>
    <row r="747" customFormat="false" ht="15" hidden="false" customHeight="true" outlineLevel="0" collapsed="false">
      <c r="A747" s="5" t="n">
        <v>3751800</v>
      </c>
      <c r="B747" s="5" t="s">
        <v>851</v>
      </c>
      <c r="C747" s="5" t="s">
        <v>142</v>
      </c>
      <c r="D747" s="5" t="s">
        <v>143</v>
      </c>
      <c r="E747" s="5" t="s">
        <v>264</v>
      </c>
    </row>
    <row r="748" customFormat="false" ht="15" hidden="false" customHeight="true" outlineLevel="0" collapsed="false">
      <c r="A748" s="5" t="n">
        <v>3755100</v>
      </c>
      <c r="B748" s="5" t="s">
        <v>852</v>
      </c>
      <c r="C748" s="5" t="s">
        <v>142</v>
      </c>
      <c r="D748" s="5" t="s">
        <v>143</v>
      </c>
      <c r="E748" s="5" t="s">
        <v>194</v>
      </c>
    </row>
    <row r="749" customFormat="false" ht="15" hidden="false" customHeight="true" outlineLevel="0" collapsed="false">
      <c r="A749" s="5" t="n">
        <v>3755200</v>
      </c>
      <c r="B749" s="5" t="s">
        <v>853</v>
      </c>
      <c r="C749" s="5" t="s">
        <v>142</v>
      </c>
      <c r="D749" s="5" t="s">
        <v>143</v>
      </c>
      <c r="E749" s="5" t="s">
        <v>194</v>
      </c>
    </row>
    <row r="750" customFormat="false" ht="15" hidden="false" customHeight="true" outlineLevel="0" collapsed="false">
      <c r="A750" s="5" t="n">
        <v>3773000</v>
      </c>
      <c r="B750" s="5" t="s">
        <v>854</v>
      </c>
      <c r="C750" s="5" t="s">
        <v>99</v>
      </c>
      <c r="D750" s="5" t="s">
        <v>114</v>
      </c>
      <c r="E750" s="5" t="s">
        <v>115</v>
      </c>
    </row>
    <row r="751" customFormat="false" ht="15" hidden="false" customHeight="true" outlineLevel="0" collapsed="false">
      <c r="A751" s="5" t="n">
        <v>3773100</v>
      </c>
      <c r="B751" s="5" t="s">
        <v>363</v>
      </c>
      <c r="C751" s="5" t="s">
        <v>99</v>
      </c>
      <c r="D751" s="5" t="s">
        <v>114</v>
      </c>
      <c r="E751" s="5" t="s">
        <v>115</v>
      </c>
    </row>
    <row r="752" customFormat="false" ht="15" hidden="false" customHeight="true" outlineLevel="0" collapsed="false">
      <c r="A752" s="5" t="n">
        <v>3773200</v>
      </c>
      <c r="B752" s="5" t="s">
        <v>855</v>
      </c>
      <c r="C752" s="5" t="s">
        <v>142</v>
      </c>
      <c r="D752" s="5" t="s">
        <v>143</v>
      </c>
      <c r="E752" s="5" t="s">
        <v>167</v>
      </c>
    </row>
    <row r="753" customFormat="false" ht="15" hidden="false" customHeight="true" outlineLevel="0" collapsed="false">
      <c r="A753" s="5" t="n">
        <v>3773300</v>
      </c>
      <c r="B753" s="5" t="s">
        <v>856</v>
      </c>
      <c r="C753" s="5" t="s">
        <v>99</v>
      </c>
      <c r="D753" s="5" t="s">
        <v>114</v>
      </c>
      <c r="E753" s="5" t="s">
        <v>133</v>
      </c>
    </row>
    <row r="754" customFormat="false" ht="15" hidden="false" customHeight="true" outlineLevel="0" collapsed="false">
      <c r="A754" s="5" t="n">
        <v>3775900</v>
      </c>
      <c r="B754" s="5" t="s">
        <v>857</v>
      </c>
      <c r="C754" s="5" t="s">
        <v>99</v>
      </c>
      <c r="D754" s="5" t="s">
        <v>114</v>
      </c>
      <c r="E754" s="5" t="s">
        <v>152</v>
      </c>
    </row>
    <row r="755" customFormat="false" ht="15" hidden="false" customHeight="true" outlineLevel="0" collapsed="false">
      <c r="A755" s="5" t="n">
        <v>3776000</v>
      </c>
      <c r="B755" s="5" t="s">
        <v>858</v>
      </c>
      <c r="C755" s="5" t="s">
        <v>99</v>
      </c>
      <c r="D755" s="5" t="s">
        <v>114</v>
      </c>
      <c r="E755" s="5" t="s">
        <v>152</v>
      </c>
    </row>
    <row r="756" customFormat="false" ht="15" hidden="false" customHeight="true" outlineLevel="0" collapsed="false">
      <c r="A756" s="5" t="n">
        <v>3776100</v>
      </c>
      <c r="B756" s="5" t="s">
        <v>859</v>
      </c>
      <c r="C756" s="5" t="s">
        <v>99</v>
      </c>
      <c r="D756" s="5" t="s">
        <v>124</v>
      </c>
      <c r="E756" s="5" t="s">
        <v>198</v>
      </c>
    </row>
    <row r="757" customFormat="false" ht="15" hidden="false" customHeight="true" outlineLevel="0" collapsed="false">
      <c r="A757" s="5" t="n">
        <v>3776200</v>
      </c>
      <c r="B757" s="5" t="s">
        <v>860</v>
      </c>
      <c r="C757" s="5" t="s">
        <v>99</v>
      </c>
      <c r="D757" s="5" t="s">
        <v>124</v>
      </c>
      <c r="E757" s="5" t="s">
        <v>198</v>
      </c>
    </row>
    <row r="758" customFormat="false" ht="15" hidden="false" customHeight="true" outlineLevel="0" collapsed="false">
      <c r="A758" s="5" t="n">
        <v>3776300</v>
      </c>
      <c r="B758" s="5" t="s">
        <v>861</v>
      </c>
      <c r="C758" s="5" t="s">
        <v>99</v>
      </c>
      <c r="D758" s="5" t="s">
        <v>124</v>
      </c>
      <c r="E758" s="5" t="s">
        <v>198</v>
      </c>
    </row>
    <row r="759" customFormat="false" ht="15" hidden="false" customHeight="true" outlineLevel="0" collapsed="false">
      <c r="A759" s="5" t="n">
        <v>3776400</v>
      </c>
      <c r="B759" s="5" t="s">
        <v>862</v>
      </c>
      <c r="C759" s="5" t="s">
        <v>99</v>
      </c>
      <c r="D759" s="5" t="s">
        <v>124</v>
      </c>
      <c r="E759" s="5" t="s">
        <v>198</v>
      </c>
    </row>
    <row r="760" customFormat="false" ht="15" hidden="false" customHeight="true" outlineLevel="0" collapsed="false">
      <c r="A760" s="5" t="n">
        <v>3776600</v>
      </c>
      <c r="B760" s="5" t="s">
        <v>863</v>
      </c>
      <c r="C760" s="5" t="s">
        <v>99</v>
      </c>
      <c r="D760" s="5" t="s">
        <v>114</v>
      </c>
      <c r="E760" s="5" t="s">
        <v>230</v>
      </c>
    </row>
    <row r="761" customFormat="false" ht="15" hidden="false" customHeight="true" outlineLevel="0" collapsed="false">
      <c r="A761" s="5" t="n">
        <v>3776700</v>
      </c>
      <c r="B761" s="5" t="s">
        <v>864</v>
      </c>
      <c r="C761" s="5" t="s">
        <v>99</v>
      </c>
      <c r="D761" s="5" t="s">
        <v>124</v>
      </c>
      <c r="E761" s="5" t="s">
        <v>198</v>
      </c>
    </row>
    <row r="762" customFormat="false" ht="15" hidden="false" customHeight="true" outlineLevel="0" collapsed="false">
      <c r="A762" s="5" t="n">
        <v>3777400</v>
      </c>
      <c r="B762" s="5" t="s">
        <v>865</v>
      </c>
      <c r="C762" s="5" t="s">
        <v>99</v>
      </c>
      <c r="D762" s="5" t="s">
        <v>124</v>
      </c>
      <c r="E762" s="5" t="s">
        <v>198</v>
      </c>
    </row>
    <row r="763" customFormat="false" ht="15" hidden="false" customHeight="true" outlineLevel="0" collapsed="false">
      <c r="A763" s="5" t="n">
        <v>3777700</v>
      </c>
      <c r="B763" s="5" t="s">
        <v>866</v>
      </c>
      <c r="C763" s="5" t="s">
        <v>99</v>
      </c>
      <c r="D763" s="5" t="s">
        <v>124</v>
      </c>
      <c r="E763" s="5" t="s">
        <v>198</v>
      </c>
    </row>
    <row r="764" customFormat="false" ht="15" hidden="false" customHeight="true" outlineLevel="0" collapsed="false">
      <c r="A764" s="5" t="n">
        <v>3777800</v>
      </c>
      <c r="B764" s="5" t="s">
        <v>867</v>
      </c>
      <c r="C764" s="5" t="s">
        <v>99</v>
      </c>
      <c r="D764" s="5" t="s">
        <v>124</v>
      </c>
      <c r="E764" s="5" t="s">
        <v>198</v>
      </c>
    </row>
    <row r="765" customFormat="false" ht="15" hidden="false" customHeight="true" outlineLevel="0" collapsed="false">
      <c r="A765" s="5" t="n">
        <v>3777900</v>
      </c>
      <c r="B765" s="5" t="s">
        <v>868</v>
      </c>
      <c r="C765" s="5" t="s">
        <v>99</v>
      </c>
      <c r="D765" s="5" t="s">
        <v>124</v>
      </c>
      <c r="E765" s="5" t="s">
        <v>198</v>
      </c>
    </row>
    <row r="766" customFormat="false" ht="15" hidden="false" customHeight="true" outlineLevel="0" collapsed="false">
      <c r="A766" s="5" t="n">
        <v>3778000</v>
      </c>
      <c r="B766" s="5" t="s">
        <v>869</v>
      </c>
      <c r="C766" s="5" t="s">
        <v>99</v>
      </c>
      <c r="D766" s="5" t="s">
        <v>114</v>
      </c>
      <c r="E766" s="5" t="s">
        <v>117</v>
      </c>
    </row>
    <row r="767" customFormat="false" ht="15" hidden="false" customHeight="true" outlineLevel="0" collapsed="false">
      <c r="A767" s="5" t="n">
        <v>3778100</v>
      </c>
      <c r="B767" s="5" t="s">
        <v>870</v>
      </c>
      <c r="C767" s="5" t="s">
        <v>99</v>
      </c>
      <c r="D767" s="5" t="s">
        <v>114</v>
      </c>
      <c r="E767" s="5" t="s">
        <v>117</v>
      </c>
    </row>
    <row r="768" customFormat="false" ht="15" hidden="false" customHeight="true" outlineLevel="0" collapsed="false">
      <c r="A768" s="5" t="n">
        <v>3778200</v>
      </c>
      <c r="B768" s="5" t="s">
        <v>504</v>
      </c>
      <c r="C768" s="5" t="s">
        <v>99</v>
      </c>
      <c r="D768" s="5" t="s">
        <v>100</v>
      </c>
      <c r="E768" s="5" t="s">
        <v>100</v>
      </c>
    </row>
    <row r="769" customFormat="false" ht="15" hidden="false" customHeight="true" outlineLevel="0" collapsed="false">
      <c r="A769" s="5" t="n">
        <v>3778300</v>
      </c>
      <c r="B769" s="5" t="s">
        <v>505</v>
      </c>
      <c r="C769" s="5" t="s">
        <v>99</v>
      </c>
      <c r="D769" s="5" t="s">
        <v>100</v>
      </c>
      <c r="E769" s="5" t="s">
        <v>100</v>
      </c>
    </row>
    <row r="770" customFormat="false" ht="15" hidden="false" customHeight="true" outlineLevel="0" collapsed="false">
      <c r="A770" s="5" t="n">
        <v>3783900</v>
      </c>
      <c r="B770" s="5" t="s">
        <v>871</v>
      </c>
      <c r="C770" s="5" t="s">
        <v>99</v>
      </c>
      <c r="D770" s="5" t="s">
        <v>124</v>
      </c>
      <c r="E770" s="5" t="s">
        <v>198</v>
      </c>
    </row>
    <row r="771" customFormat="false" ht="15" hidden="false" customHeight="true" outlineLevel="0" collapsed="false">
      <c r="A771" s="5" t="n">
        <v>3787100</v>
      </c>
      <c r="B771" s="5" t="s">
        <v>872</v>
      </c>
      <c r="C771" s="5" t="s">
        <v>142</v>
      </c>
      <c r="D771" s="5" t="s">
        <v>283</v>
      </c>
      <c r="E771" s="5" t="s">
        <v>167</v>
      </c>
    </row>
    <row r="772" customFormat="false" ht="15" hidden="false" customHeight="true" outlineLevel="0" collapsed="false">
      <c r="A772" s="5" t="n">
        <v>3791200</v>
      </c>
      <c r="B772" s="5" t="s">
        <v>873</v>
      </c>
      <c r="C772" s="5" t="s">
        <v>142</v>
      </c>
      <c r="D772" s="5" t="s">
        <v>143</v>
      </c>
      <c r="E772" s="5" t="s">
        <v>194</v>
      </c>
    </row>
    <row r="773" customFormat="false" ht="15" hidden="false" customHeight="true" outlineLevel="0" collapsed="false">
      <c r="A773" s="5" t="n">
        <v>3797200</v>
      </c>
      <c r="B773" s="5" t="s">
        <v>874</v>
      </c>
      <c r="C773" s="5" t="s">
        <v>142</v>
      </c>
      <c r="D773" s="5" t="s">
        <v>143</v>
      </c>
      <c r="E773" s="5" t="s">
        <v>212</v>
      </c>
    </row>
    <row r="774" customFormat="false" ht="15" hidden="false" customHeight="true" outlineLevel="0" collapsed="false">
      <c r="A774" s="5" t="n">
        <v>3803500</v>
      </c>
      <c r="B774" s="5" t="s">
        <v>875</v>
      </c>
      <c r="C774" s="5" t="s">
        <v>142</v>
      </c>
      <c r="D774" s="5" t="s">
        <v>143</v>
      </c>
      <c r="E774" s="5" t="s">
        <v>172</v>
      </c>
    </row>
    <row r="775" customFormat="false" ht="15" hidden="false" customHeight="true" outlineLevel="0" collapsed="false">
      <c r="A775" s="5" t="n">
        <v>3803600</v>
      </c>
      <c r="B775" s="5" t="s">
        <v>876</v>
      </c>
      <c r="C775" s="5" t="s">
        <v>99</v>
      </c>
      <c r="D775" s="5" t="s">
        <v>124</v>
      </c>
      <c r="E775" s="5" t="s">
        <v>198</v>
      </c>
    </row>
    <row r="776" customFormat="false" ht="15" hidden="false" customHeight="true" outlineLevel="0" collapsed="false">
      <c r="A776" s="5" t="n">
        <v>3803700</v>
      </c>
      <c r="B776" s="5" t="s">
        <v>877</v>
      </c>
      <c r="C776" s="5" t="s">
        <v>99</v>
      </c>
      <c r="D776" s="5" t="s">
        <v>124</v>
      </c>
      <c r="E776" s="5" t="s">
        <v>198</v>
      </c>
    </row>
    <row r="777" customFormat="false" ht="15" hidden="false" customHeight="true" outlineLevel="0" collapsed="false">
      <c r="A777" s="5" t="n">
        <v>3803800</v>
      </c>
      <c r="B777" s="5" t="s">
        <v>876</v>
      </c>
      <c r="C777" s="5" t="s">
        <v>99</v>
      </c>
      <c r="D777" s="5" t="s">
        <v>124</v>
      </c>
      <c r="E777" s="5" t="s">
        <v>198</v>
      </c>
    </row>
    <row r="778" customFormat="false" ht="15" hidden="false" customHeight="true" outlineLevel="0" collapsed="false">
      <c r="A778" s="5" t="n">
        <v>3803900</v>
      </c>
      <c r="B778" s="5" t="s">
        <v>877</v>
      </c>
      <c r="C778" s="5" t="s">
        <v>99</v>
      </c>
      <c r="D778" s="5" t="s">
        <v>124</v>
      </c>
      <c r="E778" s="5" t="s">
        <v>198</v>
      </c>
    </row>
    <row r="779" customFormat="false" ht="15" hidden="false" customHeight="true" outlineLevel="0" collapsed="false">
      <c r="A779" s="5" t="n">
        <v>3822700</v>
      </c>
      <c r="B779" s="5" t="s">
        <v>878</v>
      </c>
      <c r="C779" s="5" t="s">
        <v>99</v>
      </c>
      <c r="D779" s="5" t="s">
        <v>114</v>
      </c>
      <c r="E779" s="5" t="s">
        <v>133</v>
      </c>
    </row>
    <row r="780" customFormat="false" ht="15" hidden="false" customHeight="true" outlineLevel="0" collapsed="false">
      <c r="A780" s="5" t="n">
        <v>3822800</v>
      </c>
      <c r="B780" s="5" t="s">
        <v>879</v>
      </c>
      <c r="C780" s="5" t="s">
        <v>142</v>
      </c>
      <c r="D780" s="5" t="s">
        <v>143</v>
      </c>
      <c r="E780" s="5" t="s">
        <v>212</v>
      </c>
    </row>
    <row r="781" customFormat="false" ht="15" hidden="false" customHeight="true" outlineLevel="0" collapsed="false">
      <c r="A781" s="5" t="n">
        <v>3822900</v>
      </c>
      <c r="B781" s="5" t="s">
        <v>880</v>
      </c>
      <c r="C781" s="5" t="s">
        <v>99</v>
      </c>
      <c r="D781" s="5" t="s">
        <v>114</v>
      </c>
      <c r="E781" s="5" t="s">
        <v>128</v>
      </c>
    </row>
    <row r="782" customFormat="false" ht="15" hidden="false" customHeight="true" outlineLevel="0" collapsed="false">
      <c r="A782" s="5" t="n">
        <v>3828200</v>
      </c>
      <c r="B782" s="5" t="s">
        <v>881</v>
      </c>
      <c r="C782" s="5" t="s">
        <v>142</v>
      </c>
      <c r="D782" s="5" t="s">
        <v>124</v>
      </c>
      <c r="E782" s="5" t="s">
        <v>216</v>
      </c>
    </row>
    <row r="783" customFormat="false" ht="15" hidden="false" customHeight="true" outlineLevel="0" collapsed="false">
      <c r="A783" s="5" t="n">
        <v>3838700</v>
      </c>
      <c r="B783" s="5" t="s">
        <v>882</v>
      </c>
      <c r="C783" s="5" t="s">
        <v>142</v>
      </c>
      <c r="D783" s="5" t="s">
        <v>143</v>
      </c>
      <c r="E783" s="5" t="s">
        <v>212</v>
      </c>
    </row>
    <row r="784" customFormat="false" ht="15" hidden="false" customHeight="true" outlineLevel="0" collapsed="false">
      <c r="A784" s="5" t="n">
        <v>3838800</v>
      </c>
      <c r="B784" s="5" t="s">
        <v>883</v>
      </c>
      <c r="C784" s="5" t="s">
        <v>142</v>
      </c>
      <c r="D784" s="5" t="s">
        <v>143</v>
      </c>
      <c r="E784" s="5" t="s">
        <v>117</v>
      </c>
    </row>
    <row r="785" customFormat="false" ht="15" hidden="false" customHeight="true" outlineLevel="0" collapsed="false">
      <c r="A785" s="5" t="n">
        <v>3841100</v>
      </c>
      <c r="B785" s="5" t="s">
        <v>884</v>
      </c>
      <c r="C785" s="5" t="s">
        <v>99</v>
      </c>
      <c r="D785" s="5" t="s">
        <v>114</v>
      </c>
      <c r="E785" s="5" t="s">
        <v>152</v>
      </c>
    </row>
    <row r="786" customFormat="false" ht="15" hidden="false" customHeight="true" outlineLevel="0" collapsed="false">
      <c r="A786" s="5" t="n">
        <v>3841200</v>
      </c>
      <c r="B786" s="5" t="s">
        <v>885</v>
      </c>
      <c r="C786" s="5" t="s">
        <v>99</v>
      </c>
      <c r="D786" s="5" t="s">
        <v>114</v>
      </c>
      <c r="E786" s="5" t="s">
        <v>152</v>
      </c>
    </row>
    <row r="787" customFormat="false" ht="15" hidden="false" customHeight="true" outlineLevel="0" collapsed="false">
      <c r="A787" s="5" t="n">
        <v>3841300</v>
      </c>
      <c r="B787" s="5" t="s">
        <v>886</v>
      </c>
      <c r="C787" s="5" t="s">
        <v>99</v>
      </c>
      <c r="D787" s="5" t="s">
        <v>114</v>
      </c>
      <c r="E787" s="5" t="s">
        <v>152</v>
      </c>
    </row>
    <row r="788" customFormat="false" ht="15" hidden="false" customHeight="true" outlineLevel="0" collapsed="false">
      <c r="A788" s="5" t="n">
        <v>3841400</v>
      </c>
      <c r="B788" s="5" t="s">
        <v>631</v>
      </c>
      <c r="C788" s="5" t="s">
        <v>99</v>
      </c>
      <c r="D788" s="5" t="s">
        <v>100</v>
      </c>
      <c r="E788" s="5" t="s">
        <v>100</v>
      </c>
    </row>
    <row r="789" customFormat="false" ht="15" hidden="false" customHeight="true" outlineLevel="0" collapsed="false">
      <c r="A789" s="5" t="n">
        <v>3841600</v>
      </c>
      <c r="B789" s="5" t="s">
        <v>887</v>
      </c>
      <c r="C789" s="5" t="s">
        <v>99</v>
      </c>
      <c r="D789" s="5" t="s">
        <v>114</v>
      </c>
      <c r="E789" s="5" t="s">
        <v>230</v>
      </c>
    </row>
    <row r="790" customFormat="false" ht="15" hidden="false" customHeight="true" outlineLevel="0" collapsed="false">
      <c r="A790" s="5" t="n">
        <v>3841800</v>
      </c>
      <c r="B790" s="5" t="s">
        <v>888</v>
      </c>
      <c r="C790" s="5" t="s">
        <v>99</v>
      </c>
      <c r="D790" s="5" t="s">
        <v>114</v>
      </c>
      <c r="E790" s="5" t="s">
        <v>128</v>
      </c>
    </row>
    <row r="791" customFormat="false" ht="15" hidden="false" customHeight="true" outlineLevel="0" collapsed="false">
      <c r="A791" s="5" t="n">
        <v>3841900</v>
      </c>
      <c r="B791" s="5" t="s">
        <v>889</v>
      </c>
      <c r="C791" s="5" t="s">
        <v>99</v>
      </c>
      <c r="D791" s="5" t="s">
        <v>114</v>
      </c>
      <c r="E791" s="5" t="s">
        <v>128</v>
      </c>
    </row>
    <row r="792" customFormat="false" ht="15" hidden="false" customHeight="true" outlineLevel="0" collapsed="false">
      <c r="A792" s="5" t="n">
        <v>3842200</v>
      </c>
      <c r="B792" s="5" t="s">
        <v>890</v>
      </c>
      <c r="C792" s="5" t="s">
        <v>99</v>
      </c>
      <c r="D792" s="5" t="s">
        <v>114</v>
      </c>
      <c r="E792" s="5" t="s">
        <v>128</v>
      </c>
    </row>
    <row r="793" customFormat="false" ht="15" hidden="false" customHeight="true" outlineLevel="0" collapsed="false">
      <c r="A793" s="5" t="n">
        <v>3842300</v>
      </c>
      <c r="B793" s="5" t="s">
        <v>891</v>
      </c>
      <c r="C793" s="5" t="s">
        <v>99</v>
      </c>
      <c r="D793" s="5" t="s">
        <v>114</v>
      </c>
      <c r="E793" s="5" t="s">
        <v>128</v>
      </c>
    </row>
    <row r="794" customFormat="false" ht="15" hidden="false" customHeight="true" outlineLevel="0" collapsed="false">
      <c r="A794" s="5" t="n">
        <v>3842400</v>
      </c>
      <c r="B794" s="5" t="s">
        <v>892</v>
      </c>
      <c r="C794" s="5" t="s">
        <v>99</v>
      </c>
      <c r="D794" s="5" t="s">
        <v>114</v>
      </c>
      <c r="E794" s="5" t="s">
        <v>128</v>
      </c>
    </row>
    <row r="795" customFormat="false" ht="15" hidden="false" customHeight="true" outlineLevel="0" collapsed="false">
      <c r="A795" s="5" t="n">
        <v>3842600</v>
      </c>
      <c r="B795" s="5" t="s">
        <v>893</v>
      </c>
      <c r="C795" s="5" t="s">
        <v>99</v>
      </c>
      <c r="D795" s="5" t="s">
        <v>114</v>
      </c>
      <c r="E795" s="5" t="s">
        <v>128</v>
      </c>
    </row>
    <row r="796" customFormat="false" ht="15" hidden="false" customHeight="true" outlineLevel="0" collapsed="false">
      <c r="A796" s="5" t="n">
        <v>3842700</v>
      </c>
      <c r="B796" s="5" t="s">
        <v>894</v>
      </c>
      <c r="C796" s="5" t="s">
        <v>99</v>
      </c>
      <c r="D796" s="5" t="s">
        <v>114</v>
      </c>
      <c r="E796" s="5" t="s">
        <v>128</v>
      </c>
    </row>
    <row r="797" customFormat="false" ht="15" hidden="false" customHeight="true" outlineLevel="0" collapsed="false">
      <c r="A797" s="5" t="n">
        <v>3842800</v>
      </c>
      <c r="B797" s="5" t="s">
        <v>895</v>
      </c>
      <c r="C797" s="5" t="s">
        <v>99</v>
      </c>
      <c r="D797" s="5" t="s">
        <v>114</v>
      </c>
      <c r="E797" s="5" t="s">
        <v>128</v>
      </c>
    </row>
    <row r="798" customFormat="false" ht="15" hidden="false" customHeight="true" outlineLevel="0" collapsed="false">
      <c r="A798" s="5" t="n">
        <v>3843500</v>
      </c>
      <c r="B798" s="5" t="s">
        <v>896</v>
      </c>
      <c r="C798" s="5" t="s">
        <v>99</v>
      </c>
      <c r="D798" s="5" t="s">
        <v>124</v>
      </c>
      <c r="E798" s="5" t="s">
        <v>125</v>
      </c>
    </row>
    <row r="799" customFormat="false" ht="15" hidden="false" customHeight="true" outlineLevel="0" collapsed="false">
      <c r="A799" s="5" t="n">
        <v>3843600</v>
      </c>
      <c r="B799" s="5" t="s">
        <v>897</v>
      </c>
      <c r="C799" s="5" t="s">
        <v>99</v>
      </c>
      <c r="D799" s="5" t="s">
        <v>124</v>
      </c>
      <c r="E799" s="5" t="s">
        <v>125</v>
      </c>
    </row>
    <row r="800" customFormat="false" ht="15" hidden="false" customHeight="true" outlineLevel="0" collapsed="false">
      <c r="A800" s="5" t="n">
        <v>3843700</v>
      </c>
      <c r="B800" s="5" t="s">
        <v>898</v>
      </c>
      <c r="C800" s="5" t="s">
        <v>99</v>
      </c>
      <c r="D800" s="5" t="s">
        <v>124</v>
      </c>
      <c r="E800" s="5" t="s">
        <v>125</v>
      </c>
    </row>
    <row r="801" customFormat="false" ht="15" hidden="false" customHeight="true" outlineLevel="0" collapsed="false">
      <c r="A801" s="5" t="n">
        <v>3843800</v>
      </c>
      <c r="B801" s="5" t="s">
        <v>899</v>
      </c>
      <c r="C801" s="5" t="s">
        <v>99</v>
      </c>
      <c r="D801" s="5" t="s">
        <v>124</v>
      </c>
      <c r="E801" s="5" t="s">
        <v>125</v>
      </c>
    </row>
    <row r="802" customFormat="false" ht="15" hidden="false" customHeight="true" outlineLevel="0" collapsed="false">
      <c r="A802" s="5" t="n">
        <v>3843900</v>
      </c>
      <c r="B802" s="5" t="s">
        <v>900</v>
      </c>
      <c r="C802" s="5" t="s">
        <v>99</v>
      </c>
      <c r="D802" s="5" t="s">
        <v>124</v>
      </c>
      <c r="E802" s="5" t="s">
        <v>125</v>
      </c>
    </row>
    <row r="803" customFormat="false" ht="15" hidden="false" customHeight="true" outlineLevel="0" collapsed="false">
      <c r="A803" s="5" t="n">
        <v>3844000</v>
      </c>
      <c r="B803" s="5" t="s">
        <v>901</v>
      </c>
      <c r="C803" s="5" t="s">
        <v>99</v>
      </c>
      <c r="D803" s="5" t="s">
        <v>124</v>
      </c>
      <c r="E803" s="5" t="s">
        <v>125</v>
      </c>
    </row>
    <row r="804" customFormat="false" ht="15" hidden="false" customHeight="true" outlineLevel="0" collapsed="false">
      <c r="A804" s="5" t="n">
        <v>3844100</v>
      </c>
      <c r="B804" s="5" t="s">
        <v>902</v>
      </c>
      <c r="C804" s="5" t="s">
        <v>99</v>
      </c>
      <c r="D804" s="5" t="s">
        <v>124</v>
      </c>
      <c r="E804" s="5" t="s">
        <v>125</v>
      </c>
    </row>
    <row r="805" customFormat="false" ht="15" hidden="false" customHeight="true" outlineLevel="0" collapsed="false">
      <c r="A805" s="5" t="n">
        <v>3844200</v>
      </c>
      <c r="B805" s="5" t="s">
        <v>903</v>
      </c>
      <c r="C805" s="5" t="s">
        <v>99</v>
      </c>
      <c r="D805" s="5" t="s">
        <v>124</v>
      </c>
      <c r="E805" s="5" t="s">
        <v>125</v>
      </c>
    </row>
    <row r="806" customFormat="false" ht="15" hidden="false" customHeight="true" outlineLevel="0" collapsed="false">
      <c r="A806" s="5" t="n">
        <v>3844300</v>
      </c>
      <c r="B806" s="5" t="s">
        <v>904</v>
      </c>
      <c r="C806" s="5" t="s">
        <v>99</v>
      </c>
      <c r="D806" s="5" t="s">
        <v>124</v>
      </c>
      <c r="E806" s="5" t="s">
        <v>125</v>
      </c>
    </row>
    <row r="807" customFormat="false" ht="15" hidden="false" customHeight="true" outlineLevel="0" collapsed="false">
      <c r="A807" s="5" t="n">
        <v>3844400</v>
      </c>
      <c r="B807" s="5" t="s">
        <v>905</v>
      </c>
      <c r="C807" s="5" t="s">
        <v>99</v>
      </c>
      <c r="D807" s="5" t="s">
        <v>124</v>
      </c>
      <c r="E807" s="5" t="s">
        <v>125</v>
      </c>
    </row>
    <row r="808" customFormat="false" ht="15" hidden="false" customHeight="true" outlineLevel="0" collapsed="false">
      <c r="A808" s="5" t="n">
        <v>3844500</v>
      </c>
      <c r="B808" s="5" t="s">
        <v>906</v>
      </c>
      <c r="C808" s="5" t="s">
        <v>99</v>
      </c>
      <c r="D808" s="5" t="s">
        <v>124</v>
      </c>
      <c r="E808" s="5" t="s">
        <v>125</v>
      </c>
    </row>
    <row r="809" customFormat="false" ht="15" hidden="false" customHeight="true" outlineLevel="0" collapsed="false">
      <c r="A809" s="5" t="n">
        <v>3844600</v>
      </c>
      <c r="B809" s="5" t="s">
        <v>907</v>
      </c>
      <c r="C809" s="5" t="s">
        <v>99</v>
      </c>
      <c r="D809" s="5" t="s">
        <v>124</v>
      </c>
      <c r="E809" s="5" t="s">
        <v>125</v>
      </c>
    </row>
    <row r="810" customFormat="false" ht="15" hidden="false" customHeight="true" outlineLevel="0" collapsed="false">
      <c r="A810" s="5" t="n">
        <v>3844700</v>
      </c>
      <c r="B810" s="5" t="s">
        <v>908</v>
      </c>
      <c r="C810" s="5" t="s">
        <v>99</v>
      </c>
      <c r="D810" s="5" t="s">
        <v>124</v>
      </c>
      <c r="E810" s="5" t="s">
        <v>125</v>
      </c>
    </row>
    <row r="811" customFormat="false" ht="15" hidden="false" customHeight="true" outlineLevel="0" collapsed="false">
      <c r="A811" s="5" t="n">
        <v>3844800</v>
      </c>
      <c r="B811" s="5" t="s">
        <v>909</v>
      </c>
      <c r="C811" s="5" t="s">
        <v>99</v>
      </c>
      <c r="D811" s="5" t="s">
        <v>124</v>
      </c>
      <c r="E811" s="5" t="s">
        <v>125</v>
      </c>
    </row>
    <row r="812" customFormat="false" ht="15" hidden="false" customHeight="true" outlineLevel="0" collapsed="false">
      <c r="A812" s="5" t="n">
        <v>3844900</v>
      </c>
      <c r="B812" s="5" t="s">
        <v>910</v>
      </c>
      <c r="C812" s="5" t="s">
        <v>99</v>
      </c>
      <c r="D812" s="5" t="s">
        <v>124</v>
      </c>
      <c r="E812" s="5" t="s">
        <v>125</v>
      </c>
    </row>
    <row r="813" customFormat="false" ht="15" hidden="false" customHeight="true" outlineLevel="0" collapsed="false">
      <c r="A813" s="5" t="n">
        <v>3845000</v>
      </c>
      <c r="B813" s="5" t="s">
        <v>911</v>
      </c>
      <c r="C813" s="5" t="s">
        <v>99</v>
      </c>
      <c r="D813" s="5" t="s">
        <v>124</v>
      </c>
      <c r="E813" s="5" t="s">
        <v>125</v>
      </c>
    </row>
    <row r="814" customFormat="false" ht="15" hidden="false" customHeight="true" outlineLevel="0" collapsed="false">
      <c r="A814" s="5" t="n">
        <v>3845100</v>
      </c>
      <c r="B814" s="5" t="s">
        <v>912</v>
      </c>
      <c r="C814" s="5" t="s">
        <v>99</v>
      </c>
      <c r="D814" s="5" t="s">
        <v>124</v>
      </c>
      <c r="E814" s="5" t="s">
        <v>125</v>
      </c>
    </row>
    <row r="815" customFormat="false" ht="15" hidden="false" customHeight="true" outlineLevel="0" collapsed="false">
      <c r="A815" s="5" t="n">
        <v>3845300</v>
      </c>
      <c r="B815" s="5" t="s">
        <v>913</v>
      </c>
      <c r="C815" s="5" t="s">
        <v>99</v>
      </c>
      <c r="D815" s="5" t="s">
        <v>124</v>
      </c>
      <c r="E815" s="5" t="s">
        <v>198</v>
      </c>
    </row>
    <row r="816" customFormat="false" ht="15" hidden="false" customHeight="true" outlineLevel="0" collapsed="false">
      <c r="A816" s="5" t="n">
        <v>3845400</v>
      </c>
      <c r="B816" s="5" t="s">
        <v>914</v>
      </c>
      <c r="C816" s="5" t="s">
        <v>99</v>
      </c>
      <c r="D816" s="5" t="s">
        <v>124</v>
      </c>
      <c r="E816" s="5" t="s">
        <v>198</v>
      </c>
    </row>
    <row r="817" customFormat="false" ht="15" hidden="false" customHeight="true" outlineLevel="0" collapsed="false">
      <c r="A817" s="5" t="n">
        <v>3845500</v>
      </c>
      <c r="B817" s="5" t="s">
        <v>915</v>
      </c>
      <c r="C817" s="5" t="s">
        <v>99</v>
      </c>
      <c r="D817" s="5" t="s">
        <v>124</v>
      </c>
      <c r="E817" s="5" t="s">
        <v>125</v>
      </c>
    </row>
    <row r="818" customFormat="false" ht="15" hidden="false" customHeight="true" outlineLevel="0" collapsed="false">
      <c r="A818" s="5" t="n">
        <v>3845600</v>
      </c>
      <c r="B818" s="5" t="s">
        <v>916</v>
      </c>
      <c r="C818" s="5" t="s">
        <v>99</v>
      </c>
      <c r="D818" s="5" t="s">
        <v>124</v>
      </c>
      <c r="E818" s="5" t="s">
        <v>198</v>
      </c>
    </row>
    <row r="819" customFormat="false" ht="15" hidden="false" customHeight="true" outlineLevel="0" collapsed="false">
      <c r="A819" s="5" t="n">
        <v>3845700</v>
      </c>
      <c r="B819" s="5" t="s">
        <v>917</v>
      </c>
      <c r="C819" s="5" t="s">
        <v>99</v>
      </c>
      <c r="D819" s="5" t="s">
        <v>124</v>
      </c>
      <c r="E819" s="5" t="s">
        <v>125</v>
      </c>
    </row>
    <row r="820" customFormat="false" ht="15" hidden="false" customHeight="true" outlineLevel="0" collapsed="false">
      <c r="A820" s="5" t="n">
        <v>3845800</v>
      </c>
      <c r="B820" s="5" t="s">
        <v>918</v>
      </c>
      <c r="C820" s="5" t="s">
        <v>99</v>
      </c>
      <c r="D820" s="5" t="s">
        <v>124</v>
      </c>
      <c r="E820" s="5" t="s">
        <v>198</v>
      </c>
    </row>
    <row r="821" customFormat="false" ht="15" hidden="false" customHeight="true" outlineLevel="0" collapsed="false">
      <c r="A821" s="5" t="n">
        <v>3845900</v>
      </c>
      <c r="B821" s="5" t="s">
        <v>919</v>
      </c>
      <c r="C821" s="5" t="s">
        <v>99</v>
      </c>
      <c r="D821" s="5" t="s">
        <v>124</v>
      </c>
      <c r="E821" s="5" t="s">
        <v>125</v>
      </c>
    </row>
    <row r="822" customFormat="false" ht="15" hidden="false" customHeight="true" outlineLevel="0" collapsed="false">
      <c r="A822" s="5" t="n">
        <v>3846000</v>
      </c>
      <c r="B822" s="5" t="s">
        <v>920</v>
      </c>
      <c r="C822" s="5" t="s">
        <v>99</v>
      </c>
      <c r="D822" s="5" t="s">
        <v>124</v>
      </c>
      <c r="E822" s="5" t="s">
        <v>198</v>
      </c>
    </row>
    <row r="823" customFormat="false" ht="15" hidden="false" customHeight="true" outlineLevel="0" collapsed="false">
      <c r="A823" s="5" t="n">
        <v>3846100</v>
      </c>
      <c r="B823" s="5" t="s">
        <v>921</v>
      </c>
      <c r="C823" s="5" t="s">
        <v>99</v>
      </c>
      <c r="D823" s="5" t="s">
        <v>124</v>
      </c>
      <c r="E823" s="5" t="s">
        <v>125</v>
      </c>
    </row>
    <row r="824" customFormat="false" ht="15" hidden="false" customHeight="true" outlineLevel="0" collapsed="false">
      <c r="A824" s="5" t="n">
        <v>3846200</v>
      </c>
      <c r="B824" s="5" t="s">
        <v>922</v>
      </c>
      <c r="C824" s="5" t="s">
        <v>99</v>
      </c>
      <c r="D824" s="5" t="s">
        <v>124</v>
      </c>
      <c r="E824" s="5" t="s">
        <v>198</v>
      </c>
    </row>
    <row r="825" customFormat="false" ht="15" hidden="false" customHeight="true" outlineLevel="0" collapsed="false">
      <c r="A825" s="5" t="n">
        <v>3846300</v>
      </c>
      <c r="B825" s="5" t="s">
        <v>923</v>
      </c>
      <c r="C825" s="5" t="s">
        <v>99</v>
      </c>
      <c r="D825" s="5" t="s">
        <v>124</v>
      </c>
      <c r="E825" s="5" t="s">
        <v>198</v>
      </c>
    </row>
    <row r="826" customFormat="false" ht="15" hidden="false" customHeight="true" outlineLevel="0" collapsed="false">
      <c r="A826" s="5" t="n">
        <v>3846400</v>
      </c>
      <c r="B826" s="5" t="s">
        <v>924</v>
      </c>
      <c r="C826" s="5" t="s">
        <v>99</v>
      </c>
      <c r="D826" s="5" t="s">
        <v>124</v>
      </c>
      <c r="E826" s="5" t="s">
        <v>198</v>
      </c>
    </row>
    <row r="827" customFormat="false" ht="15" hidden="false" customHeight="true" outlineLevel="0" collapsed="false">
      <c r="A827" s="5" t="n">
        <v>3846500</v>
      </c>
      <c r="B827" s="5" t="s">
        <v>925</v>
      </c>
      <c r="C827" s="5" t="s">
        <v>99</v>
      </c>
      <c r="D827" s="5" t="s">
        <v>124</v>
      </c>
      <c r="E827" s="5" t="s">
        <v>198</v>
      </c>
    </row>
    <row r="828" customFormat="false" ht="15" hidden="false" customHeight="true" outlineLevel="0" collapsed="false">
      <c r="A828" s="5" t="n">
        <v>3846600</v>
      </c>
      <c r="B828" s="5" t="s">
        <v>926</v>
      </c>
      <c r="C828" s="5" t="s">
        <v>99</v>
      </c>
      <c r="D828" s="5" t="s">
        <v>124</v>
      </c>
      <c r="E828" s="5" t="s">
        <v>198</v>
      </c>
    </row>
    <row r="829" customFormat="false" ht="15" hidden="false" customHeight="true" outlineLevel="0" collapsed="false">
      <c r="A829" s="5" t="n">
        <v>3846700</v>
      </c>
      <c r="B829" s="5" t="s">
        <v>927</v>
      </c>
      <c r="C829" s="5" t="s">
        <v>99</v>
      </c>
      <c r="D829" s="5" t="s">
        <v>124</v>
      </c>
      <c r="E829" s="5" t="s">
        <v>198</v>
      </c>
    </row>
    <row r="830" customFormat="false" ht="15" hidden="false" customHeight="true" outlineLevel="0" collapsed="false">
      <c r="A830" s="5" t="n">
        <v>3846800</v>
      </c>
      <c r="B830" s="5" t="s">
        <v>928</v>
      </c>
      <c r="C830" s="5" t="s">
        <v>99</v>
      </c>
      <c r="D830" s="5" t="s">
        <v>124</v>
      </c>
      <c r="E830" s="5" t="s">
        <v>198</v>
      </c>
    </row>
    <row r="831" customFormat="false" ht="15" hidden="false" customHeight="true" outlineLevel="0" collapsed="false">
      <c r="A831" s="5" t="n">
        <v>3846900</v>
      </c>
      <c r="B831" s="5" t="s">
        <v>929</v>
      </c>
      <c r="C831" s="5" t="s">
        <v>99</v>
      </c>
      <c r="D831" s="5" t="s">
        <v>124</v>
      </c>
      <c r="E831" s="5" t="s">
        <v>198</v>
      </c>
    </row>
    <row r="832" customFormat="false" ht="15" hidden="false" customHeight="true" outlineLevel="0" collapsed="false">
      <c r="A832" s="5" t="n">
        <v>3847000</v>
      </c>
      <c r="B832" s="5" t="s">
        <v>930</v>
      </c>
      <c r="C832" s="5" t="s">
        <v>99</v>
      </c>
      <c r="D832" s="5" t="s">
        <v>124</v>
      </c>
      <c r="E832" s="5" t="s">
        <v>198</v>
      </c>
    </row>
    <row r="833" customFormat="false" ht="15" hidden="false" customHeight="true" outlineLevel="0" collapsed="false">
      <c r="A833" s="5" t="n">
        <v>3847100</v>
      </c>
      <c r="B833" s="5" t="s">
        <v>931</v>
      </c>
      <c r="C833" s="5" t="s">
        <v>99</v>
      </c>
      <c r="D833" s="5" t="s">
        <v>124</v>
      </c>
      <c r="E833" s="5" t="s">
        <v>198</v>
      </c>
    </row>
    <row r="834" customFormat="false" ht="15" hidden="false" customHeight="true" outlineLevel="0" collapsed="false">
      <c r="A834" s="5" t="n">
        <v>3847200</v>
      </c>
      <c r="B834" s="5" t="s">
        <v>932</v>
      </c>
      <c r="C834" s="5" t="s">
        <v>99</v>
      </c>
      <c r="D834" s="5" t="s">
        <v>124</v>
      </c>
      <c r="E834" s="5" t="s">
        <v>198</v>
      </c>
    </row>
    <row r="835" customFormat="false" ht="15" hidden="false" customHeight="true" outlineLevel="0" collapsed="false">
      <c r="A835" s="5" t="n">
        <v>3849100</v>
      </c>
      <c r="B835" s="5" t="s">
        <v>933</v>
      </c>
      <c r="C835" s="5" t="s">
        <v>99</v>
      </c>
      <c r="D835" s="5" t="s">
        <v>124</v>
      </c>
      <c r="E835" s="5" t="s">
        <v>198</v>
      </c>
    </row>
    <row r="836" customFormat="false" ht="15" hidden="false" customHeight="true" outlineLevel="0" collapsed="false">
      <c r="A836" s="5" t="n">
        <v>3849200</v>
      </c>
      <c r="B836" s="5" t="s">
        <v>934</v>
      </c>
      <c r="C836" s="5" t="s">
        <v>99</v>
      </c>
      <c r="D836" s="5" t="s">
        <v>124</v>
      </c>
      <c r="E836" s="5" t="s">
        <v>198</v>
      </c>
    </row>
    <row r="837" customFormat="false" ht="15" hidden="false" customHeight="true" outlineLevel="0" collapsed="false">
      <c r="A837" s="5" t="n">
        <v>3849300</v>
      </c>
      <c r="B837" s="5" t="s">
        <v>935</v>
      </c>
      <c r="C837" s="5" t="s">
        <v>99</v>
      </c>
      <c r="D837" s="5" t="s">
        <v>114</v>
      </c>
      <c r="E837" s="5" t="s">
        <v>117</v>
      </c>
    </row>
    <row r="838" customFormat="false" ht="15" hidden="false" customHeight="true" outlineLevel="0" collapsed="false">
      <c r="A838" s="5" t="n">
        <v>3850800</v>
      </c>
      <c r="B838" s="5" t="s">
        <v>936</v>
      </c>
      <c r="C838" s="5" t="s">
        <v>142</v>
      </c>
      <c r="D838" s="5" t="s">
        <v>143</v>
      </c>
      <c r="E838" s="5" t="s">
        <v>172</v>
      </c>
    </row>
    <row r="839" customFormat="false" ht="15" hidden="false" customHeight="true" outlineLevel="0" collapsed="false">
      <c r="A839" s="5" t="n">
        <v>3850900</v>
      </c>
      <c r="B839" s="5" t="s">
        <v>937</v>
      </c>
      <c r="C839" s="5" t="s">
        <v>142</v>
      </c>
      <c r="D839" s="5" t="s">
        <v>143</v>
      </c>
      <c r="E839" s="5" t="s">
        <v>172</v>
      </c>
    </row>
    <row r="840" customFormat="false" ht="15" hidden="false" customHeight="true" outlineLevel="0" collapsed="false">
      <c r="A840" s="5" t="n">
        <v>3851000</v>
      </c>
      <c r="B840" s="5" t="s">
        <v>938</v>
      </c>
      <c r="C840" s="5" t="s">
        <v>142</v>
      </c>
      <c r="D840" s="5" t="s">
        <v>143</v>
      </c>
      <c r="E840" s="5" t="s">
        <v>172</v>
      </c>
    </row>
    <row r="841" customFormat="false" ht="15" hidden="false" customHeight="true" outlineLevel="0" collapsed="false">
      <c r="A841" s="5" t="n">
        <v>3851200</v>
      </c>
      <c r="B841" s="5" t="s">
        <v>939</v>
      </c>
      <c r="C841" s="5" t="s">
        <v>142</v>
      </c>
      <c r="D841" s="5" t="s">
        <v>143</v>
      </c>
      <c r="E841" s="5" t="s">
        <v>172</v>
      </c>
    </row>
    <row r="842" customFormat="false" ht="15" hidden="false" customHeight="true" outlineLevel="0" collapsed="false">
      <c r="A842" s="5" t="n">
        <v>3851300</v>
      </c>
      <c r="B842" s="5" t="s">
        <v>940</v>
      </c>
      <c r="C842" s="5" t="s">
        <v>142</v>
      </c>
      <c r="D842" s="5" t="s">
        <v>143</v>
      </c>
      <c r="E842" s="5" t="s">
        <v>172</v>
      </c>
    </row>
    <row r="843" customFormat="false" ht="15" hidden="false" customHeight="true" outlineLevel="0" collapsed="false">
      <c r="A843" s="5" t="n">
        <v>3852200</v>
      </c>
      <c r="B843" s="5" t="s">
        <v>941</v>
      </c>
      <c r="C843" s="5" t="s">
        <v>99</v>
      </c>
      <c r="D843" s="5" t="s">
        <v>114</v>
      </c>
      <c r="E843" s="5" t="s">
        <v>152</v>
      </c>
    </row>
    <row r="844" customFormat="false" ht="15" hidden="false" customHeight="true" outlineLevel="0" collapsed="false">
      <c r="A844" s="5" t="n">
        <v>3852300</v>
      </c>
      <c r="B844" s="5" t="s">
        <v>630</v>
      </c>
      <c r="C844" s="5" t="s">
        <v>99</v>
      </c>
      <c r="D844" s="5" t="s">
        <v>100</v>
      </c>
      <c r="E844" s="5" t="s">
        <v>100</v>
      </c>
    </row>
    <row r="845" customFormat="false" ht="15" hidden="false" customHeight="true" outlineLevel="0" collapsed="false">
      <c r="A845" s="5" t="n">
        <v>3852400</v>
      </c>
      <c r="B845" s="5" t="s">
        <v>632</v>
      </c>
      <c r="C845" s="5" t="s">
        <v>99</v>
      </c>
      <c r="D845" s="5" t="s">
        <v>100</v>
      </c>
      <c r="E845" s="5" t="s">
        <v>100</v>
      </c>
    </row>
    <row r="846" customFormat="false" ht="15" hidden="false" customHeight="true" outlineLevel="0" collapsed="false">
      <c r="A846" s="5" t="n">
        <v>3852500</v>
      </c>
      <c r="B846" s="5" t="s">
        <v>942</v>
      </c>
      <c r="C846" s="5" t="s">
        <v>99</v>
      </c>
      <c r="D846" s="5" t="s">
        <v>100</v>
      </c>
      <c r="E846" s="5" t="s">
        <v>100</v>
      </c>
    </row>
    <row r="847" customFormat="false" ht="15" hidden="false" customHeight="true" outlineLevel="0" collapsed="false">
      <c r="A847" s="5" t="n">
        <v>3864900</v>
      </c>
      <c r="B847" s="5" t="s">
        <v>943</v>
      </c>
      <c r="C847" s="5" t="s">
        <v>99</v>
      </c>
      <c r="D847" s="5" t="s">
        <v>114</v>
      </c>
      <c r="E847" s="5" t="s">
        <v>230</v>
      </c>
    </row>
    <row r="848" customFormat="false" ht="15" hidden="false" customHeight="true" outlineLevel="0" collapsed="false">
      <c r="A848" s="5" t="n">
        <v>3865500</v>
      </c>
      <c r="B848" s="5" t="s">
        <v>944</v>
      </c>
      <c r="C848" s="5" t="s">
        <v>142</v>
      </c>
      <c r="D848" s="5" t="s">
        <v>143</v>
      </c>
      <c r="E848" s="5" t="s">
        <v>167</v>
      </c>
    </row>
    <row r="849" customFormat="false" ht="15" hidden="false" customHeight="true" outlineLevel="0" collapsed="false">
      <c r="A849" s="5" t="n">
        <v>3865600</v>
      </c>
      <c r="B849" s="5" t="s">
        <v>945</v>
      </c>
      <c r="C849" s="5" t="s">
        <v>142</v>
      </c>
      <c r="D849" s="5" t="s">
        <v>143</v>
      </c>
      <c r="E849" s="5" t="s">
        <v>167</v>
      </c>
    </row>
    <row r="850" customFormat="false" ht="15" hidden="false" customHeight="true" outlineLevel="0" collapsed="false">
      <c r="A850" s="5" t="n">
        <v>3869200</v>
      </c>
      <c r="B850" s="5" t="s">
        <v>946</v>
      </c>
      <c r="C850" s="5" t="s">
        <v>142</v>
      </c>
      <c r="D850" s="5" t="s">
        <v>143</v>
      </c>
      <c r="E850" s="5" t="s">
        <v>194</v>
      </c>
    </row>
    <row r="851" customFormat="false" ht="15" hidden="false" customHeight="true" outlineLevel="0" collapsed="false">
      <c r="A851" s="5" t="n">
        <v>3869300</v>
      </c>
      <c r="B851" s="5" t="s">
        <v>947</v>
      </c>
      <c r="C851" s="5" t="s">
        <v>142</v>
      </c>
      <c r="D851" s="5" t="s">
        <v>143</v>
      </c>
      <c r="E851" s="5" t="s">
        <v>194</v>
      </c>
    </row>
    <row r="852" customFormat="false" ht="15" hidden="false" customHeight="true" outlineLevel="0" collapsed="false">
      <c r="A852" s="5" t="n">
        <v>3869400</v>
      </c>
      <c r="B852" s="5" t="s">
        <v>948</v>
      </c>
      <c r="C852" s="5" t="s">
        <v>142</v>
      </c>
      <c r="D852" s="5" t="s">
        <v>143</v>
      </c>
      <c r="E852" s="5" t="s">
        <v>194</v>
      </c>
    </row>
    <row r="853" customFormat="false" ht="15" hidden="false" customHeight="true" outlineLevel="0" collapsed="false">
      <c r="A853" s="5" t="n">
        <v>3869500</v>
      </c>
      <c r="B853" s="5" t="s">
        <v>949</v>
      </c>
      <c r="C853" s="5" t="s">
        <v>142</v>
      </c>
      <c r="D853" s="5" t="s">
        <v>143</v>
      </c>
      <c r="E853" s="5" t="s">
        <v>194</v>
      </c>
    </row>
    <row r="854" customFormat="false" ht="15" hidden="false" customHeight="true" outlineLevel="0" collapsed="false">
      <c r="A854" s="5" t="n">
        <v>3869600</v>
      </c>
      <c r="B854" s="5" t="s">
        <v>950</v>
      </c>
      <c r="C854" s="5" t="s">
        <v>142</v>
      </c>
      <c r="D854" s="5" t="s">
        <v>143</v>
      </c>
      <c r="E854" s="5" t="s">
        <v>194</v>
      </c>
    </row>
    <row r="855" customFormat="false" ht="15" hidden="false" customHeight="true" outlineLevel="0" collapsed="false">
      <c r="A855" s="5" t="n">
        <v>3869700</v>
      </c>
      <c r="B855" s="5" t="s">
        <v>951</v>
      </c>
      <c r="C855" s="5" t="s">
        <v>142</v>
      </c>
      <c r="D855" s="5" t="s">
        <v>143</v>
      </c>
      <c r="E855" s="5" t="s">
        <v>194</v>
      </c>
    </row>
    <row r="856" customFormat="false" ht="15" hidden="false" customHeight="true" outlineLevel="0" collapsed="false">
      <c r="A856" s="5" t="n">
        <v>3870500</v>
      </c>
      <c r="B856" s="5" t="s">
        <v>952</v>
      </c>
      <c r="C856" s="5" t="s">
        <v>142</v>
      </c>
      <c r="D856" s="5" t="s">
        <v>143</v>
      </c>
      <c r="E856" s="5" t="s">
        <v>117</v>
      </c>
    </row>
    <row r="857" customFormat="false" ht="15" hidden="false" customHeight="true" outlineLevel="0" collapsed="false">
      <c r="A857" s="5" t="n">
        <v>3870600</v>
      </c>
      <c r="B857" s="5" t="s">
        <v>953</v>
      </c>
      <c r="C857" s="5" t="s">
        <v>142</v>
      </c>
      <c r="D857" s="5" t="s">
        <v>143</v>
      </c>
      <c r="E857" s="5" t="s">
        <v>117</v>
      </c>
    </row>
    <row r="858" customFormat="false" ht="15" hidden="false" customHeight="true" outlineLevel="0" collapsed="false">
      <c r="A858" s="5" t="n">
        <v>3887700</v>
      </c>
      <c r="B858" s="5" t="s">
        <v>954</v>
      </c>
      <c r="C858" s="5" t="s">
        <v>142</v>
      </c>
      <c r="D858" s="5" t="s">
        <v>143</v>
      </c>
      <c r="E858" s="5" t="s">
        <v>194</v>
      </c>
    </row>
    <row r="859" customFormat="false" ht="15" hidden="false" customHeight="true" outlineLevel="0" collapsed="false">
      <c r="A859" s="5" t="n">
        <v>3887800</v>
      </c>
      <c r="B859" s="5" t="s">
        <v>955</v>
      </c>
      <c r="C859" s="5" t="s">
        <v>142</v>
      </c>
      <c r="D859" s="5" t="s">
        <v>143</v>
      </c>
      <c r="E859" s="5" t="s">
        <v>194</v>
      </c>
    </row>
    <row r="860" customFormat="false" ht="15" hidden="false" customHeight="true" outlineLevel="0" collapsed="false">
      <c r="A860" s="5" t="n">
        <v>3887900</v>
      </c>
      <c r="B860" s="5" t="s">
        <v>956</v>
      </c>
      <c r="C860" s="5" t="s">
        <v>142</v>
      </c>
      <c r="D860" s="5" t="s">
        <v>143</v>
      </c>
      <c r="E860" s="5" t="s">
        <v>194</v>
      </c>
    </row>
    <row r="861" customFormat="false" ht="15" hidden="false" customHeight="true" outlineLevel="0" collapsed="false">
      <c r="A861" s="5" t="n">
        <v>3888300</v>
      </c>
      <c r="B861" s="5" t="s">
        <v>957</v>
      </c>
      <c r="C861" s="5" t="s">
        <v>142</v>
      </c>
      <c r="D861" s="5" t="s">
        <v>143</v>
      </c>
      <c r="E861" s="5" t="s">
        <v>294</v>
      </c>
    </row>
    <row r="862" customFormat="false" ht="15" hidden="false" customHeight="true" outlineLevel="0" collapsed="false">
      <c r="A862" s="5" t="n">
        <v>3888400</v>
      </c>
      <c r="B862" s="5" t="s">
        <v>958</v>
      </c>
      <c r="C862" s="5" t="s">
        <v>142</v>
      </c>
      <c r="D862" s="5" t="s">
        <v>143</v>
      </c>
      <c r="E862" s="5" t="s">
        <v>294</v>
      </c>
    </row>
    <row r="863" customFormat="false" ht="15" hidden="false" customHeight="true" outlineLevel="0" collapsed="false">
      <c r="A863" s="5" t="n">
        <v>3888500</v>
      </c>
      <c r="B863" s="5" t="s">
        <v>959</v>
      </c>
      <c r="C863" s="5" t="s">
        <v>142</v>
      </c>
      <c r="D863" s="5" t="s">
        <v>143</v>
      </c>
      <c r="E863" s="5" t="s">
        <v>264</v>
      </c>
    </row>
    <row r="864" customFormat="false" ht="15" hidden="false" customHeight="true" outlineLevel="0" collapsed="false">
      <c r="A864" s="5" t="n">
        <v>3888600</v>
      </c>
      <c r="B864" s="5" t="s">
        <v>960</v>
      </c>
      <c r="C864" s="5" t="s">
        <v>99</v>
      </c>
      <c r="D864" s="5" t="s">
        <v>114</v>
      </c>
      <c r="E864" s="5" t="s">
        <v>128</v>
      </c>
    </row>
    <row r="865" customFormat="false" ht="15" hidden="false" customHeight="true" outlineLevel="0" collapsed="false">
      <c r="A865" s="5" t="n">
        <v>3895000</v>
      </c>
      <c r="B865" s="5" t="s">
        <v>961</v>
      </c>
      <c r="C865" s="5" t="s">
        <v>142</v>
      </c>
      <c r="D865" s="5" t="s">
        <v>143</v>
      </c>
      <c r="E865" s="5" t="s">
        <v>194</v>
      </c>
    </row>
    <row r="866" customFormat="false" ht="15" hidden="false" customHeight="true" outlineLevel="0" collapsed="false">
      <c r="A866" s="5" t="n">
        <v>3895100</v>
      </c>
      <c r="B866" s="5" t="s">
        <v>962</v>
      </c>
      <c r="C866" s="5" t="s">
        <v>142</v>
      </c>
      <c r="D866" s="5" t="s">
        <v>143</v>
      </c>
      <c r="E866" s="5" t="s">
        <v>194</v>
      </c>
    </row>
    <row r="867" customFormat="false" ht="15" hidden="false" customHeight="true" outlineLevel="0" collapsed="false">
      <c r="A867" s="5" t="n">
        <v>3895200</v>
      </c>
      <c r="B867" s="5" t="s">
        <v>963</v>
      </c>
      <c r="C867" s="5" t="s">
        <v>142</v>
      </c>
      <c r="D867" s="5" t="s">
        <v>143</v>
      </c>
      <c r="E867" s="5" t="s">
        <v>194</v>
      </c>
    </row>
    <row r="868" customFormat="false" ht="15" hidden="false" customHeight="true" outlineLevel="0" collapsed="false">
      <c r="A868" s="5" t="n">
        <v>3895300</v>
      </c>
      <c r="B868" s="5" t="s">
        <v>964</v>
      </c>
      <c r="C868" s="5" t="s">
        <v>142</v>
      </c>
      <c r="D868" s="5" t="s">
        <v>143</v>
      </c>
      <c r="E868" s="5" t="s">
        <v>194</v>
      </c>
    </row>
    <row r="869" customFormat="false" ht="15" hidden="false" customHeight="true" outlineLevel="0" collapsed="false">
      <c r="A869" s="5" t="n">
        <v>3904700</v>
      </c>
      <c r="B869" s="5" t="s">
        <v>965</v>
      </c>
      <c r="C869" s="5" t="s">
        <v>142</v>
      </c>
      <c r="D869" s="5" t="s">
        <v>143</v>
      </c>
      <c r="E869" s="5" t="s">
        <v>194</v>
      </c>
    </row>
    <row r="870" customFormat="false" ht="15" hidden="false" customHeight="true" outlineLevel="0" collapsed="false">
      <c r="A870" s="5" t="n">
        <v>3904800</v>
      </c>
      <c r="B870" s="5" t="s">
        <v>966</v>
      </c>
      <c r="C870" s="5" t="s">
        <v>142</v>
      </c>
      <c r="D870" s="5" t="s">
        <v>143</v>
      </c>
      <c r="E870" s="5" t="s">
        <v>194</v>
      </c>
    </row>
    <row r="871" customFormat="false" ht="15" hidden="false" customHeight="true" outlineLevel="0" collapsed="false">
      <c r="A871" s="5" t="n">
        <v>3908100</v>
      </c>
      <c r="B871" s="5" t="s">
        <v>967</v>
      </c>
      <c r="C871" s="5" t="s">
        <v>99</v>
      </c>
      <c r="D871" s="5" t="s">
        <v>114</v>
      </c>
      <c r="E871" s="5" t="s">
        <v>115</v>
      </c>
    </row>
    <row r="872" customFormat="false" ht="15" hidden="false" customHeight="true" outlineLevel="0" collapsed="false">
      <c r="A872" s="5" t="n">
        <v>3908400</v>
      </c>
      <c r="B872" s="5" t="s">
        <v>968</v>
      </c>
      <c r="C872" s="5" t="s">
        <v>99</v>
      </c>
      <c r="D872" s="5" t="s">
        <v>114</v>
      </c>
      <c r="E872" s="5" t="s">
        <v>117</v>
      </c>
    </row>
    <row r="873" customFormat="false" ht="15" hidden="false" customHeight="true" outlineLevel="0" collapsed="false">
      <c r="A873" s="5" t="n">
        <v>3908500</v>
      </c>
      <c r="B873" s="5" t="s">
        <v>969</v>
      </c>
      <c r="C873" s="5" t="s">
        <v>142</v>
      </c>
      <c r="D873" s="5" t="s">
        <v>143</v>
      </c>
      <c r="E873" s="5" t="s">
        <v>115</v>
      </c>
    </row>
    <row r="874" customFormat="false" ht="15" hidden="false" customHeight="true" outlineLevel="0" collapsed="false">
      <c r="A874" s="5" t="n">
        <v>3927100</v>
      </c>
      <c r="B874" s="5" t="s">
        <v>970</v>
      </c>
      <c r="C874" s="5" t="s">
        <v>142</v>
      </c>
      <c r="D874" s="5" t="s">
        <v>283</v>
      </c>
      <c r="E874" s="5" t="s">
        <v>167</v>
      </c>
    </row>
    <row r="875" customFormat="false" ht="15" hidden="false" customHeight="true" outlineLevel="0" collapsed="false">
      <c r="A875" s="5" t="n">
        <v>3927200</v>
      </c>
      <c r="B875" s="5" t="s">
        <v>971</v>
      </c>
      <c r="C875" s="5" t="s">
        <v>142</v>
      </c>
      <c r="D875" s="5" t="s">
        <v>283</v>
      </c>
      <c r="E875" s="5" t="s">
        <v>167</v>
      </c>
    </row>
    <row r="876" customFormat="false" ht="15" hidden="false" customHeight="true" outlineLevel="0" collapsed="false">
      <c r="A876" s="5" t="n">
        <v>3927400</v>
      </c>
      <c r="B876" s="5" t="s">
        <v>972</v>
      </c>
      <c r="C876" s="5" t="s">
        <v>142</v>
      </c>
      <c r="D876" s="5" t="s">
        <v>143</v>
      </c>
      <c r="E876" s="5" t="s">
        <v>167</v>
      </c>
    </row>
    <row r="877" customFormat="false" ht="15" hidden="false" customHeight="true" outlineLevel="0" collapsed="false">
      <c r="A877" s="5" t="n">
        <v>3927500</v>
      </c>
      <c r="B877" s="5" t="s">
        <v>973</v>
      </c>
      <c r="C877" s="5" t="s">
        <v>142</v>
      </c>
      <c r="D877" s="5" t="s">
        <v>143</v>
      </c>
      <c r="E877" s="5" t="s">
        <v>167</v>
      </c>
    </row>
    <row r="878" customFormat="false" ht="15" hidden="false" customHeight="true" outlineLevel="0" collapsed="false">
      <c r="A878" s="5" t="n">
        <v>3930300</v>
      </c>
      <c r="B878" s="5" t="s">
        <v>974</v>
      </c>
      <c r="C878" s="5" t="s">
        <v>99</v>
      </c>
      <c r="D878" s="5" t="s">
        <v>114</v>
      </c>
      <c r="E878" s="5" t="s">
        <v>194</v>
      </c>
    </row>
    <row r="879" customFormat="false" ht="15" hidden="false" customHeight="true" outlineLevel="0" collapsed="false">
      <c r="A879" s="5" t="n">
        <v>3930400</v>
      </c>
      <c r="B879" s="5" t="s">
        <v>975</v>
      </c>
      <c r="C879" s="5" t="s">
        <v>99</v>
      </c>
      <c r="D879" s="5" t="s">
        <v>114</v>
      </c>
      <c r="E879" s="5" t="s">
        <v>194</v>
      </c>
    </row>
    <row r="880" customFormat="false" ht="15" hidden="false" customHeight="true" outlineLevel="0" collapsed="false">
      <c r="A880" s="5" t="n">
        <v>3930500</v>
      </c>
      <c r="B880" s="5" t="s">
        <v>976</v>
      </c>
      <c r="C880" s="5" t="s">
        <v>99</v>
      </c>
      <c r="D880" s="5" t="s">
        <v>114</v>
      </c>
      <c r="E880" s="5" t="s">
        <v>194</v>
      </c>
    </row>
    <row r="881" customFormat="false" ht="15" hidden="false" customHeight="true" outlineLevel="0" collapsed="false">
      <c r="A881" s="5" t="n">
        <v>3930600</v>
      </c>
      <c r="B881" s="5" t="s">
        <v>977</v>
      </c>
      <c r="C881" s="5" t="s">
        <v>99</v>
      </c>
      <c r="D881" s="5" t="s">
        <v>114</v>
      </c>
      <c r="E881" s="5" t="s">
        <v>194</v>
      </c>
    </row>
    <row r="882" customFormat="false" ht="15" hidden="false" customHeight="true" outlineLevel="0" collapsed="false">
      <c r="A882" s="5" t="n">
        <v>3930800</v>
      </c>
      <c r="B882" s="5" t="s">
        <v>978</v>
      </c>
      <c r="C882" s="5" t="s">
        <v>142</v>
      </c>
      <c r="D882" s="5" t="s">
        <v>143</v>
      </c>
      <c r="E882" s="5" t="s">
        <v>194</v>
      </c>
    </row>
    <row r="883" customFormat="false" ht="15" hidden="false" customHeight="true" outlineLevel="0" collapsed="false">
      <c r="A883" s="5" t="n">
        <v>3938800</v>
      </c>
      <c r="B883" s="5" t="s">
        <v>979</v>
      </c>
      <c r="C883" s="5" t="s">
        <v>142</v>
      </c>
      <c r="D883" s="5" t="s">
        <v>143</v>
      </c>
      <c r="E883" s="5" t="s">
        <v>194</v>
      </c>
    </row>
    <row r="884" customFormat="false" ht="15" hidden="false" customHeight="true" outlineLevel="0" collapsed="false">
      <c r="A884" s="5" t="n">
        <v>3942900</v>
      </c>
      <c r="B884" s="5" t="s">
        <v>980</v>
      </c>
      <c r="C884" s="5" t="s">
        <v>142</v>
      </c>
      <c r="D884" s="5" t="s">
        <v>143</v>
      </c>
      <c r="E884" s="5" t="s">
        <v>194</v>
      </c>
    </row>
    <row r="885" customFormat="false" ht="15" hidden="false" customHeight="true" outlineLevel="0" collapsed="false">
      <c r="A885" s="5" t="n">
        <v>3950300</v>
      </c>
      <c r="B885" s="5" t="s">
        <v>981</v>
      </c>
      <c r="C885" s="5" t="s">
        <v>99</v>
      </c>
      <c r="D885" s="5" t="s">
        <v>124</v>
      </c>
      <c r="E885" s="5" t="s">
        <v>198</v>
      </c>
    </row>
    <row r="886" customFormat="false" ht="15" hidden="false" customHeight="true" outlineLevel="0" collapsed="false">
      <c r="A886" s="5" t="n">
        <v>3950400</v>
      </c>
      <c r="B886" s="5" t="s">
        <v>982</v>
      </c>
      <c r="C886" s="5" t="s">
        <v>99</v>
      </c>
      <c r="D886" s="5" t="s">
        <v>124</v>
      </c>
      <c r="E886" s="5" t="s">
        <v>198</v>
      </c>
    </row>
    <row r="887" customFormat="false" ht="15" hidden="false" customHeight="true" outlineLevel="0" collapsed="false">
      <c r="A887" s="5" t="n">
        <v>3950500</v>
      </c>
      <c r="B887" s="5" t="s">
        <v>983</v>
      </c>
      <c r="C887" s="5" t="s">
        <v>142</v>
      </c>
      <c r="D887" s="5" t="s">
        <v>143</v>
      </c>
      <c r="E887" s="5" t="s">
        <v>294</v>
      </c>
    </row>
    <row r="888" customFormat="false" ht="15" hidden="false" customHeight="true" outlineLevel="0" collapsed="false">
      <c r="A888" s="5" t="n">
        <v>3950600</v>
      </c>
      <c r="B888" s="5" t="s">
        <v>983</v>
      </c>
      <c r="C888" s="5" t="s">
        <v>142</v>
      </c>
      <c r="D888" s="5" t="s">
        <v>143</v>
      </c>
      <c r="E888" s="5" t="s">
        <v>294</v>
      </c>
    </row>
    <row r="889" customFormat="false" ht="15" hidden="false" customHeight="true" outlineLevel="0" collapsed="false">
      <c r="A889" s="5" t="n">
        <v>3950800</v>
      </c>
      <c r="B889" s="5" t="s">
        <v>983</v>
      </c>
      <c r="C889" s="5" t="s">
        <v>142</v>
      </c>
      <c r="D889" s="5" t="s">
        <v>143</v>
      </c>
      <c r="E889" s="5" t="s">
        <v>294</v>
      </c>
    </row>
    <row r="890" customFormat="false" ht="15" hidden="false" customHeight="true" outlineLevel="0" collapsed="false">
      <c r="A890" s="5" t="n">
        <v>3950900</v>
      </c>
      <c r="B890" s="5" t="s">
        <v>984</v>
      </c>
      <c r="C890" s="5" t="s">
        <v>99</v>
      </c>
      <c r="D890" s="5" t="s">
        <v>114</v>
      </c>
      <c r="E890" s="5" t="s">
        <v>133</v>
      </c>
    </row>
    <row r="891" customFormat="false" ht="15" hidden="false" customHeight="true" outlineLevel="0" collapsed="false">
      <c r="A891" s="5" t="n">
        <v>3958500</v>
      </c>
      <c r="B891" s="5" t="s">
        <v>985</v>
      </c>
      <c r="C891" s="5" t="s">
        <v>142</v>
      </c>
      <c r="D891" s="5" t="s">
        <v>143</v>
      </c>
      <c r="E891" s="5" t="s">
        <v>194</v>
      </c>
    </row>
    <row r="892" customFormat="false" ht="15" hidden="false" customHeight="true" outlineLevel="0" collapsed="false">
      <c r="A892" s="5" t="n">
        <v>3960500</v>
      </c>
      <c r="B892" s="5" t="s">
        <v>986</v>
      </c>
      <c r="C892" s="5" t="s">
        <v>142</v>
      </c>
      <c r="D892" s="5" t="s">
        <v>143</v>
      </c>
      <c r="E892" s="5" t="s">
        <v>115</v>
      </c>
    </row>
    <row r="893" customFormat="false" ht="15" hidden="false" customHeight="true" outlineLevel="0" collapsed="false">
      <c r="A893" s="5" t="n">
        <v>3960600</v>
      </c>
      <c r="B893" s="5" t="s">
        <v>987</v>
      </c>
      <c r="C893" s="5" t="s">
        <v>142</v>
      </c>
      <c r="D893" s="5" t="s">
        <v>143</v>
      </c>
      <c r="E893" s="5" t="s">
        <v>115</v>
      </c>
    </row>
    <row r="894" customFormat="false" ht="15" hidden="false" customHeight="true" outlineLevel="0" collapsed="false">
      <c r="A894" s="5" t="n">
        <v>3960800</v>
      </c>
      <c r="B894" s="5" t="s">
        <v>988</v>
      </c>
      <c r="C894" s="5" t="s">
        <v>142</v>
      </c>
      <c r="D894" s="5" t="s">
        <v>143</v>
      </c>
      <c r="E894" s="5" t="s">
        <v>115</v>
      </c>
    </row>
    <row r="895" customFormat="false" ht="15" hidden="false" customHeight="true" outlineLevel="0" collapsed="false">
      <c r="A895" s="5" t="n">
        <v>3961200</v>
      </c>
      <c r="B895" s="5" t="s">
        <v>989</v>
      </c>
      <c r="C895" s="5" t="s">
        <v>99</v>
      </c>
      <c r="D895" s="5" t="s">
        <v>114</v>
      </c>
      <c r="E895" s="5" t="s">
        <v>115</v>
      </c>
    </row>
    <row r="896" customFormat="false" ht="15" hidden="false" customHeight="true" outlineLevel="0" collapsed="false">
      <c r="A896" s="5" t="n">
        <v>3961300</v>
      </c>
      <c r="B896" s="5" t="s">
        <v>990</v>
      </c>
      <c r="C896" s="5" t="s">
        <v>99</v>
      </c>
      <c r="D896" s="5" t="s">
        <v>114</v>
      </c>
      <c r="E896" s="5" t="s">
        <v>115</v>
      </c>
    </row>
    <row r="897" customFormat="false" ht="15" hidden="false" customHeight="true" outlineLevel="0" collapsed="false">
      <c r="A897" s="5" t="n">
        <v>3961400</v>
      </c>
      <c r="B897" s="5" t="s">
        <v>991</v>
      </c>
      <c r="C897" s="5" t="s">
        <v>142</v>
      </c>
      <c r="D897" s="5" t="s">
        <v>143</v>
      </c>
      <c r="E897" s="5" t="s">
        <v>115</v>
      </c>
    </row>
    <row r="898" customFormat="false" ht="15" hidden="false" customHeight="true" outlineLevel="0" collapsed="false">
      <c r="A898" s="5" t="n">
        <v>3961500</v>
      </c>
      <c r="B898" s="5" t="s">
        <v>992</v>
      </c>
      <c r="C898" s="5" t="s">
        <v>142</v>
      </c>
      <c r="D898" s="5" t="s">
        <v>143</v>
      </c>
      <c r="E898" s="5" t="s">
        <v>115</v>
      </c>
    </row>
    <row r="899" customFormat="false" ht="15" hidden="false" customHeight="true" outlineLevel="0" collapsed="false">
      <c r="A899" s="5" t="n">
        <v>3961600</v>
      </c>
      <c r="B899" s="5" t="s">
        <v>993</v>
      </c>
      <c r="C899" s="5" t="s">
        <v>142</v>
      </c>
      <c r="D899" s="5" t="s">
        <v>143</v>
      </c>
      <c r="E899" s="5" t="s">
        <v>115</v>
      </c>
    </row>
    <row r="900" customFormat="false" ht="15" hidden="false" customHeight="true" outlineLevel="0" collapsed="false">
      <c r="A900" s="5" t="n">
        <v>3961700</v>
      </c>
      <c r="B900" s="5" t="s">
        <v>994</v>
      </c>
      <c r="C900" s="5" t="s">
        <v>142</v>
      </c>
      <c r="D900" s="5" t="s">
        <v>143</v>
      </c>
      <c r="E900" s="5" t="s">
        <v>115</v>
      </c>
    </row>
    <row r="901" customFormat="false" ht="15" hidden="false" customHeight="true" outlineLevel="0" collapsed="false">
      <c r="A901" s="5" t="n">
        <v>3961800</v>
      </c>
      <c r="B901" s="5" t="s">
        <v>995</v>
      </c>
      <c r="C901" s="5" t="s">
        <v>142</v>
      </c>
      <c r="D901" s="5" t="s">
        <v>143</v>
      </c>
      <c r="E901" s="5" t="s">
        <v>115</v>
      </c>
    </row>
    <row r="902" customFormat="false" ht="15" hidden="false" customHeight="true" outlineLevel="0" collapsed="false">
      <c r="A902" s="5" t="n">
        <v>3961900</v>
      </c>
      <c r="B902" s="5" t="s">
        <v>996</v>
      </c>
      <c r="C902" s="5" t="s">
        <v>142</v>
      </c>
      <c r="D902" s="5" t="s">
        <v>143</v>
      </c>
      <c r="E902" s="5" t="s">
        <v>115</v>
      </c>
    </row>
    <row r="903" customFormat="false" ht="15" hidden="false" customHeight="true" outlineLevel="0" collapsed="false">
      <c r="A903" s="5" t="n">
        <v>3966300</v>
      </c>
      <c r="B903" s="5" t="s">
        <v>997</v>
      </c>
      <c r="C903" s="5" t="s">
        <v>99</v>
      </c>
      <c r="D903" s="5" t="s">
        <v>114</v>
      </c>
      <c r="E903" s="5" t="s">
        <v>115</v>
      </c>
    </row>
    <row r="904" customFormat="false" ht="15" hidden="false" customHeight="true" outlineLevel="0" collapsed="false">
      <c r="A904" s="5" t="n">
        <v>3966400</v>
      </c>
      <c r="B904" s="5" t="s">
        <v>998</v>
      </c>
      <c r="C904" s="5" t="s">
        <v>99</v>
      </c>
      <c r="D904" s="5" t="s">
        <v>114</v>
      </c>
      <c r="E904" s="5" t="s">
        <v>117</v>
      </c>
    </row>
    <row r="905" customFormat="false" ht="15" hidden="false" customHeight="true" outlineLevel="0" collapsed="false">
      <c r="A905" s="5" t="n">
        <v>3966600</v>
      </c>
      <c r="B905" s="5" t="s">
        <v>999</v>
      </c>
      <c r="C905" s="5" t="s">
        <v>99</v>
      </c>
      <c r="D905" s="5" t="s">
        <v>114</v>
      </c>
      <c r="E905" s="5" t="s">
        <v>115</v>
      </c>
    </row>
    <row r="906" customFormat="false" ht="15" hidden="false" customHeight="true" outlineLevel="0" collapsed="false">
      <c r="A906" s="5" t="n">
        <v>3966800</v>
      </c>
      <c r="B906" s="5" t="s">
        <v>1000</v>
      </c>
      <c r="C906" s="5" t="s">
        <v>99</v>
      </c>
      <c r="D906" s="5" t="s">
        <v>114</v>
      </c>
      <c r="E906" s="5" t="s">
        <v>115</v>
      </c>
    </row>
    <row r="907" customFormat="false" ht="15" hidden="false" customHeight="true" outlineLevel="0" collapsed="false">
      <c r="A907" s="5" t="n">
        <v>3966900</v>
      </c>
      <c r="B907" s="5" t="s">
        <v>1001</v>
      </c>
      <c r="C907" s="5" t="s">
        <v>99</v>
      </c>
      <c r="D907" s="5" t="s">
        <v>114</v>
      </c>
      <c r="E907" s="5" t="s">
        <v>115</v>
      </c>
    </row>
    <row r="908" customFormat="false" ht="15" hidden="false" customHeight="true" outlineLevel="0" collapsed="false">
      <c r="A908" s="5" t="n">
        <v>3967000</v>
      </c>
      <c r="B908" s="5" t="s">
        <v>1002</v>
      </c>
      <c r="C908" s="5" t="s">
        <v>99</v>
      </c>
      <c r="D908" s="5" t="s">
        <v>114</v>
      </c>
      <c r="E908" s="5" t="s">
        <v>117</v>
      </c>
    </row>
    <row r="909" customFormat="false" ht="15" hidden="false" customHeight="true" outlineLevel="0" collapsed="false">
      <c r="A909" s="5" t="n">
        <v>3967200</v>
      </c>
      <c r="B909" s="5" t="s">
        <v>1003</v>
      </c>
      <c r="C909" s="5" t="s">
        <v>99</v>
      </c>
      <c r="D909" s="5" t="s">
        <v>114</v>
      </c>
      <c r="E909" s="5" t="s">
        <v>115</v>
      </c>
    </row>
    <row r="910" customFormat="false" ht="15" hidden="false" customHeight="true" outlineLevel="0" collapsed="false">
      <c r="A910" s="5" t="n">
        <v>3971500</v>
      </c>
      <c r="B910" s="5" t="s">
        <v>1004</v>
      </c>
      <c r="C910" s="5" t="s">
        <v>99</v>
      </c>
      <c r="D910" s="5" t="s">
        <v>114</v>
      </c>
      <c r="E910" s="5" t="s">
        <v>115</v>
      </c>
    </row>
    <row r="911" customFormat="false" ht="15" hidden="false" customHeight="true" outlineLevel="0" collapsed="false">
      <c r="A911" s="5" t="n">
        <v>3974400</v>
      </c>
      <c r="B911" s="5" t="s">
        <v>1005</v>
      </c>
      <c r="C911" s="5" t="s">
        <v>142</v>
      </c>
      <c r="D911" s="5" t="s">
        <v>124</v>
      </c>
      <c r="E911" s="5" t="s">
        <v>216</v>
      </c>
    </row>
    <row r="912" customFormat="false" ht="15" hidden="false" customHeight="true" outlineLevel="0" collapsed="false">
      <c r="A912" s="5" t="n">
        <v>3974500</v>
      </c>
      <c r="B912" s="5" t="s">
        <v>1006</v>
      </c>
      <c r="C912" s="5" t="s">
        <v>99</v>
      </c>
      <c r="D912" s="5" t="s">
        <v>114</v>
      </c>
      <c r="E912" s="5" t="s">
        <v>133</v>
      </c>
    </row>
    <row r="913" customFormat="false" ht="15" hidden="false" customHeight="true" outlineLevel="0" collapsed="false">
      <c r="A913" s="5" t="n">
        <v>3976000</v>
      </c>
      <c r="B913" s="5" t="s">
        <v>335</v>
      </c>
      <c r="C913" s="5" t="s">
        <v>142</v>
      </c>
      <c r="D913" s="5" t="s">
        <v>143</v>
      </c>
      <c r="E913" s="5" t="s">
        <v>172</v>
      </c>
    </row>
    <row r="914" customFormat="false" ht="15" hidden="false" customHeight="true" outlineLevel="0" collapsed="false">
      <c r="A914" s="5" t="n">
        <v>3976100</v>
      </c>
      <c r="B914" s="5" t="s">
        <v>1007</v>
      </c>
      <c r="C914" s="5" t="s">
        <v>142</v>
      </c>
      <c r="D914" s="5" t="s">
        <v>143</v>
      </c>
      <c r="E914" s="5" t="s">
        <v>172</v>
      </c>
    </row>
    <row r="915" customFormat="false" ht="15" hidden="false" customHeight="true" outlineLevel="0" collapsed="false">
      <c r="A915" s="5" t="n">
        <v>3977500</v>
      </c>
      <c r="B915" s="5" t="s">
        <v>1008</v>
      </c>
      <c r="C915" s="5" t="s">
        <v>142</v>
      </c>
      <c r="D915" s="5" t="s">
        <v>143</v>
      </c>
      <c r="E915" s="5" t="s">
        <v>264</v>
      </c>
    </row>
    <row r="916" customFormat="false" ht="15" hidden="false" customHeight="true" outlineLevel="0" collapsed="false">
      <c r="A916" s="5" t="n">
        <v>3977600</v>
      </c>
      <c r="B916" s="5" t="s">
        <v>1009</v>
      </c>
      <c r="C916" s="5" t="s">
        <v>142</v>
      </c>
      <c r="D916" s="5" t="s">
        <v>143</v>
      </c>
      <c r="E916" s="5" t="s">
        <v>264</v>
      </c>
    </row>
    <row r="917" customFormat="false" ht="15" hidden="false" customHeight="true" outlineLevel="0" collapsed="false">
      <c r="A917" s="5" t="n">
        <v>3977700</v>
      </c>
      <c r="B917" s="5" t="s">
        <v>1010</v>
      </c>
      <c r="C917" s="5" t="s">
        <v>142</v>
      </c>
      <c r="D917" s="5" t="s">
        <v>143</v>
      </c>
      <c r="E917" s="5" t="s">
        <v>264</v>
      </c>
    </row>
    <row r="918" customFormat="false" ht="15" hidden="false" customHeight="true" outlineLevel="0" collapsed="false">
      <c r="A918" s="5" t="n">
        <v>3977800</v>
      </c>
      <c r="B918" s="5" t="s">
        <v>1011</v>
      </c>
      <c r="C918" s="5" t="s">
        <v>142</v>
      </c>
      <c r="D918" s="5" t="s">
        <v>143</v>
      </c>
      <c r="E918" s="5" t="s">
        <v>264</v>
      </c>
    </row>
    <row r="919" customFormat="false" ht="15" hidden="false" customHeight="true" outlineLevel="0" collapsed="false">
      <c r="A919" s="5" t="n">
        <v>3977900</v>
      </c>
      <c r="B919" s="5" t="s">
        <v>1012</v>
      </c>
      <c r="C919" s="5" t="s">
        <v>142</v>
      </c>
      <c r="D919" s="5" t="s">
        <v>143</v>
      </c>
      <c r="E919" s="5" t="s">
        <v>264</v>
      </c>
    </row>
    <row r="920" customFormat="false" ht="15" hidden="false" customHeight="true" outlineLevel="0" collapsed="false">
      <c r="A920" s="5" t="n">
        <v>3978000</v>
      </c>
      <c r="B920" s="5" t="s">
        <v>1013</v>
      </c>
      <c r="C920" s="5" t="s">
        <v>142</v>
      </c>
      <c r="D920" s="5" t="s">
        <v>143</v>
      </c>
      <c r="E920" s="5" t="s">
        <v>264</v>
      </c>
    </row>
    <row r="921" customFormat="false" ht="15" hidden="false" customHeight="true" outlineLevel="0" collapsed="false">
      <c r="A921" s="5" t="n">
        <v>3978100</v>
      </c>
      <c r="B921" s="5" t="s">
        <v>1014</v>
      </c>
      <c r="C921" s="5" t="s">
        <v>142</v>
      </c>
      <c r="D921" s="5" t="s">
        <v>143</v>
      </c>
      <c r="E921" s="5" t="s">
        <v>264</v>
      </c>
    </row>
    <row r="922" customFormat="false" ht="15" hidden="false" customHeight="true" outlineLevel="0" collapsed="false">
      <c r="A922" s="5" t="n">
        <v>3978200</v>
      </c>
      <c r="B922" s="5" t="s">
        <v>1015</v>
      </c>
      <c r="C922" s="5" t="s">
        <v>142</v>
      </c>
      <c r="D922" s="5" t="s">
        <v>143</v>
      </c>
      <c r="E922" s="5" t="s">
        <v>264</v>
      </c>
    </row>
    <row r="923" customFormat="false" ht="15" hidden="false" customHeight="true" outlineLevel="0" collapsed="false">
      <c r="A923" s="5" t="n">
        <v>3978300</v>
      </c>
      <c r="B923" s="5" t="s">
        <v>1016</v>
      </c>
      <c r="C923" s="5" t="s">
        <v>142</v>
      </c>
      <c r="D923" s="5" t="s">
        <v>143</v>
      </c>
      <c r="E923" s="5" t="s">
        <v>264</v>
      </c>
    </row>
    <row r="924" customFormat="false" ht="15" hidden="false" customHeight="true" outlineLevel="0" collapsed="false">
      <c r="A924" s="5" t="n">
        <v>3978400</v>
      </c>
      <c r="B924" s="5" t="s">
        <v>1017</v>
      </c>
      <c r="C924" s="5" t="s">
        <v>142</v>
      </c>
      <c r="D924" s="5" t="s">
        <v>283</v>
      </c>
      <c r="E924" s="5" t="s">
        <v>167</v>
      </c>
    </row>
    <row r="925" customFormat="false" ht="15" hidden="false" customHeight="true" outlineLevel="0" collapsed="false">
      <c r="A925" s="5" t="n">
        <v>3978500</v>
      </c>
      <c r="B925" s="5" t="s">
        <v>1018</v>
      </c>
      <c r="C925" s="5" t="s">
        <v>142</v>
      </c>
      <c r="D925" s="5" t="s">
        <v>143</v>
      </c>
      <c r="E925" s="5" t="s">
        <v>167</v>
      </c>
    </row>
    <row r="926" customFormat="false" ht="15" hidden="false" customHeight="true" outlineLevel="0" collapsed="false">
      <c r="A926" s="5" t="n">
        <v>3978600</v>
      </c>
      <c r="B926" s="5" t="s">
        <v>1019</v>
      </c>
      <c r="C926" s="5" t="s">
        <v>142</v>
      </c>
      <c r="D926" s="5" t="s">
        <v>143</v>
      </c>
      <c r="E926" s="5" t="s">
        <v>167</v>
      </c>
    </row>
    <row r="927" customFormat="false" ht="15" hidden="false" customHeight="true" outlineLevel="0" collapsed="false">
      <c r="A927" s="5" t="n">
        <v>3978700</v>
      </c>
      <c r="B927" s="5" t="s">
        <v>1020</v>
      </c>
      <c r="C927" s="5" t="s">
        <v>142</v>
      </c>
      <c r="D927" s="5" t="s">
        <v>143</v>
      </c>
      <c r="E927" s="5" t="s">
        <v>167</v>
      </c>
    </row>
    <row r="928" customFormat="false" ht="15" hidden="false" customHeight="true" outlineLevel="0" collapsed="false">
      <c r="A928" s="5" t="n">
        <v>3978800</v>
      </c>
      <c r="B928" s="5" t="s">
        <v>1021</v>
      </c>
      <c r="C928" s="5" t="s">
        <v>142</v>
      </c>
      <c r="D928" s="5" t="s">
        <v>143</v>
      </c>
      <c r="E928" s="5" t="s">
        <v>167</v>
      </c>
    </row>
    <row r="929" customFormat="false" ht="15" hidden="false" customHeight="true" outlineLevel="0" collapsed="false">
      <c r="A929" s="5" t="n">
        <v>3978900</v>
      </c>
      <c r="B929" s="5" t="s">
        <v>1022</v>
      </c>
      <c r="C929" s="5" t="s">
        <v>142</v>
      </c>
      <c r="D929" s="5" t="s">
        <v>283</v>
      </c>
      <c r="E929" s="5" t="s">
        <v>167</v>
      </c>
    </row>
    <row r="930" customFormat="false" ht="15" hidden="false" customHeight="true" outlineLevel="0" collapsed="false">
      <c r="A930" s="5" t="n">
        <v>3979000</v>
      </c>
      <c r="B930" s="5" t="s">
        <v>1023</v>
      </c>
      <c r="C930" s="5" t="s">
        <v>142</v>
      </c>
      <c r="D930" s="5" t="s">
        <v>283</v>
      </c>
      <c r="E930" s="5" t="s">
        <v>167</v>
      </c>
    </row>
    <row r="931" customFormat="false" ht="15" hidden="false" customHeight="true" outlineLevel="0" collapsed="false">
      <c r="A931" s="5" t="n">
        <v>3979100</v>
      </c>
      <c r="B931" s="5" t="s">
        <v>1024</v>
      </c>
      <c r="C931" s="5" t="s">
        <v>142</v>
      </c>
      <c r="D931" s="5" t="s">
        <v>143</v>
      </c>
      <c r="E931" s="5" t="s">
        <v>167</v>
      </c>
    </row>
    <row r="932" customFormat="false" ht="15" hidden="false" customHeight="true" outlineLevel="0" collapsed="false">
      <c r="A932" s="5" t="n">
        <v>3979200</v>
      </c>
      <c r="B932" s="5" t="s">
        <v>1025</v>
      </c>
      <c r="C932" s="5" t="s">
        <v>142</v>
      </c>
      <c r="D932" s="5" t="s">
        <v>143</v>
      </c>
      <c r="E932" s="5" t="s">
        <v>167</v>
      </c>
    </row>
    <row r="933" customFormat="false" ht="15" hidden="false" customHeight="true" outlineLevel="0" collapsed="false">
      <c r="A933" s="5" t="n">
        <v>3979300</v>
      </c>
      <c r="B933" s="5" t="s">
        <v>1026</v>
      </c>
      <c r="C933" s="5" t="s">
        <v>142</v>
      </c>
      <c r="D933" s="5" t="s">
        <v>143</v>
      </c>
      <c r="E933" s="5" t="s">
        <v>167</v>
      </c>
    </row>
    <row r="934" customFormat="false" ht="15" hidden="false" customHeight="true" outlineLevel="0" collapsed="false">
      <c r="A934" s="5" t="n">
        <v>3979400</v>
      </c>
      <c r="B934" s="5" t="s">
        <v>1027</v>
      </c>
      <c r="C934" s="5" t="s">
        <v>142</v>
      </c>
      <c r="D934" s="5" t="s">
        <v>143</v>
      </c>
      <c r="E934" s="5" t="s">
        <v>167</v>
      </c>
    </row>
    <row r="935" customFormat="false" ht="15" hidden="false" customHeight="true" outlineLevel="0" collapsed="false">
      <c r="A935" s="5" t="n">
        <v>3979500</v>
      </c>
      <c r="B935" s="5" t="s">
        <v>1028</v>
      </c>
      <c r="C935" s="5" t="s">
        <v>142</v>
      </c>
      <c r="D935" s="5" t="s">
        <v>143</v>
      </c>
      <c r="E935" s="5" t="s">
        <v>167</v>
      </c>
    </row>
    <row r="936" customFormat="false" ht="15" hidden="false" customHeight="true" outlineLevel="0" collapsed="false">
      <c r="A936" s="5" t="n">
        <v>3979600</v>
      </c>
      <c r="B936" s="5" t="s">
        <v>1029</v>
      </c>
      <c r="C936" s="5" t="s">
        <v>142</v>
      </c>
      <c r="D936" s="5" t="s">
        <v>143</v>
      </c>
      <c r="E936" s="5" t="s">
        <v>167</v>
      </c>
    </row>
    <row r="937" customFormat="false" ht="15" hidden="false" customHeight="true" outlineLevel="0" collapsed="false">
      <c r="A937" s="5" t="n">
        <v>3979700</v>
      </c>
      <c r="B937" s="5" t="s">
        <v>1030</v>
      </c>
      <c r="C937" s="5" t="s">
        <v>142</v>
      </c>
      <c r="D937" s="5" t="s">
        <v>143</v>
      </c>
      <c r="E937" s="5" t="s">
        <v>167</v>
      </c>
    </row>
    <row r="938" customFormat="false" ht="15" hidden="false" customHeight="true" outlineLevel="0" collapsed="false">
      <c r="A938" s="5" t="n">
        <v>3979800</v>
      </c>
      <c r="B938" s="5" t="s">
        <v>1031</v>
      </c>
      <c r="C938" s="5" t="s">
        <v>142</v>
      </c>
      <c r="D938" s="5" t="s">
        <v>143</v>
      </c>
      <c r="E938" s="5" t="s">
        <v>167</v>
      </c>
    </row>
    <row r="939" customFormat="false" ht="15" hidden="false" customHeight="true" outlineLevel="0" collapsed="false">
      <c r="A939" s="5" t="n">
        <v>3980000</v>
      </c>
      <c r="B939" s="5" t="s">
        <v>1032</v>
      </c>
      <c r="C939" s="5" t="s">
        <v>142</v>
      </c>
      <c r="D939" s="5" t="s">
        <v>283</v>
      </c>
      <c r="E939" s="5" t="s">
        <v>167</v>
      </c>
    </row>
    <row r="940" customFormat="false" ht="15" hidden="false" customHeight="true" outlineLevel="0" collapsed="false">
      <c r="A940" s="5" t="n">
        <v>3982200</v>
      </c>
      <c r="B940" s="5" t="s">
        <v>1033</v>
      </c>
      <c r="C940" s="5" t="s">
        <v>99</v>
      </c>
      <c r="D940" s="5" t="s">
        <v>114</v>
      </c>
      <c r="E940" s="5" t="s">
        <v>115</v>
      </c>
    </row>
    <row r="941" customFormat="false" ht="15" hidden="false" customHeight="true" outlineLevel="0" collapsed="false">
      <c r="A941" s="5" t="n">
        <v>3982300</v>
      </c>
      <c r="B941" s="5" t="s">
        <v>1034</v>
      </c>
      <c r="C941" s="5" t="s">
        <v>99</v>
      </c>
      <c r="D941" s="5" t="s">
        <v>114</v>
      </c>
      <c r="E941" s="5" t="s">
        <v>115</v>
      </c>
    </row>
    <row r="942" customFormat="false" ht="15" hidden="false" customHeight="true" outlineLevel="0" collapsed="false">
      <c r="A942" s="5" t="n">
        <v>3982400</v>
      </c>
      <c r="B942" s="5" t="s">
        <v>1035</v>
      </c>
      <c r="C942" s="5" t="s">
        <v>99</v>
      </c>
      <c r="D942" s="5" t="s">
        <v>114</v>
      </c>
      <c r="E942" s="5" t="s">
        <v>115</v>
      </c>
    </row>
    <row r="943" customFormat="false" ht="15" hidden="false" customHeight="true" outlineLevel="0" collapsed="false">
      <c r="A943" s="5" t="n">
        <v>3982500</v>
      </c>
      <c r="B943" s="5" t="s">
        <v>1036</v>
      </c>
      <c r="C943" s="5" t="s">
        <v>99</v>
      </c>
      <c r="D943" s="5" t="s">
        <v>114</v>
      </c>
      <c r="E943" s="5" t="s">
        <v>115</v>
      </c>
    </row>
    <row r="944" customFormat="false" ht="15" hidden="false" customHeight="true" outlineLevel="0" collapsed="false">
      <c r="A944" s="5" t="n">
        <v>3982600</v>
      </c>
      <c r="B944" s="5" t="s">
        <v>1037</v>
      </c>
      <c r="C944" s="5" t="s">
        <v>99</v>
      </c>
      <c r="D944" s="5" t="s">
        <v>114</v>
      </c>
      <c r="E944" s="5" t="s">
        <v>115</v>
      </c>
    </row>
    <row r="945" customFormat="false" ht="15" hidden="false" customHeight="true" outlineLevel="0" collapsed="false">
      <c r="A945" s="5" t="n">
        <v>3982700</v>
      </c>
      <c r="B945" s="5" t="s">
        <v>1038</v>
      </c>
      <c r="C945" s="5" t="s">
        <v>99</v>
      </c>
      <c r="D945" s="5" t="s">
        <v>114</v>
      </c>
      <c r="E945" s="5" t="s">
        <v>117</v>
      </c>
    </row>
    <row r="946" customFormat="false" ht="15" hidden="false" customHeight="true" outlineLevel="0" collapsed="false">
      <c r="A946" s="5" t="n">
        <v>3982900</v>
      </c>
      <c r="B946" s="5" t="s">
        <v>1039</v>
      </c>
      <c r="C946" s="5" t="s">
        <v>99</v>
      </c>
      <c r="D946" s="5" t="s">
        <v>114</v>
      </c>
      <c r="E946" s="5" t="s">
        <v>117</v>
      </c>
    </row>
    <row r="947" customFormat="false" ht="15" hidden="false" customHeight="true" outlineLevel="0" collapsed="false">
      <c r="A947" s="5" t="n">
        <v>3983000</v>
      </c>
      <c r="B947" s="5" t="s">
        <v>1040</v>
      </c>
      <c r="C947" s="5" t="s">
        <v>99</v>
      </c>
      <c r="D947" s="5" t="s">
        <v>114</v>
      </c>
      <c r="E947" s="5" t="s">
        <v>117</v>
      </c>
    </row>
    <row r="948" customFormat="false" ht="15" hidden="false" customHeight="true" outlineLevel="0" collapsed="false">
      <c r="A948" s="5" t="n">
        <v>3983100</v>
      </c>
      <c r="B948" s="5" t="s">
        <v>1041</v>
      </c>
      <c r="C948" s="5" t="s">
        <v>99</v>
      </c>
      <c r="D948" s="5" t="s">
        <v>114</v>
      </c>
      <c r="E948" s="5" t="s">
        <v>117</v>
      </c>
    </row>
    <row r="949" customFormat="false" ht="15" hidden="false" customHeight="true" outlineLevel="0" collapsed="false">
      <c r="A949" s="5" t="n">
        <v>3983200</v>
      </c>
      <c r="B949" s="5" t="s">
        <v>1042</v>
      </c>
      <c r="C949" s="5" t="s">
        <v>99</v>
      </c>
      <c r="D949" s="5" t="s">
        <v>114</v>
      </c>
      <c r="E949" s="5" t="s">
        <v>117</v>
      </c>
    </row>
    <row r="950" customFormat="false" ht="15" hidden="false" customHeight="true" outlineLevel="0" collapsed="false">
      <c r="A950" s="5" t="n">
        <v>3986300</v>
      </c>
      <c r="B950" s="5" t="s">
        <v>1043</v>
      </c>
      <c r="C950" s="5" t="s">
        <v>99</v>
      </c>
      <c r="D950" s="5" t="s">
        <v>124</v>
      </c>
      <c r="E950" s="5" t="s">
        <v>198</v>
      </c>
    </row>
    <row r="951" customFormat="false" ht="15" hidden="false" customHeight="true" outlineLevel="0" collapsed="false">
      <c r="A951" s="5" t="n">
        <v>3986400</v>
      </c>
      <c r="B951" s="5" t="s">
        <v>1044</v>
      </c>
      <c r="C951" s="5" t="s">
        <v>99</v>
      </c>
      <c r="D951" s="5" t="s">
        <v>124</v>
      </c>
      <c r="E951" s="5" t="s">
        <v>198</v>
      </c>
    </row>
    <row r="952" customFormat="false" ht="15" hidden="false" customHeight="true" outlineLevel="0" collapsed="false">
      <c r="A952" s="5" t="n">
        <v>3986500</v>
      </c>
      <c r="B952" s="5" t="s">
        <v>1045</v>
      </c>
      <c r="C952" s="5" t="s">
        <v>99</v>
      </c>
      <c r="D952" s="5" t="s">
        <v>124</v>
      </c>
      <c r="E952" s="5" t="s">
        <v>125</v>
      </c>
    </row>
    <row r="953" customFormat="false" ht="15" hidden="false" customHeight="true" outlineLevel="0" collapsed="false">
      <c r="A953" s="5" t="n">
        <v>3986600</v>
      </c>
      <c r="B953" s="5" t="s">
        <v>1046</v>
      </c>
      <c r="C953" s="5" t="s">
        <v>99</v>
      </c>
      <c r="D953" s="5" t="s">
        <v>124</v>
      </c>
      <c r="E953" s="5" t="s">
        <v>125</v>
      </c>
    </row>
    <row r="954" customFormat="false" ht="15" hidden="false" customHeight="true" outlineLevel="0" collapsed="false">
      <c r="A954" s="5" t="n">
        <v>3986800</v>
      </c>
      <c r="B954" s="5" t="s">
        <v>1047</v>
      </c>
      <c r="C954" s="5" t="s">
        <v>99</v>
      </c>
      <c r="D954" s="5" t="s">
        <v>124</v>
      </c>
      <c r="E954" s="5" t="s">
        <v>198</v>
      </c>
    </row>
    <row r="955" customFormat="false" ht="15" hidden="false" customHeight="true" outlineLevel="0" collapsed="false">
      <c r="A955" s="5" t="n">
        <v>3986900</v>
      </c>
      <c r="B955" s="5" t="s">
        <v>1048</v>
      </c>
      <c r="C955" s="5" t="s">
        <v>99</v>
      </c>
      <c r="D955" s="5" t="s">
        <v>124</v>
      </c>
      <c r="E955" s="5" t="s">
        <v>198</v>
      </c>
    </row>
    <row r="956" customFormat="false" ht="15" hidden="false" customHeight="true" outlineLevel="0" collapsed="false">
      <c r="A956" s="5" t="n">
        <v>3987000</v>
      </c>
      <c r="B956" s="5" t="s">
        <v>1049</v>
      </c>
      <c r="C956" s="5" t="s">
        <v>99</v>
      </c>
      <c r="D956" s="5" t="s">
        <v>124</v>
      </c>
      <c r="E956" s="5" t="s">
        <v>198</v>
      </c>
    </row>
    <row r="957" customFormat="false" ht="15" hidden="false" customHeight="true" outlineLevel="0" collapsed="false">
      <c r="A957" s="5" t="n">
        <v>3987100</v>
      </c>
      <c r="B957" s="5" t="s">
        <v>1050</v>
      </c>
      <c r="C957" s="5" t="s">
        <v>99</v>
      </c>
      <c r="D957" s="5" t="s">
        <v>124</v>
      </c>
      <c r="E957" s="5" t="s">
        <v>198</v>
      </c>
    </row>
    <row r="958" customFormat="false" ht="15" hidden="false" customHeight="true" outlineLevel="0" collapsed="false">
      <c r="A958" s="5" t="n">
        <v>3988400</v>
      </c>
      <c r="B958" s="5" t="s">
        <v>1051</v>
      </c>
      <c r="C958" s="5" t="s">
        <v>99</v>
      </c>
      <c r="D958" s="5" t="s">
        <v>114</v>
      </c>
      <c r="E958" s="5" t="s">
        <v>117</v>
      </c>
    </row>
    <row r="959" customFormat="false" ht="15" hidden="false" customHeight="true" outlineLevel="0" collapsed="false">
      <c r="A959" s="5" t="n">
        <v>3988500</v>
      </c>
      <c r="B959" s="5" t="s">
        <v>1052</v>
      </c>
      <c r="C959" s="5" t="s">
        <v>99</v>
      </c>
      <c r="D959" s="5" t="s">
        <v>114</v>
      </c>
      <c r="E959" s="5" t="s">
        <v>117</v>
      </c>
    </row>
    <row r="960" customFormat="false" ht="15" hidden="false" customHeight="true" outlineLevel="0" collapsed="false">
      <c r="A960" s="5" t="n">
        <v>3988600</v>
      </c>
      <c r="B960" s="5" t="s">
        <v>1053</v>
      </c>
      <c r="C960" s="5" t="s">
        <v>99</v>
      </c>
      <c r="D960" s="5" t="s">
        <v>114</v>
      </c>
      <c r="E960" s="5" t="s">
        <v>117</v>
      </c>
    </row>
    <row r="961" customFormat="false" ht="15" hidden="false" customHeight="true" outlineLevel="0" collapsed="false">
      <c r="A961" s="5" t="n">
        <v>3988700</v>
      </c>
      <c r="B961" s="5" t="s">
        <v>1054</v>
      </c>
      <c r="C961" s="5" t="s">
        <v>99</v>
      </c>
      <c r="D961" s="5" t="s">
        <v>114</v>
      </c>
      <c r="E961" s="5" t="s">
        <v>117</v>
      </c>
    </row>
    <row r="962" customFormat="false" ht="15" hidden="false" customHeight="true" outlineLevel="0" collapsed="false">
      <c r="A962" s="5" t="n">
        <v>3988800</v>
      </c>
      <c r="B962" s="5" t="s">
        <v>1055</v>
      </c>
      <c r="C962" s="5" t="s">
        <v>99</v>
      </c>
      <c r="D962" s="5" t="s">
        <v>114</v>
      </c>
      <c r="E962" s="5" t="s">
        <v>117</v>
      </c>
    </row>
    <row r="963" customFormat="false" ht="15" hidden="false" customHeight="true" outlineLevel="0" collapsed="false">
      <c r="A963" s="5" t="n">
        <v>3988900</v>
      </c>
      <c r="B963" s="5" t="s">
        <v>1056</v>
      </c>
      <c r="C963" s="5" t="s">
        <v>99</v>
      </c>
      <c r="D963" s="5" t="s">
        <v>114</v>
      </c>
      <c r="E963" s="5" t="s">
        <v>117</v>
      </c>
    </row>
    <row r="964" customFormat="false" ht="15" hidden="false" customHeight="true" outlineLevel="0" collapsed="false">
      <c r="A964" s="5" t="n">
        <v>3989000</v>
      </c>
      <c r="B964" s="5" t="s">
        <v>1057</v>
      </c>
      <c r="C964" s="5" t="s">
        <v>99</v>
      </c>
      <c r="D964" s="5" t="s">
        <v>114</v>
      </c>
      <c r="E964" s="5" t="s">
        <v>117</v>
      </c>
    </row>
    <row r="965" customFormat="false" ht="15" hidden="false" customHeight="true" outlineLevel="0" collapsed="false">
      <c r="A965" s="5" t="n">
        <v>3989100</v>
      </c>
      <c r="B965" s="5" t="s">
        <v>1058</v>
      </c>
      <c r="C965" s="5" t="s">
        <v>99</v>
      </c>
      <c r="D965" s="5" t="s">
        <v>114</v>
      </c>
      <c r="E965" s="5" t="s">
        <v>117</v>
      </c>
    </row>
    <row r="966" customFormat="false" ht="15" hidden="false" customHeight="true" outlineLevel="0" collapsed="false">
      <c r="A966" s="5" t="n">
        <v>3990400</v>
      </c>
      <c r="B966" s="5" t="s">
        <v>1053</v>
      </c>
      <c r="C966" s="5" t="s">
        <v>99</v>
      </c>
      <c r="D966" s="5" t="s">
        <v>114</v>
      </c>
      <c r="E966" s="5" t="s">
        <v>117</v>
      </c>
    </row>
    <row r="967" customFormat="false" ht="15" hidden="false" customHeight="true" outlineLevel="0" collapsed="false">
      <c r="A967" s="5" t="n">
        <v>3995000</v>
      </c>
      <c r="B967" s="5" t="s">
        <v>1059</v>
      </c>
      <c r="C967" s="5" t="s">
        <v>99</v>
      </c>
      <c r="D967" s="5" t="s">
        <v>124</v>
      </c>
      <c r="E967" s="5" t="s">
        <v>125</v>
      </c>
    </row>
    <row r="968" customFormat="false" ht="15" hidden="false" customHeight="true" outlineLevel="0" collapsed="false">
      <c r="A968" s="5" t="n">
        <v>3995100</v>
      </c>
      <c r="B968" s="5" t="s">
        <v>1060</v>
      </c>
      <c r="C968" s="5" t="s">
        <v>99</v>
      </c>
      <c r="D968" s="5" t="s">
        <v>124</v>
      </c>
      <c r="E968" s="5" t="s">
        <v>125</v>
      </c>
    </row>
    <row r="969" customFormat="false" ht="15" hidden="false" customHeight="true" outlineLevel="0" collapsed="false">
      <c r="A969" s="5" t="n">
        <v>3995200</v>
      </c>
      <c r="B969" s="5" t="s">
        <v>1061</v>
      </c>
      <c r="C969" s="5" t="s">
        <v>99</v>
      </c>
      <c r="D969" s="5" t="s">
        <v>124</v>
      </c>
      <c r="E969" s="5" t="s">
        <v>198</v>
      </c>
    </row>
    <row r="970" customFormat="false" ht="15" hidden="false" customHeight="true" outlineLevel="0" collapsed="false">
      <c r="A970" s="5" t="n">
        <v>3995300</v>
      </c>
      <c r="B970" s="5" t="s">
        <v>1062</v>
      </c>
      <c r="C970" s="5" t="s">
        <v>99</v>
      </c>
      <c r="D970" s="5" t="s">
        <v>124</v>
      </c>
      <c r="E970" s="5" t="s">
        <v>198</v>
      </c>
    </row>
    <row r="971" customFormat="false" ht="15" hidden="false" customHeight="true" outlineLevel="0" collapsed="false">
      <c r="A971" s="5" t="n">
        <v>3995400</v>
      </c>
      <c r="B971" s="5" t="s">
        <v>1063</v>
      </c>
      <c r="C971" s="5" t="s">
        <v>99</v>
      </c>
      <c r="D971" s="5" t="s">
        <v>124</v>
      </c>
      <c r="E971" s="5" t="s">
        <v>198</v>
      </c>
    </row>
    <row r="972" customFormat="false" ht="15" hidden="false" customHeight="true" outlineLevel="0" collapsed="false">
      <c r="A972" s="5" t="n">
        <v>3995500</v>
      </c>
      <c r="B972" s="5" t="s">
        <v>1064</v>
      </c>
      <c r="C972" s="5" t="s">
        <v>99</v>
      </c>
      <c r="D972" s="5" t="s">
        <v>124</v>
      </c>
      <c r="E972" s="5" t="s">
        <v>198</v>
      </c>
    </row>
    <row r="973" customFormat="false" ht="15" hidden="false" customHeight="true" outlineLevel="0" collapsed="false">
      <c r="A973" s="5" t="n">
        <v>3995600</v>
      </c>
      <c r="B973" s="5" t="s">
        <v>1065</v>
      </c>
      <c r="C973" s="5" t="s">
        <v>99</v>
      </c>
      <c r="D973" s="5" t="s">
        <v>124</v>
      </c>
      <c r="E973" s="5" t="s">
        <v>198</v>
      </c>
    </row>
    <row r="974" customFormat="false" ht="15" hidden="false" customHeight="true" outlineLevel="0" collapsed="false">
      <c r="A974" s="5" t="n">
        <v>3995700</v>
      </c>
      <c r="B974" s="5" t="s">
        <v>1066</v>
      </c>
      <c r="C974" s="5" t="s">
        <v>99</v>
      </c>
      <c r="D974" s="5" t="s">
        <v>124</v>
      </c>
      <c r="E974" s="5" t="s">
        <v>198</v>
      </c>
    </row>
    <row r="975" customFormat="false" ht="15" hidden="false" customHeight="true" outlineLevel="0" collapsed="false">
      <c r="A975" s="5" t="n">
        <v>4013700</v>
      </c>
      <c r="B975" s="5" t="s">
        <v>1067</v>
      </c>
      <c r="C975" s="5" t="s">
        <v>142</v>
      </c>
      <c r="D975" s="5" t="s">
        <v>143</v>
      </c>
      <c r="E975" s="5" t="s">
        <v>115</v>
      </c>
    </row>
    <row r="976" customFormat="false" ht="15" hidden="false" customHeight="true" outlineLevel="0" collapsed="false">
      <c r="A976" s="5" t="n">
        <v>4016500</v>
      </c>
      <c r="B976" s="5" t="s">
        <v>1068</v>
      </c>
      <c r="C976" s="5" t="s">
        <v>99</v>
      </c>
      <c r="D976" s="5" t="s">
        <v>114</v>
      </c>
      <c r="E976" s="5" t="s">
        <v>128</v>
      </c>
    </row>
    <row r="977" customFormat="false" ht="15" hidden="false" customHeight="true" outlineLevel="0" collapsed="false">
      <c r="A977" s="5" t="n">
        <v>4016600</v>
      </c>
      <c r="B977" s="5" t="s">
        <v>1069</v>
      </c>
      <c r="C977" s="5" t="s">
        <v>99</v>
      </c>
      <c r="D977" s="5" t="s">
        <v>114</v>
      </c>
      <c r="E977" s="5" t="s">
        <v>128</v>
      </c>
    </row>
    <row r="978" customFormat="false" ht="15" hidden="false" customHeight="true" outlineLevel="0" collapsed="false">
      <c r="A978" s="5" t="n">
        <v>4016700</v>
      </c>
      <c r="B978" s="5" t="s">
        <v>1070</v>
      </c>
      <c r="C978" s="5" t="s">
        <v>99</v>
      </c>
      <c r="D978" s="5" t="s">
        <v>114</v>
      </c>
      <c r="E978" s="5" t="s">
        <v>128</v>
      </c>
    </row>
    <row r="979" customFormat="false" ht="15" hidden="false" customHeight="true" outlineLevel="0" collapsed="false">
      <c r="A979" s="5" t="n">
        <v>4016800</v>
      </c>
      <c r="B979" s="5" t="s">
        <v>1071</v>
      </c>
      <c r="C979" s="5" t="s">
        <v>99</v>
      </c>
      <c r="D979" s="5" t="s">
        <v>114</v>
      </c>
      <c r="E979" s="5" t="s">
        <v>128</v>
      </c>
    </row>
    <row r="980" customFormat="false" ht="15" hidden="false" customHeight="true" outlineLevel="0" collapsed="false">
      <c r="A980" s="5" t="n">
        <v>4016900</v>
      </c>
      <c r="B980" s="5" t="s">
        <v>1072</v>
      </c>
      <c r="C980" s="5" t="s">
        <v>142</v>
      </c>
      <c r="D980" s="5" t="s">
        <v>143</v>
      </c>
      <c r="E980" s="5" t="s">
        <v>172</v>
      </c>
    </row>
    <row r="981" customFormat="false" ht="15" hidden="false" customHeight="true" outlineLevel="0" collapsed="false">
      <c r="A981" s="5" t="n">
        <v>4017000</v>
      </c>
      <c r="B981" s="5" t="s">
        <v>1073</v>
      </c>
      <c r="C981" s="5" t="s">
        <v>99</v>
      </c>
      <c r="D981" s="5" t="s">
        <v>124</v>
      </c>
      <c r="E981" s="5" t="s">
        <v>198</v>
      </c>
    </row>
    <row r="982" customFormat="false" ht="15" hidden="false" customHeight="true" outlineLevel="0" collapsed="false">
      <c r="A982" s="5" t="n">
        <v>4017100</v>
      </c>
      <c r="B982" s="5" t="s">
        <v>1074</v>
      </c>
      <c r="C982" s="5" t="s">
        <v>99</v>
      </c>
      <c r="D982" s="5" t="s">
        <v>124</v>
      </c>
      <c r="E982" s="5" t="s">
        <v>125</v>
      </c>
    </row>
    <row r="983" customFormat="false" ht="15" hidden="false" customHeight="true" outlineLevel="0" collapsed="false">
      <c r="A983" s="5" t="n">
        <v>4017200</v>
      </c>
      <c r="B983" s="5" t="s">
        <v>1075</v>
      </c>
      <c r="C983" s="5" t="s">
        <v>99</v>
      </c>
      <c r="D983" s="5" t="s">
        <v>124</v>
      </c>
      <c r="E983" s="5" t="s">
        <v>125</v>
      </c>
    </row>
    <row r="984" customFormat="false" ht="15" hidden="false" customHeight="true" outlineLevel="0" collapsed="false">
      <c r="A984" s="5" t="n">
        <v>4017300</v>
      </c>
      <c r="B984" s="5" t="s">
        <v>1076</v>
      </c>
      <c r="C984" s="5" t="s">
        <v>99</v>
      </c>
      <c r="D984" s="5" t="s">
        <v>124</v>
      </c>
      <c r="E984" s="5" t="s">
        <v>198</v>
      </c>
    </row>
    <row r="985" customFormat="false" ht="15" hidden="false" customHeight="true" outlineLevel="0" collapsed="false">
      <c r="A985" s="5" t="n">
        <v>4017400</v>
      </c>
      <c r="B985" s="5" t="s">
        <v>1077</v>
      </c>
      <c r="C985" s="5" t="s">
        <v>99</v>
      </c>
      <c r="D985" s="5" t="s">
        <v>124</v>
      </c>
      <c r="E985" s="5" t="s">
        <v>125</v>
      </c>
    </row>
    <row r="986" customFormat="false" ht="15" hidden="false" customHeight="true" outlineLevel="0" collapsed="false">
      <c r="A986" s="5" t="n">
        <v>4017500</v>
      </c>
      <c r="B986" s="5" t="s">
        <v>1078</v>
      </c>
      <c r="C986" s="5" t="s">
        <v>99</v>
      </c>
      <c r="D986" s="5" t="s">
        <v>124</v>
      </c>
      <c r="E986" s="5" t="s">
        <v>198</v>
      </c>
    </row>
    <row r="987" customFormat="false" ht="15" hidden="false" customHeight="true" outlineLevel="0" collapsed="false">
      <c r="A987" s="5" t="n">
        <v>4017600</v>
      </c>
      <c r="B987" s="5" t="s">
        <v>1079</v>
      </c>
      <c r="C987" s="5" t="s">
        <v>99</v>
      </c>
      <c r="D987" s="5" t="s">
        <v>124</v>
      </c>
      <c r="E987" s="5" t="s">
        <v>125</v>
      </c>
    </row>
    <row r="988" customFormat="false" ht="15" hidden="false" customHeight="true" outlineLevel="0" collapsed="false">
      <c r="A988" s="5" t="n">
        <v>4017700</v>
      </c>
      <c r="B988" s="5" t="s">
        <v>1080</v>
      </c>
      <c r="C988" s="5" t="s">
        <v>99</v>
      </c>
      <c r="D988" s="5" t="s">
        <v>124</v>
      </c>
      <c r="E988" s="5" t="s">
        <v>125</v>
      </c>
    </row>
    <row r="989" customFormat="false" ht="15" hidden="false" customHeight="true" outlineLevel="0" collapsed="false">
      <c r="A989" s="5" t="n">
        <v>4017800</v>
      </c>
      <c r="B989" s="5" t="s">
        <v>1081</v>
      </c>
      <c r="C989" s="5" t="s">
        <v>99</v>
      </c>
      <c r="D989" s="5" t="s">
        <v>124</v>
      </c>
      <c r="E989" s="5" t="s">
        <v>125</v>
      </c>
    </row>
    <row r="990" customFormat="false" ht="15" hidden="false" customHeight="true" outlineLevel="0" collapsed="false">
      <c r="A990" s="5" t="n">
        <v>4023200</v>
      </c>
      <c r="B990" s="5" t="s">
        <v>1082</v>
      </c>
      <c r="C990" s="5" t="s">
        <v>99</v>
      </c>
      <c r="D990" s="5" t="s">
        <v>114</v>
      </c>
      <c r="E990" s="5" t="s">
        <v>128</v>
      </c>
    </row>
    <row r="991" customFormat="false" ht="15" hidden="false" customHeight="true" outlineLevel="0" collapsed="false">
      <c r="A991" s="5" t="n">
        <v>4023300</v>
      </c>
      <c r="B991" s="5" t="s">
        <v>1083</v>
      </c>
      <c r="C991" s="5" t="s">
        <v>99</v>
      </c>
      <c r="D991" s="5" t="s">
        <v>114</v>
      </c>
      <c r="E991" s="5" t="s">
        <v>128</v>
      </c>
    </row>
    <row r="992" customFormat="false" ht="15" hidden="false" customHeight="true" outlineLevel="0" collapsed="false">
      <c r="A992" s="5" t="n">
        <v>4023400</v>
      </c>
      <c r="B992" s="5" t="s">
        <v>1084</v>
      </c>
      <c r="C992" s="5" t="s">
        <v>99</v>
      </c>
      <c r="D992" s="5" t="s">
        <v>114</v>
      </c>
      <c r="E992" s="5" t="s">
        <v>128</v>
      </c>
    </row>
    <row r="993" customFormat="false" ht="15" hidden="false" customHeight="true" outlineLevel="0" collapsed="false">
      <c r="A993" s="5" t="n">
        <v>4023500</v>
      </c>
      <c r="B993" s="5" t="s">
        <v>1085</v>
      </c>
      <c r="C993" s="5" t="s">
        <v>99</v>
      </c>
      <c r="D993" s="5" t="s">
        <v>114</v>
      </c>
      <c r="E993" s="5" t="s">
        <v>128</v>
      </c>
    </row>
    <row r="994" customFormat="false" ht="15" hidden="false" customHeight="true" outlineLevel="0" collapsed="false">
      <c r="A994" s="5" t="n">
        <v>4023600</v>
      </c>
      <c r="B994" s="5" t="s">
        <v>1086</v>
      </c>
      <c r="C994" s="5" t="s">
        <v>99</v>
      </c>
      <c r="D994" s="5" t="s">
        <v>114</v>
      </c>
      <c r="E994" s="5" t="s">
        <v>128</v>
      </c>
    </row>
    <row r="995" customFormat="false" ht="15" hidden="false" customHeight="true" outlineLevel="0" collapsed="false">
      <c r="A995" s="5" t="n">
        <v>4023700</v>
      </c>
      <c r="B995" s="5" t="s">
        <v>1087</v>
      </c>
      <c r="C995" s="5" t="s">
        <v>99</v>
      </c>
      <c r="D995" s="5" t="s">
        <v>114</v>
      </c>
      <c r="E995" s="5" t="s">
        <v>128</v>
      </c>
    </row>
    <row r="996" customFormat="false" ht="15" hidden="false" customHeight="true" outlineLevel="0" collapsed="false">
      <c r="A996" s="5" t="n">
        <v>4023800</v>
      </c>
      <c r="B996" s="5" t="s">
        <v>1088</v>
      </c>
      <c r="C996" s="5" t="s">
        <v>99</v>
      </c>
      <c r="D996" s="5" t="s">
        <v>114</v>
      </c>
      <c r="E996" s="5" t="s">
        <v>128</v>
      </c>
    </row>
    <row r="997" customFormat="false" ht="15" hidden="false" customHeight="true" outlineLevel="0" collapsed="false">
      <c r="A997" s="5" t="n">
        <v>4023900</v>
      </c>
      <c r="B997" s="5" t="s">
        <v>1089</v>
      </c>
      <c r="C997" s="5" t="s">
        <v>99</v>
      </c>
      <c r="D997" s="5" t="s">
        <v>114</v>
      </c>
      <c r="E997" s="5" t="s">
        <v>128</v>
      </c>
    </row>
    <row r="998" customFormat="false" ht="15" hidden="false" customHeight="true" outlineLevel="0" collapsed="false">
      <c r="A998" s="5" t="n">
        <v>4024400</v>
      </c>
      <c r="B998" s="5" t="s">
        <v>1090</v>
      </c>
      <c r="C998" s="5" t="s">
        <v>99</v>
      </c>
      <c r="D998" s="5" t="s">
        <v>114</v>
      </c>
      <c r="E998" s="5" t="s">
        <v>128</v>
      </c>
    </row>
    <row r="999" customFormat="false" ht="15" hidden="false" customHeight="true" outlineLevel="0" collapsed="false">
      <c r="A999" s="5" t="n">
        <v>4024600</v>
      </c>
      <c r="B999" s="5" t="s">
        <v>1091</v>
      </c>
      <c r="C999" s="5" t="s">
        <v>99</v>
      </c>
      <c r="D999" s="5" t="s">
        <v>114</v>
      </c>
      <c r="E999" s="5" t="s">
        <v>128</v>
      </c>
    </row>
    <row r="1000" customFormat="false" ht="15" hidden="false" customHeight="true" outlineLevel="0" collapsed="false">
      <c r="A1000" s="5" t="n">
        <v>4024700</v>
      </c>
      <c r="B1000" s="5" t="s">
        <v>1092</v>
      </c>
      <c r="C1000" s="5" t="s">
        <v>99</v>
      </c>
      <c r="D1000" s="5" t="s">
        <v>114</v>
      </c>
      <c r="E1000" s="5" t="s">
        <v>128</v>
      </c>
    </row>
    <row r="1001" customFormat="false" ht="15" hidden="false" customHeight="true" outlineLevel="0" collapsed="false">
      <c r="A1001" s="5" t="n">
        <v>4025300</v>
      </c>
      <c r="B1001" s="5" t="s">
        <v>1093</v>
      </c>
      <c r="C1001" s="5" t="s">
        <v>99</v>
      </c>
      <c r="D1001" s="5" t="s">
        <v>114</v>
      </c>
      <c r="E1001" s="5" t="s">
        <v>152</v>
      </c>
    </row>
    <row r="1002" customFormat="false" ht="15" hidden="false" customHeight="true" outlineLevel="0" collapsed="false">
      <c r="A1002" s="5" t="n">
        <v>4025400</v>
      </c>
      <c r="B1002" s="5" t="s">
        <v>1094</v>
      </c>
      <c r="C1002" s="5" t="s">
        <v>99</v>
      </c>
      <c r="D1002" s="5" t="s">
        <v>114</v>
      </c>
      <c r="E1002" s="5" t="s">
        <v>152</v>
      </c>
    </row>
    <row r="1003" customFormat="false" ht="15" hidden="false" customHeight="true" outlineLevel="0" collapsed="false">
      <c r="A1003" s="5" t="n">
        <v>4025500</v>
      </c>
      <c r="B1003" s="5" t="s">
        <v>1095</v>
      </c>
      <c r="C1003" s="5" t="s">
        <v>99</v>
      </c>
      <c r="D1003" s="5" t="s">
        <v>114</v>
      </c>
      <c r="E1003" s="5" t="s">
        <v>152</v>
      </c>
    </row>
    <row r="1004" customFormat="false" ht="15" hidden="false" customHeight="true" outlineLevel="0" collapsed="false">
      <c r="A1004" s="5" t="n">
        <v>4025600</v>
      </c>
      <c r="B1004" s="5" t="s">
        <v>1096</v>
      </c>
      <c r="C1004" s="5" t="s">
        <v>99</v>
      </c>
      <c r="D1004" s="5" t="s">
        <v>114</v>
      </c>
      <c r="E1004" s="5" t="s">
        <v>152</v>
      </c>
    </row>
    <row r="1005" customFormat="false" ht="15" hidden="false" customHeight="true" outlineLevel="0" collapsed="false">
      <c r="A1005" s="5" t="n">
        <v>4025700</v>
      </c>
      <c r="B1005" s="5" t="s">
        <v>1097</v>
      </c>
      <c r="C1005" s="5" t="s">
        <v>99</v>
      </c>
      <c r="D1005" s="5" t="s">
        <v>114</v>
      </c>
      <c r="E1005" s="5" t="s">
        <v>152</v>
      </c>
    </row>
    <row r="1006" customFormat="false" ht="15" hidden="false" customHeight="true" outlineLevel="0" collapsed="false">
      <c r="A1006" s="5" t="n">
        <v>4025800</v>
      </c>
      <c r="B1006" s="5" t="s">
        <v>1098</v>
      </c>
      <c r="C1006" s="5" t="s">
        <v>99</v>
      </c>
      <c r="D1006" s="5" t="s">
        <v>114</v>
      </c>
      <c r="E1006" s="5" t="s">
        <v>152</v>
      </c>
    </row>
    <row r="1007" customFormat="false" ht="15" hidden="false" customHeight="true" outlineLevel="0" collapsed="false">
      <c r="A1007" s="5" t="n">
        <v>4025900</v>
      </c>
      <c r="B1007" s="5" t="s">
        <v>1099</v>
      </c>
      <c r="C1007" s="5" t="s">
        <v>99</v>
      </c>
      <c r="D1007" s="5" t="s">
        <v>114</v>
      </c>
      <c r="E1007" s="5" t="s">
        <v>152</v>
      </c>
    </row>
    <row r="1008" customFormat="false" ht="15" hidden="false" customHeight="true" outlineLevel="0" collapsed="false">
      <c r="A1008" s="5" t="n">
        <v>4026000</v>
      </c>
      <c r="B1008" s="5" t="s">
        <v>1100</v>
      </c>
      <c r="C1008" s="5" t="s">
        <v>99</v>
      </c>
      <c r="D1008" s="5" t="s">
        <v>114</v>
      </c>
      <c r="E1008" s="5" t="s">
        <v>152</v>
      </c>
    </row>
    <row r="1009" customFormat="false" ht="15" hidden="false" customHeight="true" outlineLevel="0" collapsed="false">
      <c r="A1009" s="5" t="n">
        <v>4026100</v>
      </c>
      <c r="B1009" s="5" t="s">
        <v>1101</v>
      </c>
      <c r="C1009" s="5" t="s">
        <v>99</v>
      </c>
      <c r="D1009" s="5" t="s">
        <v>114</v>
      </c>
      <c r="E1009" s="5" t="s">
        <v>152</v>
      </c>
    </row>
    <row r="1010" customFormat="false" ht="15" hidden="false" customHeight="true" outlineLevel="0" collapsed="false">
      <c r="A1010" s="5" t="n">
        <v>4026200</v>
      </c>
      <c r="B1010" s="5" t="s">
        <v>1102</v>
      </c>
      <c r="C1010" s="5" t="s">
        <v>99</v>
      </c>
      <c r="D1010" s="5" t="s">
        <v>114</v>
      </c>
      <c r="E1010" s="5" t="s">
        <v>152</v>
      </c>
    </row>
    <row r="1011" customFormat="false" ht="15" hidden="false" customHeight="true" outlineLevel="0" collapsed="false">
      <c r="A1011" s="5" t="n">
        <v>4026300</v>
      </c>
      <c r="B1011" s="5" t="s">
        <v>1103</v>
      </c>
      <c r="C1011" s="5" t="s">
        <v>99</v>
      </c>
      <c r="D1011" s="5" t="s">
        <v>114</v>
      </c>
      <c r="E1011" s="5" t="s">
        <v>152</v>
      </c>
    </row>
    <row r="1012" customFormat="false" ht="15" hidden="false" customHeight="true" outlineLevel="0" collapsed="false">
      <c r="A1012" s="5" t="n">
        <v>4026400</v>
      </c>
      <c r="B1012" s="5" t="s">
        <v>1104</v>
      </c>
      <c r="C1012" s="5" t="s">
        <v>99</v>
      </c>
      <c r="D1012" s="5" t="s">
        <v>114</v>
      </c>
      <c r="E1012" s="5" t="s">
        <v>152</v>
      </c>
    </row>
    <row r="1013" customFormat="false" ht="15" hidden="false" customHeight="true" outlineLevel="0" collapsed="false">
      <c r="A1013" s="5" t="n">
        <v>4026500</v>
      </c>
      <c r="B1013" s="5" t="s">
        <v>1105</v>
      </c>
      <c r="C1013" s="5" t="s">
        <v>99</v>
      </c>
      <c r="D1013" s="5" t="s">
        <v>100</v>
      </c>
      <c r="E1013" s="5" t="s">
        <v>100</v>
      </c>
    </row>
    <row r="1014" customFormat="false" ht="15" hidden="false" customHeight="true" outlineLevel="0" collapsed="false">
      <c r="A1014" s="5" t="n">
        <v>4042700</v>
      </c>
      <c r="B1014" s="5" t="s">
        <v>1106</v>
      </c>
      <c r="C1014" s="5" t="s">
        <v>142</v>
      </c>
      <c r="D1014" s="5" t="s">
        <v>143</v>
      </c>
      <c r="E1014" s="5" t="s">
        <v>172</v>
      </c>
    </row>
    <row r="1015" customFormat="false" ht="15" hidden="false" customHeight="true" outlineLevel="0" collapsed="false">
      <c r="A1015" s="5" t="n">
        <v>4042800</v>
      </c>
      <c r="B1015" s="5" t="s">
        <v>392</v>
      </c>
      <c r="C1015" s="5" t="s">
        <v>142</v>
      </c>
      <c r="D1015" s="5" t="s">
        <v>143</v>
      </c>
      <c r="E1015" s="5" t="s">
        <v>167</v>
      </c>
    </row>
    <row r="1016" customFormat="false" ht="15" hidden="false" customHeight="true" outlineLevel="0" collapsed="false">
      <c r="A1016" s="5" t="n">
        <v>4056500</v>
      </c>
      <c r="B1016" s="5" t="s">
        <v>1107</v>
      </c>
      <c r="C1016" s="5" t="s">
        <v>99</v>
      </c>
      <c r="D1016" s="5" t="s">
        <v>114</v>
      </c>
      <c r="E1016" s="5" t="s">
        <v>115</v>
      </c>
    </row>
    <row r="1017" customFormat="false" ht="15" hidden="false" customHeight="true" outlineLevel="0" collapsed="false">
      <c r="A1017" s="5" t="n">
        <v>4059600</v>
      </c>
      <c r="B1017" s="5" t="s">
        <v>1108</v>
      </c>
      <c r="C1017" s="5" t="s">
        <v>99</v>
      </c>
      <c r="D1017" s="5" t="s">
        <v>114</v>
      </c>
      <c r="E1017" s="5" t="s">
        <v>115</v>
      </c>
    </row>
    <row r="1018" customFormat="false" ht="15" hidden="false" customHeight="true" outlineLevel="0" collapsed="false">
      <c r="A1018" s="5" t="n">
        <v>4059700</v>
      </c>
      <c r="B1018" s="5" t="s">
        <v>1109</v>
      </c>
      <c r="C1018" s="5" t="s">
        <v>142</v>
      </c>
      <c r="D1018" s="5" t="s">
        <v>143</v>
      </c>
      <c r="E1018" s="5" t="s">
        <v>115</v>
      </c>
    </row>
    <row r="1019" customFormat="false" ht="15" hidden="false" customHeight="true" outlineLevel="0" collapsed="false">
      <c r="A1019" s="5" t="n">
        <v>4060800</v>
      </c>
      <c r="B1019" s="5" t="s">
        <v>1110</v>
      </c>
      <c r="C1019" s="5" t="s">
        <v>142</v>
      </c>
      <c r="D1019" s="5" t="s">
        <v>143</v>
      </c>
      <c r="E1019" s="5" t="s">
        <v>115</v>
      </c>
    </row>
    <row r="1020" customFormat="false" ht="15" hidden="false" customHeight="true" outlineLevel="0" collapsed="false">
      <c r="A1020" s="5" t="n">
        <v>4060900</v>
      </c>
      <c r="B1020" s="5" t="s">
        <v>1111</v>
      </c>
      <c r="C1020" s="5" t="s">
        <v>142</v>
      </c>
      <c r="D1020" s="5" t="s">
        <v>143</v>
      </c>
      <c r="E1020" s="5" t="s">
        <v>115</v>
      </c>
    </row>
    <row r="1021" customFormat="false" ht="15" hidden="false" customHeight="true" outlineLevel="0" collapsed="false">
      <c r="A1021" s="5" t="n">
        <v>4061000</v>
      </c>
      <c r="B1021" s="5" t="s">
        <v>1112</v>
      </c>
      <c r="C1021" s="5" t="s">
        <v>142</v>
      </c>
      <c r="D1021" s="5" t="s">
        <v>143</v>
      </c>
      <c r="E1021" s="5" t="s">
        <v>115</v>
      </c>
    </row>
    <row r="1022" customFormat="false" ht="15" hidden="false" customHeight="true" outlineLevel="0" collapsed="false">
      <c r="A1022" s="5" t="n">
        <v>4061100</v>
      </c>
      <c r="B1022" s="5" t="s">
        <v>1113</v>
      </c>
      <c r="C1022" s="5" t="s">
        <v>142</v>
      </c>
      <c r="D1022" s="5" t="s">
        <v>143</v>
      </c>
      <c r="E1022" s="5" t="s">
        <v>115</v>
      </c>
    </row>
    <row r="1023" customFormat="false" ht="15" hidden="false" customHeight="true" outlineLevel="0" collapsed="false">
      <c r="A1023" s="5" t="n">
        <v>4061200</v>
      </c>
      <c r="B1023" s="5" t="s">
        <v>1114</v>
      </c>
      <c r="C1023" s="5" t="s">
        <v>142</v>
      </c>
      <c r="D1023" s="5" t="s">
        <v>143</v>
      </c>
      <c r="E1023" s="5" t="s">
        <v>115</v>
      </c>
    </row>
    <row r="1024" customFormat="false" ht="15" hidden="false" customHeight="true" outlineLevel="0" collapsed="false">
      <c r="A1024" s="5" t="n">
        <v>4061300</v>
      </c>
      <c r="B1024" s="5" t="s">
        <v>1115</v>
      </c>
      <c r="C1024" s="5" t="s">
        <v>142</v>
      </c>
      <c r="D1024" s="5" t="s">
        <v>143</v>
      </c>
      <c r="E1024" s="5" t="s">
        <v>115</v>
      </c>
    </row>
    <row r="1025" customFormat="false" ht="15" hidden="false" customHeight="true" outlineLevel="0" collapsed="false">
      <c r="A1025" s="5" t="n">
        <v>4061400</v>
      </c>
      <c r="B1025" s="5" t="s">
        <v>1116</v>
      </c>
      <c r="C1025" s="5" t="s">
        <v>142</v>
      </c>
      <c r="D1025" s="5" t="s">
        <v>143</v>
      </c>
      <c r="E1025" s="5" t="s">
        <v>167</v>
      </c>
    </row>
    <row r="1026" customFormat="false" ht="15" hidden="false" customHeight="true" outlineLevel="0" collapsed="false">
      <c r="A1026" s="5" t="n">
        <v>4061500</v>
      </c>
      <c r="B1026" s="5" t="s">
        <v>1117</v>
      </c>
      <c r="C1026" s="5" t="s">
        <v>142</v>
      </c>
      <c r="D1026" s="5" t="s">
        <v>143</v>
      </c>
      <c r="E1026" s="5" t="s">
        <v>167</v>
      </c>
    </row>
    <row r="1027" customFormat="false" ht="15" hidden="false" customHeight="true" outlineLevel="0" collapsed="false">
      <c r="A1027" s="5" t="n">
        <v>4061600</v>
      </c>
      <c r="B1027" s="5" t="s">
        <v>1118</v>
      </c>
      <c r="C1027" s="5" t="s">
        <v>142</v>
      </c>
      <c r="D1027" s="5" t="s">
        <v>143</v>
      </c>
      <c r="E1027" s="5" t="s">
        <v>167</v>
      </c>
    </row>
    <row r="1028" customFormat="false" ht="15" hidden="false" customHeight="true" outlineLevel="0" collapsed="false">
      <c r="A1028" s="5" t="n">
        <v>4067700</v>
      </c>
      <c r="B1028" s="5" t="s">
        <v>1119</v>
      </c>
      <c r="C1028" s="5" t="s">
        <v>142</v>
      </c>
      <c r="D1028" s="5" t="s">
        <v>143</v>
      </c>
      <c r="E1028" s="5" t="s">
        <v>167</v>
      </c>
    </row>
    <row r="1029" customFormat="false" ht="15" hidden="false" customHeight="true" outlineLevel="0" collapsed="false">
      <c r="A1029" s="5" t="n">
        <v>4067800</v>
      </c>
      <c r="B1029" s="5" t="s">
        <v>1120</v>
      </c>
      <c r="C1029" s="5" t="s">
        <v>142</v>
      </c>
      <c r="D1029" s="5" t="s">
        <v>143</v>
      </c>
      <c r="E1029" s="5" t="s">
        <v>167</v>
      </c>
    </row>
    <row r="1030" customFormat="false" ht="15" hidden="false" customHeight="true" outlineLevel="0" collapsed="false">
      <c r="A1030" s="5" t="n">
        <v>4067900</v>
      </c>
      <c r="B1030" s="5" t="s">
        <v>1121</v>
      </c>
      <c r="C1030" s="5" t="s">
        <v>99</v>
      </c>
      <c r="D1030" s="5" t="s">
        <v>114</v>
      </c>
      <c r="E1030" s="5" t="s">
        <v>230</v>
      </c>
    </row>
    <row r="1031" customFormat="false" ht="15" hidden="false" customHeight="true" outlineLevel="0" collapsed="false">
      <c r="A1031" s="5" t="n">
        <v>4073200</v>
      </c>
      <c r="B1031" s="5" t="s">
        <v>1122</v>
      </c>
      <c r="C1031" s="5" t="s">
        <v>99</v>
      </c>
      <c r="D1031" s="5" t="s">
        <v>114</v>
      </c>
      <c r="E1031" s="5" t="s">
        <v>230</v>
      </c>
    </row>
    <row r="1032" customFormat="false" ht="15" hidden="false" customHeight="true" outlineLevel="0" collapsed="false">
      <c r="A1032" s="5" t="n">
        <v>4074600</v>
      </c>
      <c r="B1032" s="5" t="s">
        <v>1123</v>
      </c>
      <c r="C1032" s="5" t="s">
        <v>99</v>
      </c>
      <c r="D1032" s="5" t="s">
        <v>114</v>
      </c>
      <c r="E1032" s="5" t="s">
        <v>230</v>
      </c>
    </row>
    <row r="1033" customFormat="false" ht="15" hidden="false" customHeight="true" outlineLevel="0" collapsed="false">
      <c r="A1033" s="5" t="n">
        <v>4074700</v>
      </c>
      <c r="B1033" s="5" t="s">
        <v>1124</v>
      </c>
      <c r="C1033" s="5" t="s">
        <v>142</v>
      </c>
      <c r="D1033" s="5" t="s">
        <v>143</v>
      </c>
      <c r="E1033" s="5" t="s">
        <v>167</v>
      </c>
    </row>
    <row r="1034" customFormat="false" ht="15" hidden="false" customHeight="true" outlineLevel="0" collapsed="false">
      <c r="A1034" s="5" t="n">
        <v>4079500</v>
      </c>
      <c r="B1034" s="5" t="s">
        <v>1125</v>
      </c>
      <c r="C1034" s="5" t="s">
        <v>142</v>
      </c>
      <c r="D1034" s="5" t="s">
        <v>143</v>
      </c>
      <c r="E1034" s="5" t="s">
        <v>212</v>
      </c>
    </row>
    <row r="1035" customFormat="false" ht="15" hidden="false" customHeight="true" outlineLevel="0" collapsed="false">
      <c r="A1035" s="5" t="n">
        <v>4079600</v>
      </c>
      <c r="B1035" s="5" t="s">
        <v>1126</v>
      </c>
      <c r="C1035" s="5" t="s">
        <v>142</v>
      </c>
      <c r="D1035" s="5" t="s">
        <v>143</v>
      </c>
      <c r="E1035" s="5" t="s">
        <v>194</v>
      </c>
    </row>
    <row r="1036" customFormat="false" ht="15" hidden="false" customHeight="true" outlineLevel="0" collapsed="false">
      <c r="A1036" s="5" t="n">
        <v>4079700</v>
      </c>
      <c r="B1036" s="5" t="s">
        <v>983</v>
      </c>
      <c r="C1036" s="5" t="s">
        <v>142</v>
      </c>
      <c r="D1036" s="5" t="s">
        <v>143</v>
      </c>
      <c r="E1036" s="5" t="s">
        <v>294</v>
      </c>
    </row>
    <row r="1037" customFormat="false" ht="15" hidden="false" customHeight="true" outlineLevel="0" collapsed="false">
      <c r="A1037" s="5" t="n">
        <v>4079800</v>
      </c>
      <c r="B1037" s="5" t="s">
        <v>1127</v>
      </c>
      <c r="C1037" s="5" t="s">
        <v>142</v>
      </c>
      <c r="D1037" s="5" t="s">
        <v>143</v>
      </c>
      <c r="E1037" s="5" t="s">
        <v>167</v>
      </c>
    </row>
    <row r="1038" customFormat="false" ht="15" hidden="false" customHeight="true" outlineLevel="0" collapsed="false">
      <c r="A1038" s="5" t="n">
        <v>4096200</v>
      </c>
      <c r="B1038" s="5" t="s">
        <v>1128</v>
      </c>
      <c r="C1038" s="5" t="s">
        <v>99</v>
      </c>
      <c r="D1038" s="5" t="s">
        <v>114</v>
      </c>
      <c r="E1038" s="5" t="s">
        <v>194</v>
      </c>
    </row>
    <row r="1039" customFormat="false" ht="15" hidden="false" customHeight="true" outlineLevel="0" collapsed="false">
      <c r="A1039" s="5" t="n">
        <v>4096300</v>
      </c>
      <c r="B1039" s="5" t="s">
        <v>1129</v>
      </c>
      <c r="C1039" s="5" t="s">
        <v>99</v>
      </c>
      <c r="D1039" s="5" t="s">
        <v>114</v>
      </c>
      <c r="E1039" s="5" t="s">
        <v>194</v>
      </c>
    </row>
    <row r="1040" customFormat="false" ht="15" hidden="false" customHeight="true" outlineLevel="0" collapsed="false">
      <c r="A1040" s="5" t="n">
        <v>4096400</v>
      </c>
      <c r="B1040" s="5" t="s">
        <v>1130</v>
      </c>
      <c r="C1040" s="5" t="s">
        <v>99</v>
      </c>
      <c r="D1040" s="5" t="s">
        <v>114</v>
      </c>
      <c r="E1040" s="5" t="s">
        <v>194</v>
      </c>
    </row>
    <row r="1041" customFormat="false" ht="15" hidden="false" customHeight="true" outlineLevel="0" collapsed="false">
      <c r="A1041" s="5" t="n">
        <v>4096500</v>
      </c>
      <c r="B1041" s="5" t="s">
        <v>1131</v>
      </c>
      <c r="C1041" s="5" t="s">
        <v>99</v>
      </c>
      <c r="D1041" s="5" t="s">
        <v>114</v>
      </c>
      <c r="E1041" s="5" t="s">
        <v>194</v>
      </c>
    </row>
    <row r="1042" customFormat="false" ht="15" hidden="false" customHeight="true" outlineLevel="0" collapsed="false">
      <c r="A1042" s="5" t="n">
        <v>4096800</v>
      </c>
      <c r="B1042" s="5" t="s">
        <v>1132</v>
      </c>
      <c r="C1042" s="5" t="s">
        <v>99</v>
      </c>
      <c r="D1042" s="5" t="s">
        <v>114</v>
      </c>
      <c r="E1042" s="5" t="s">
        <v>117</v>
      </c>
    </row>
    <row r="1043" customFormat="false" ht="15" hidden="false" customHeight="true" outlineLevel="0" collapsed="false">
      <c r="A1043" s="5" t="n">
        <v>4096900</v>
      </c>
      <c r="B1043" s="5" t="s">
        <v>1133</v>
      </c>
      <c r="C1043" s="5" t="s">
        <v>142</v>
      </c>
      <c r="D1043" s="5" t="s">
        <v>143</v>
      </c>
      <c r="E1043" s="5" t="s">
        <v>117</v>
      </c>
    </row>
    <row r="1044" customFormat="false" ht="15" hidden="false" customHeight="true" outlineLevel="0" collapsed="false">
      <c r="A1044" s="5" t="n">
        <v>4097000</v>
      </c>
      <c r="B1044" s="5" t="s">
        <v>1134</v>
      </c>
      <c r="C1044" s="5" t="s">
        <v>142</v>
      </c>
      <c r="D1044" s="5" t="s">
        <v>143</v>
      </c>
      <c r="E1044" s="5" t="s">
        <v>117</v>
      </c>
    </row>
    <row r="1045" customFormat="false" ht="15" hidden="false" customHeight="true" outlineLevel="0" collapsed="false">
      <c r="A1045" s="5" t="n">
        <v>4098000</v>
      </c>
      <c r="B1045" s="5" t="s">
        <v>1135</v>
      </c>
      <c r="C1045" s="5" t="s">
        <v>99</v>
      </c>
      <c r="D1045" s="5" t="s">
        <v>114</v>
      </c>
      <c r="E1045" s="5" t="s">
        <v>117</v>
      </c>
    </row>
    <row r="1046" customFormat="false" ht="15" hidden="false" customHeight="true" outlineLevel="0" collapsed="false">
      <c r="A1046" s="5" t="n">
        <v>4098100</v>
      </c>
      <c r="B1046" s="5" t="s">
        <v>1136</v>
      </c>
      <c r="C1046" s="5" t="s">
        <v>142</v>
      </c>
      <c r="D1046" s="5" t="s">
        <v>143</v>
      </c>
      <c r="E1046" s="5" t="s">
        <v>117</v>
      </c>
    </row>
    <row r="1047" customFormat="false" ht="15" hidden="false" customHeight="true" outlineLevel="0" collapsed="false">
      <c r="A1047" s="5" t="n">
        <v>4108200</v>
      </c>
      <c r="B1047" s="5" t="s">
        <v>1137</v>
      </c>
      <c r="C1047" s="5" t="s">
        <v>99</v>
      </c>
      <c r="D1047" s="5" t="s">
        <v>114</v>
      </c>
      <c r="E1047" s="5" t="s">
        <v>128</v>
      </c>
    </row>
    <row r="1048" customFormat="false" ht="15" hidden="false" customHeight="true" outlineLevel="0" collapsed="false">
      <c r="A1048" s="5" t="n">
        <v>4108300</v>
      </c>
      <c r="B1048" s="5" t="s">
        <v>1138</v>
      </c>
      <c r="C1048" s="5" t="s">
        <v>99</v>
      </c>
      <c r="D1048" s="5" t="s">
        <v>114</v>
      </c>
      <c r="E1048" s="5" t="s">
        <v>230</v>
      </c>
    </row>
    <row r="1049" customFormat="false" ht="15" hidden="false" customHeight="true" outlineLevel="0" collapsed="false">
      <c r="A1049" s="5" t="n">
        <v>4108800</v>
      </c>
      <c r="B1049" s="5" t="s">
        <v>1139</v>
      </c>
      <c r="C1049" s="5" t="s">
        <v>99</v>
      </c>
      <c r="D1049" s="5" t="s">
        <v>124</v>
      </c>
      <c r="E1049" s="5" t="s">
        <v>198</v>
      </c>
    </row>
    <row r="1050" customFormat="false" ht="15" hidden="false" customHeight="true" outlineLevel="0" collapsed="false">
      <c r="A1050" s="5" t="n">
        <v>4108900</v>
      </c>
      <c r="B1050" s="5" t="s">
        <v>1140</v>
      </c>
      <c r="C1050" s="5" t="s">
        <v>99</v>
      </c>
      <c r="D1050" s="5" t="s">
        <v>124</v>
      </c>
      <c r="E1050" s="5" t="s">
        <v>198</v>
      </c>
    </row>
    <row r="1051" customFormat="false" ht="15" hidden="false" customHeight="true" outlineLevel="0" collapsed="false">
      <c r="A1051" s="5" t="n">
        <v>4109100</v>
      </c>
      <c r="B1051" s="5" t="s">
        <v>1141</v>
      </c>
      <c r="C1051" s="5" t="s">
        <v>99</v>
      </c>
      <c r="D1051" s="5" t="s">
        <v>124</v>
      </c>
      <c r="E1051" s="5" t="s">
        <v>198</v>
      </c>
    </row>
    <row r="1052" customFormat="false" ht="15" hidden="false" customHeight="true" outlineLevel="0" collapsed="false">
      <c r="A1052" s="5" t="n">
        <v>4109200</v>
      </c>
      <c r="B1052" s="5" t="s">
        <v>1142</v>
      </c>
      <c r="C1052" s="5" t="s">
        <v>99</v>
      </c>
      <c r="D1052" s="5" t="s">
        <v>124</v>
      </c>
      <c r="E1052" s="5" t="s">
        <v>198</v>
      </c>
    </row>
    <row r="1053" customFormat="false" ht="15" hidden="false" customHeight="true" outlineLevel="0" collapsed="false">
      <c r="A1053" s="5" t="n">
        <v>4121200</v>
      </c>
      <c r="B1053" s="5" t="s">
        <v>1143</v>
      </c>
      <c r="C1053" s="5" t="s">
        <v>99</v>
      </c>
      <c r="D1053" s="5" t="s">
        <v>114</v>
      </c>
      <c r="E1053" s="5" t="s">
        <v>230</v>
      </c>
    </row>
    <row r="1054" customFormat="false" ht="15" hidden="false" customHeight="true" outlineLevel="0" collapsed="false">
      <c r="A1054" s="5" t="n">
        <v>4122100</v>
      </c>
      <c r="B1054" s="5" t="s">
        <v>1144</v>
      </c>
      <c r="C1054" s="5" t="s">
        <v>142</v>
      </c>
      <c r="D1054" s="5" t="s">
        <v>143</v>
      </c>
      <c r="E1054" s="5" t="s">
        <v>294</v>
      </c>
    </row>
    <row r="1055" customFormat="false" ht="15" hidden="false" customHeight="true" outlineLevel="0" collapsed="false">
      <c r="A1055" s="5" t="n">
        <v>4122200</v>
      </c>
      <c r="B1055" s="5" t="s">
        <v>1145</v>
      </c>
      <c r="C1055" s="5" t="s">
        <v>142</v>
      </c>
      <c r="D1055" s="5" t="s">
        <v>143</v>
      </c>
      <c r="E1055" s="5" t="s">
        <v>294</v>
      </c>
    </row>
    <row r="1056" customFormat="false" ht="15" hidden="false" customHeight="true" outlineLevel="0" collapsed="false">
      <c r="A1056" s="5" t="n">
        <v>4122300</v>
      </c>
      <c r="B1056" s="5" t="s">
        <v>1146</v>
      </c>
      <c r="C1056" s="5" t="s">
        <v>142</v>
      </c>
      <c r="D1056" s="5" t="s">
        <v>143</v>
      </c>
      <c r="E1056" s="5" t="s">
        <v>294</v>
      </c>
    </row>
    <row r="1057" customFormat="false" ht="15" hidden="false" customHeight="true" outlineLevel="0" collapsed="false">
      <c r="A1057" s="5" t="n">
        <v>4122400</v>
      </c>
      <c r="B1057" s="5" t="s">
        <v>1147</v>
      </c>
      <c r="C1057" s="5" t="s">
        <v>142</v>
      </c>
      <c r="D1057" s="5" t="s">
        <v>143</v>
      </c>
      <c r="E1057" s="5" t="s">
        <v>294</v>
      </c>
    </row>
    <row r="1058" customFormat="false" ht="15" hidden="false" customHeight="true" outlineLevel="0" collapsed="false">
      <c r="A1058" s="5" t="n">
        <v>4122500</v>
      </c>
      <c r="B1058" s="5" t="s">
        <v>1148</v>
      </c>
      <c r="C1058" s="5" t="s">
        <v>142</v>
      </c>
      <c r="D1058" s="5" t="s">
        <v>143</v>
      </c>
      <c r="E1058" s="5" t="s">
        <v>294</v>
      </c>
    </row>
    <row r="1059" customFormat="false" ht="15" hidden="false" customHeight="true" outlineLevel="0" collapsed="false">
      <c r="A1059" s="5" t="n">
        <v>4122600</v>
      </c>
      <c r="B1059" s="5" t="s">
        <v>1149</v>
      </c>
      <c r="C1059" s="5" t="s">
        <v>142</v>
      </c>
      <c r="D1059" s="5" t="s">
        <v>143</v>
      </c>
      <c r="E1059" s="5" t="s">
        <v>264</v>
      </c>
    </row>
    <row r="1060" customFormat="false" ht="15" hidden="false" customHeight="true" outlineLevel="0" collapsed="false">
      <c r="A1060" s="5" t="n">
        <v>4122700</v>
      </c>
      <c r="B1060" s="5" t="s">
        <v>1150</v>
      </c>
      <c r="C1060" s="5" t="s">
        <v>142</v>
      </c>
      <c r="D1060" s="5" t="s">
        <v>143</v>
      </c>
      <c r="E1060" s="5" t="s">
        <v>264</v>
      </c>
    </row>
    <row r="1061" customFormat="false" ht="15" hidden="false" customHeight="true" outlineLevel="0" collapsed="false">
      <c r="A1061" s="5" t="n">
        <v>4122800</v>
      </c>
      <c r="B1061" s="5" t="s">
        <v>1151</v>
      </c>
      <c r="C1061" s="5" t="s">
        <v>142</v>
      </c>
      <c r="D1061" s="5" t="s">
        <v>143</v>
      </c>
      <c r="E1061" s="5" t="s">
        <v>294</v>
      </c>
    </row>
    <row r="1062" customFormat="false" ht="15" hidden="false" customHeight="true" outlineLevel="0" collapsed="false">
      <c r="A1062" s="5" t="n">
        <v>4122900</v>
      </c>
      <c r="B1062" s="5" t="s">
        <v>1152</v>
      </c>
      <c r="C1062" s="5" t="s">
        <v>142</v>
      </c>
      <c r="D1062" s="5" t="s">
        <v>143</v>
      </c>
      <c r="E1062" s="5" t="s">
        <v>294</v>
      </c>
    </row>
    <row r="1063" customFormat="false" ht="15" hidden="false" customHeight="true" outlineLevel="0" collapsed="false">
      <c r="A1063" s="5" t="n">
        <v>4123000</v>
      </c>
      <c r="B1063" s="5" t="s">
        <v>1153</v>
      </c>
      <c r="C1063" s="5" t="s">
        <v>142</v>
      </c>
      <c r="D1063" s="5" t="s">
        <v>143</v>
      </c>
      <c r="E1063" s="5" t="s">
        <v>294</v>
      </c>
    </row>
    <row r="1064" customFormat="false" ht="15" hidden="false" customHeight="true" outlineLevel="0" collapsed="false">
      <c r="A1064" s="5" t="n">
        <v>4123200</v>
      </c>
      <c r="B1064" s="5" t="s">
        <v>1154</v>
      </c>
      <c r="C1064" s="5" t="s">
        <v>142</v>
      </c>
      <c r="D1064" s="5" t="s">
        <v>143</v>
      </c>
      <c r="E1064" s="5" t="s">
        <v>264</v>
      </c>
    </row>
    <row r="1065" customFormat="false" ht="15" hidden="false" customHeight="true" outlineLevel="0" collapsed="false">
      <c r="A1065" s="5" t="n">
        <v>4123300</v>
      </c>
      <c r="B1065" s="5" t="s">
        <v>1155</v>
      </c>
      <c r="C1065" s="5" t="s">
        <v>142</v>
      </c>
      <c r="D1065" s="5" t="s">
        <v>143</v>
      </c>
      <c r="E1065" s="5" t="s">
        <v>264</v>
      </c>
    </row>
    <row r="1066" customFormat="false" ht="15" hidden="false" customHeight="true" outlineLevel="0" collapsed="false">
      <c r="A1066" s="5" t="n">
        <v>4123400</v>
      </c>
      <c r="B1066" s="5" t="s">
        <v>1156</v>
      </c>
      <c r="C1066" s="5" t="s">
        <v>142</v>
      </c>
      <c r="D1066" s="5" t="s">
        <v>143</v>
      </c>
      <c r="E1066" s="5" t="s">
        <v>264</v>
      </c>
    </row>
    <row r="1067" customFormat="false" ht="15" hidden="false" customHeight="true" outlineLevel="0" collapsed="false">
      <c r="A1067" s="5" t="n">
        <v>4123500</v>
      </c>
      <c r="B1067" s="5" t="s">
        <v>1157</v>
      </c>
      <c r="C1067" s="5" t="s">
        <v>142</v>
      </c>
      <c r="D1067" s="5" t="s">
        <v>143</v>
      </c>
      <c r="E1067" s="5" t="s">
        <v>264</v>
      </c>
    </row>
    <row r="1068" customFormat="false" ht="15" hidden="false" customHeight="true" outlineLevel="0" collapsed="false">
      <c r="A1068" s="5" t="n">
        <v>4123600</v>
      </c>
      <c r="B1068" s="5" t="s">
        <v>1158</v>
      </c>
      <c r="C1068" s="5" t="s">
        <v>142</v>
      </c>
      <c r="D1068" s="5" t="s">
        <v>143</v>
      </c>
      <c r="E1068" s="5" t="s">
        <v>264</v>
      </c>
    </row>
    <row r="1069" customFormat="false" ht="15" hidden="false" customHeight="true" outlineLevel="0" collapsed="false">
      <c r="A1069" s="5" t="n">
        <v>4123800</v>
      </c>
      <c r="B1069" s="5" t="s">
        <v>1159</v>
      </c>
      <c r="C1069" s="5" t="s">
        <v>142</v>
      </c>
      <c r="D1069" s="5" t="s">
        <v>143</v>
      </c>
      <c r="E1069" s="5" t="s">
        <v>294</v>
      </c>
    </row>
    <row r="1070" customFormat="false" ht="15" hidden="false" customHeight="true" outlineLevel="0" collapsed="false">
      <c r="A1070" s="5" t="n">
        <v>4124000</v>
      </c>
      <c r="B1070" s="5" t="s">
        <v>1160</v>
      </c>
      <c r="C1070" s="5" t="s">
        <v>142</v>
      </c>
      <c r="D1070" s="5" t="s">
        <v>143</v>
      </c>
      <c r="E1070" s="5" t="s">
        <v>294</v>
      </c>
    </row>
    <row r="1071" customFormat="false" ht="15" hidden="false" customHeight="true" outlineLevel="0" collapsed="false">
      <c r="A1071" s="5" t="n">
        <v>4124100</v>
      </c>
      <c r="B1071" s="5" t="s">
        <v>1161</v>
      </c>
      <c r="C1071" s="5" t="s">
        <v>142</v>
      </c>
      <c r="D1071" s="5" t="s">
        <v>143</v>
      </c>
      <c r="E1071" s="5" t="s">
        <v>294</v>
      </c>
    </row>
    <row r="1072" customFormat="false" ht="15" hidden="false" customHeight="true" outlineLevel="0" collapsed="false">
      <c r="A1072" s="5" t="n">
        <v>4124200</v>
      </c>
      <c r="B1072" s="5" t="s">
        <v>1162</v>
      </c>
      <c r="C1072" s="5" t="s">
        <v>142</v>
      </c>
      <c r="D1072" s="5" t="s">
        <v>143</v>
      </c>
      <c r="E1072" s="5" t="s">
        <v>294</v>
      </c>
    </row>
    <row r="1073" customFormat="false" ht="15" hidden="false" customHeight="true" outlineLevel="0" collapsed="false">
      <c r="A1073" s="5" t="n">
        <v>4124300</v>
      </c>
      <c r="B1073" s="5" t="s">
        <v>1163</v>
      </c>
      <c r="C1073" s="5" t="s">
        <v>142</v>
      </c>
      <c r="D1073" s="5" t="s">
        <v>143</v>
      </c>
      <c r="E1073" s="5" t="s">
        <v>294</v>
      </c>
    </row>
    <row r="1074" customFormat="false" ht="15" hidden="false" customHeight="true" outlineLevel="0" collapsed="false">
      <c r="A1074" s="5" t="n">
        <v>4124400</v>
      </c>
      <c r="B1074" s="5" t="s">
        <v>1164</v>
      </c>
      <c r="C1074" s="5" t="s">
        <v>142</v>
      </c>
      <c r="D1074" s="5" t="s">
        <v>143</v>
      </c>
      <c r="E1074" s="5" t="s">
        <v>294</v>
      </c>
    </row>
    <row r="1075" customFormat="false" ht="15" hidden="false" customHeight="true" outlineLevel="0" collapsed="false">
      <c r="A1075" s="5" t="n">
        <v>4124500</v>
      </c>
      <c r="B1075" s="5" t="s">
        <v>1165</v>
      </c>
      <c r="C1075" s="5" t="s">
        <v>142</v>
      </c>
      <c r="D1075" s="5" t="s">
        <v>143</v>
      </c>
      <c r="E1075" s="5" t="s">
        <v>294</v>
      </c>
    </row>
    <row r="1076" customFormat="false" ht="15" hidden="false" customHeight="true" outlineLevel="0" collapsed="false">
      <c r="A1076" s="5" t="n">
        <v>4124600</v>
      </c>
      <c r="B1076" s="5" t="s">
        <v>1166</v>
      </c>
      <c r="C1076" s="5" t="s">
        <v>142</v>
      </c>
      <c r="D1076" s="5" t="s">
        <v>143</v>
      </c>
      <c r="E1076" s="5" t="s">
        <v>294</v>
      </c>
    </row>
    <row r="1077" customFormat="false" ht="15" hidden="false" customHeight="true" outlineLevel="0" collapsed="false">
      <c r="A1077" s="5" t="n">
        <v>4129500</v>
      </c>
      <c r="B1077" s="5" t="s">
        <v>1167</v>
      </c>
      <c r="C1077" s="5" t="s">
        <v>142</v>
      </c>
      <c r="D1077" s="5" t="s">
        <v>143</v>
      </c>
      <c r="E1077" s="5" t="s">
        <v>172</v>
      </c>
    </row>
    <row r="1078" customFormat="false" ht="15" hidden="false" customHeight="true" outlineLevel="0" collapsed="false">
      <c r="A1078" s="5" t="n">
        <v>4129600</v>
      </c>
      <c r="B1078" s="5" t="s">
        <v>1168</v>
      </c>
      <c r="C1078" s="5" t="s">
        <v>142</v>
      </c>
      <c r="D1078" s="5" t="s">
        <v>143</v>
      </c>
      <c r="E1078" s="5" t="s">
        <v>172</v>
      </c>
    </row>
    <row r="1079" customFormat="false" ht="15" hidden="false" customHeight="true" outlineLevel="0" collapsed="false">
      <c r="A1079" s="5" t="n">
        <v>4130500</v>
      </c>
      <c r="B1079" s="5" t="s">
        <v>1169</v>
      </c>
      <c r="C1079" s="5" t="s">
        <v>99</v>
      </c>
      <c r="D1079" s="5" t="s">
        <v>114</v>
      </c>
      <c r="E1079" s="5" t="s">
        <v>128</v>
      </c>
    </row>
    <row r="1080" customFormat="false" ht="15" hidden="false" customHeight="true" outlineLevel="0" collapsed="false">
      <c r="A1080" s="5" t="n">
        <v>4148600</v>
      </c>
      <c r="B1080" s="5" t="s">
        <v>1170</v>
      </c>
      <c r="C1080" s="5" t="s">
        <v>99</v>
      </c>
      <c r="D1080" s="5" t="s">
        <v>114</v>
      </c>
      <c r="E1080" s="5" t="s">
        <v>117</v>
      </c>
    </row>
    <row r="1081" customFormat="false" ht="15" hidden="false" customHeight="true" outlineLevel="0" collapsed="false">
      <c r="A1081" s="5" t="n">
        <v>4148700</v>
      </c>
      <c r="B1081" s="5" t="s">
        <v>1171</v>
      </c>
      <c r="C1081" s="5" t="s">
        <v>99</v>
      </c>
      <c r="D1081" s="5" t="s">
        <v>114</v>
      </c>
      <c r="E1081" s="5" t="s">
        <v>117</v>
      </c>
    </row>
    <row r="1082" customFormat="false" ht="15" hidden="false" customHeight="true" outlineLevel="0" collapsed="false">
      <c r="A1082" s="5" t="n">
        <v>4150900</v>
      </c>
      <c r="B1082" s="5" t="s">
        <v>1172</v>
      </c>
      <c r="C1082" s="5" t="s">
        <v>142</v>
      </c>
      <c r="D1082" s="5" t="s">
        <v>143</v>
      </c>
      <c r="E1082" s="5" t="s">
        <v>264</v>
      </c>
    </row>
    <row r="1083" customFormat="false" ht="15" hidden="false" customHeight="true" outlineLevel="0" collapsed="false">
      <c r="A1083" s="5" t="n">
        <v>4154600</v>
      </c>
      <c r="B1083" s="5" t="s">
        <v>1173</v>
      </c>
      <c r="C1083" s="5" t="s">
        <v>99</v>
      </c>
      <c r="D1083" s="5" t="s">
        <v>114</v>
      </c>
      <c r="E1083" s="5" t="s">
        <v>117</v>
      </c>
    </row>
    <row r="1084" customFormat="false" ht="15" hidden="false" customHeight="true" outlineLevel="0" collapsed="false">
      <c r="A1084" s="5" t="n">
        <v>4154700</v>
      </c>
      <c r="B1084" s="5" t="s">
        <v>1174</v>
      </c>
      <c r="C1084" s="5" t="s">
        <v>99</v>
      </c>
      <c r="D1084" s="5" t="s">
        <v>114</v>
      </c>
      <c r="E1084" s="5" t="s">
        <v>117</v>
      </c>
    </row>
    <row r="1085" customFormat="false" ht="15" hidden="false" customHeight="true" outlineLevel="0" collapsed="false">
      <c r="A1085" s="5" t="n">
        <v>4154800</v>
      </c>
      <c r="B1085" s="5" t="s">
        <v>1175</v>
      </c>
      <c r="C1085" s="5" t="s">
        <v>99</v>
      </c>
      <c r="D1085" s="5" t="s">
        <v>124</v>
      </c>
      <c r="E1085" s="5" t="s">
        <v>198</v>
      </c>
    </row>
    <row r="1086" customFormat="false" ht="15" hidden="false" customHeight="true" outlineLevel="0" collapsed="false">
      <c r="A1086" s="5" t="n">
        <v>4154900</v>
      </c>
      <c r="B1086" s="5" t="s">
        <v>1176</v>
      </c>
      <c r="C1086" s="5" t="s">
        <v>99</v>
      </c>
      <c r="D1086" s="5" t="s">
        <v>124</v>
      </c>
      <c r="E1086" s="5" t="s">
        <v>198</v>
      </c>
    </row>
    <row r="1087" customFormat="false" ht="15" hidden="false" customHeight="true" outlineLevel="0" collapsed="false">
      <c r="A1087" s="5" t="n">
        <v>4159100</v>
      </c>
      <c r="B1087" s="5" t="s">
        <v>1177</v>
      </c>
      <c r="C1087" s="5" t="s">
        <v>142</v>
      </c>
      <c r="D1087" s="5" t="s">
        <v>143</v>
      </c>
      <c r="E1087" s="5" t="s">
        <v>194</v>
      </c>
    </row>
    <row r="1088" customFormat="false" ht="15" hidden="false" customHeight="true" outlineLevel="0" collapsed="false">
      <c r="A1088" s="5" t="n">
        <v>4159200</v>
      </c>
      <c r="B1088" s="5" t="s">
        <v>1178</v>
      </c>
      <c r="C1088" s="5" t="s">
        <v>142</v>
      </c>
      <c r="D1088" s="5" t="s">
        <v>143</v>
      </c>
      <c r="E1088" s="5" t="s">
        <v>194</v>
      </c>
    </row>
    <row r="1089" customFormat="false" ht="15" hidden="false" customHeight="true" outlineLevel="0" collapsed="false">
      <c r="A1089" s="5" t="n">
        <v>4172600</v>
      </c>
      <c r="B1089" s="5" t="s">
        <v>1179</v>
      </c>
      <c r="C1089" s="5" t="s">
        <v>99</v>
      </c>
      <c r="D1089" s="5" t="s">
        <v>114</v>
      </c>
      <c r="E1089" s="5" t="s">
        <v>117</v>
      </c>
    </row>
    <row r="1090" customFormat="false" ht="15" hidden="false" customHeight="true" outlineLevel="0" collapsed="false">
      <c r="A1090" s="5" t="n">
        <v>4172800</v>
      </c>
      <c r="B1090" s="5" t="s">
        <v>1180</v>
      </c>
      <c r="C1090" s="5" t="s">
        <v>142</v>
      </c>
      <c r="D1090" s="5" t="s">
        <v>143</v>
      </c>
      <c r="E1090" s="5" t="s">
        <v>117</v>
      </c>
    </row>
    <row r="1091" customFormat="false" ht="15" hidden="false" customHeight="true" outlineLevel="0" collapsed="false">
      <c r="A1091" s="5" t="n">
        <v>4172900</v>
      </c>
      <c r="B1091" s="5" t="s">
        <v>1181</v>
      </c>
      <c r="C1091" s="5" t="s">
        <v>142</v>
      </c>
      <c r="D1091" s="5" t="s">
        <v>143</v>
      </c>
      <c r="E1091" s="5" t="s">
        <v>117</v>
      </c>
    </row>
    <row r="1092" customFormat="false" ht="15" hidden="false" customHeight="true" outlineLevel="0" collapsed="false">
      <c r="A1092" s="5" t="n">
        <v>4173100</v>
      </c>
      <c r="B1092" s="5" t="s">
        <v>1182</v>
      </c>
      <c r="C1092" s="5" t="s">
        <v>99</v>
      </c>
      <c r="D1092" s="5" t="s">
        <v>114</v>
      </c>
      <c r="E1092" s="5" t="s">
        <v>117</v>
      </c>
    </row>
    <row r="1093" customFormat="false" ht="15" hidden="false" customHeight="true" outlineLevel="0" collapsed="false">
      <c r="A1093" s="5" t="n">
        <v>4173200</v>
      </c>
      <c r="B1093" s="5" t="s">
        <v>1183</v>
      </c>
      <c r="C1093" s="5" t="s">
        <v>142</v>
      </c>
      <c r="D1093" s="5" t="s">
        <v>143</v>
      </c>
      <c r="E1093" s="5" t="s">
        <v>212</v>
      </c>
    </row>
    <row r="1094" customFormat="false" ht="15" hidden="false" customHeight="true" outlineLevel="0" collapsed="false">
      <c r="A1094" s="5" t="n">
        <v>4173300</v>
      </c>
      <c r="B1094" s="5" t="s">
        <v>1184</v>
      </c>
      <c r="C1094" s="5" t="s">
        <v>142</v>
      </c>
      <c r="D1094" s="5" t="s">
        <v>143</v>
      </c>
      <c r="E1094" s="5" t="s">
        <v>212</v>
      </c>
    </row>
    <row r="1095" customFormat="false" ht="15" hidden="false" customHeight="true" outlineLevel="0" collapsed="false">
      <c r="A1095" s="5" t="n">
        <v>4173400</v>
      </c>
      <c r="B1095" s="5" t="s">
        <v>1185</v>
      </c>
      <c r="C1095" s="5" t="s">
        <v>99</v>
      </c>
      <c r="D1095" s="5" t="s">
        <v>124</v>
      </c>
      <c r="E1095" s="5" t="s">
        <v>198</v>
      </c>
    </row>
    <row r="1096" customFormat="false" ht="15" hidden="false" customHeight="true" outlineLevel="0" collapsed="false">
      <c r="A1096" s="5" t="n">
        <v>4173500</v>
      </c>
      <c r="B1096" s="5" t="s">
        <v>1186</v>
      </c>
      <c r="C1096" s="5" t="s">
        <v>99</v>
      </c>
      <c r="D1096" s="5" t="s">
        <v>124</v>
      </c>
      <c r="E1096" s="5" t="s">
        <v>125</v>
      </c>
    </row>
    <row r="1097" customFormat="false" ht="15" hidden="false" customHeight="true" outlineLevel="0" collapsed="false">
      <c r="A1097" s="5" t="n">
        <v>4173600</v>
      </c>
      <c r="B1097" s="5" t="s">
        <v>1187</v>
      </c>
      <c r="C1097" s="5" t="s">
        <v>99</v>
      </c>
      <c r="D1097" s="5" t="s">
        <v>124</v>
      </c>
      <c r="E1097" s="5" t="s">
        <v>198</v>
      </c>
    </row>
    <row r="1098" customFormat="false" ht="15" hidden="false" customHeight="true" outlineLevel="0" collapsed="false">
      <c r="A1098" s="5" t="n">
        <v>4178900</v>
      </c>
      <c r="B1098" s="5" t="s">
        <v>1188</v>
      </c>
      <c r="C1098" s="5" t="s">
        <v>142</v>
      </c>
      <c r="D1098" s="5" t="s">
        <v>143</v>
      </c>
      <c r="E1098" s="5" t="s">
        <v>194</v>
      </c>
    </row>
    <row r="1099" customFormat="false" ht="15" hidden="false" customHeight="true" outlineLevel="0" collapsed="false">
      <c r="A1099" s="5" t="n">
        <v>4179100</v>
      </c>
      <c r="B1099" s="5" t="s">
        <v>1189</v>
      </c>
      <c r="C1099" s="5" t="s">
        <v>142</v>
      </c>
      <c r="D1099" s="5" t="s">
        <v>143</v>
      </c>
      <c r="E1099" s="5" t="s">
        <v>167</v>
      </c>
    </row>
    <row r="1100" customFormat="false" ht="15" hidden="false" customHeight="true" outlineLevel="0" collapsed="false">
      <c r="A1100" s="5" t="n">
        <v>4179200</v>
      </c>
      <c r="B1100" s="5" t="s">
        <v>1190</v>
      </c>
      <c r="C1100" s="5" t="s">
        <v>142</v>
      </c>
      <c r="D1100" s="5" t="s">
        <v>143</v>
      </c>
      <c r="E1100" s="5" t="s">
        <v>167</v>
      </c>
    </row>
    <row r="1101" customFormat="false" ht="15" hidden="false" customHeight="true" outlineLevel="0" collapsed="false">
      <c r="A1101" s="5" t="n">
        <v>4182500</v>
      </c>
      <c r="B1101" s="5" t="s">
        <v>1191</v>
      </c>
      <c r="C1101" s="5" t="s">
        <v>99</v>
      </c>
      <c r="D1101" s="5" t="s">
        <v>114</v>
      </c>
      <c r="E1101" s="5" t="s">
        <v>117</v>
      </c>
    </row>
    <row r="1102" customFormat="false" ht="15" hidden="false" customHeight="true" outlineLevel="0" collapsed="false">
      <c r="A1102" s="5" t="n">
        <v>4182600</v>
      </c>
      <c r="B1102" s="5" t="s">
        <v>1192</v>
      </c>
      <c r="C1102" s="5" t="s">
        <v>142</v>
      </c>
      <c r="D1102" s="5" t="s">
        <v>143</v>
      </c>
      <c r="E1102" s="5" t="s">
        <v>264</v>
      </c>
    </row>
    <row r="1103" customFormat="false" ht="15" hidden="false" customHeight="true" outlineLevel="0" collapsed="false">
      <c r="A1103" s="5" t="n">
        <v>4182700</v>
      </c>
      <c r="B1103" s="5" t="s">
        <v>1193</v>
      </c>
      <c r="C1103" s="5" t="s">
        <v>142</v>
      </c>
      <c r="D1103" s="5" t="s">
        <v>143</v>
      </c>
      <c r="E1103" s="5" t="s">
        <v>264</v>
      </c>
    </row>
    <row r="1104" customFormat="false" ht="15" hidden="false" customHeight="true" outlineLevel="0" collapsed="false">
      <c r="A1104" s="5" t="n">
        <v>4182800</v>
      </c>
      <c r="B1104" s="5" t="s">
        <v>1194</v>
      </c>
      <c r="C1104" s="5" t="s">
        <v>142</v>
      </c>
      <c r="D1104" s="5" t="s">
        <v>143</v>
      </c>
      <c r="E1104" s="5" t="s">
        <v>264</v>
      </c>
    </row>
    <row r="1105" customFormat="false" ht="15" hidden="false" customHeight="true" outlineLevel="0" collapsed="false">
      <c r="A1105" s="5" t="n">
        <v>4182900</v>
      </c>
      <c r="B1105" s="5" t="s">
        <v>1195</v>
      </c>
      <c r="C1105" s="5" t="s">
        <v>142</v>
      </c>
      <c r="D1105" s="5" t="s">
        <v>143</v>
      </c>
      <c r="E1105" s="5" t="s">
        <v>264</v>
      </c>
    </row>
    <row r="1106" customFormat="false" ht="15" hidden="false" customHeight="true" outlineLevel="0" collapsed="false">
      <c r="A1106" s="5" t="n">
        <v>4183000</v>
      </c>
      <c r="B1106" s="5" t="s">
        <v>1196</v>
      </c>
      <c r="C1106" s="5" t="s">
        <v>142</v>
      </c>
      <c r="D1106" s="5" t="s">
        <v>143</v>
      </c>
      <c r="E1106" s="5" t="s">
        <v>294</v>
      </c>
    </row>
    <row r="1107" customFormat="false" ht="15" hidden="false" customHeight="true" outlineLevel="0" collapsed="false">
      <c r="A1107" s="5" t="n">
        <v>4183100</v>
      </c>
      <c r="B1107" s="5" t="s">
        <v>1197</v>
      </c>
      <c r="C1107" s="5" t="s">
        <v>142</v>
      </c>
      <c r="D1107" s="5" t="s">
        <v>143</v>
      </c>
      <c r="E1107" s="5" t="s">
        <v>167</v>
      </c>
    </row>
    <row r="1108" customFormat="false" ht="15" hidden="false" customHeight="true" outlineLevel="0" collapsed="false">
      <c r="A1108" s="5" t="n">
        <v>4183200</v>
      </c>
      <c r="B1108" s="5" t="s">
        <v>1198</v>
      </c>
      <c r="C1108" s="5" t="s">
        <v>142</v>
      </c>
      <c r="D1108" s="5" t="s">
        <v>143</v>
      </c>
      <c r="E1108" s="5" t="s">
        <v>167</v>
      </c>
    </row>
    <row r="1109" customFormat="false" ht="15" hidden="false" customHeight="true" outlineLevel="0" collapsed="false">
      <c r="A1109" s="5" t="n">
        <v>4187200</v>
      </c>
      <c r="B1109" s="5" t="s">
        <v>1199</v>
      </c>
      <c r="C1109" s="5" t="s">
        <v>99</v>
      </c>
      <c r="D1109" s="5" t="s">
        <v>114</v>
      </c>
      <c r="E1109" s="5" t="s">
        <v>117</v>
      </c>
    </row>
    <row r="1110" customFormat="false" ht="15" hidden="false" customHeight="true" outlineLevel="0" collapsed="false">
      <c r="A1110" s="5" t="n">
        <v>4187300</v>
      </c>
      <c r="B1110" s="5" t="s">
        <v>1200</v>
      </c>
      <c r="C1110" s="5" t="s">
        <v>142</v>
      </c>
      <c r="D1110" s="5" t="s">
        <v>143</v>
      </c>
      <c r="E1110" s="5" t="s">
        <v>117</v>
      </c>
    </row>
    <row r="1111" customFormat="false" ht="15" hidden="false" customHeight="true" outlineLevel="0" collapsed="false">
      <c r="A1111" s="5" t="n">
        <v>4194500</v>
      </c>
      <c r="B1111" s="5" t="s">
        <v>1201</v>
      </c>
      <c r="C1111" s="5" t="s">
        <v>99</v>
      </c>
      <c r="D1111" s="5" t="s">
        <v>114</v>
      </c>
      <c r="E1111" s="5" t="s">
        <v>133</v>
      </c>
    </row>
    <row r="1112" customFormat="false" ht="15" hidden="false" customHeight="true" outlineLevel="0" collapsed="false">
      <c r="A1112" s="5" t="n">
        <v>4194600</v>
      </c>
      <c r="B1112" s="5" t="s">
        <v>1202</v>
      </c>
      <c r="C1112" s="5" t="s">
        <v>99</v>
      </c>
      <c r="D1112" s="5" t="s">
        <v>114</v>
      </c>
      <c r="E1112" s="5" t="s">
        <v>133</v>
      </c>
    </row>
    <row r="1113" customFormat="false" ht="15" hidden="false" customHeight="true" outlineLevel="0" collapsed="false">
      <c r="A1113" s="5" t="n">
        <v>4194700</v>
      </c>
      <c r="B1113" s="5" t="s">
        <v>1203</v>
      </c>
      <c r="C1113" s="5" t="s">
        <v>99</v>
      </c>
      <c r="D1113" s="5" t="s">
        <v>114</v>
      </c>
      <c r="E1113" s="5" t="s">
        <v>133</v>
      </c>
    </row>
    <row r="1114" customFormat="false" ht="15" hidden="false" customHeight="true" outlineLevel="0" collapsed="false">
      <c r="A1114" s="5" t="n">
        <v>4194800</v>
      </c>
      <c r="B1114" s="5" t="s">
        <v>1204</v>
      </c>
      <c r="C1114" s="5" t="s">
        <v>99</v>
      </c>
      <c r="D1114" s="5" t="s">
        <v>114</v>
      </c>
      <c r="E1114" s="5" t="s">
        <v>133</v>
      </c>
    </row>
    <row r="1115" customFormat="false" ht="15" hidden="false" customHeight="true" outlineLevel="0" collapsed="false">
      <c r="A1115" s="5" t="n">
        <v>4194900</v>
      </c>
      <c r="B1115" s="5" t="s">
        <v>1205</v>
      </c>
      <c r="C1115" s="5" t="s">
        <v>99</v>
      </c>
      <c r="D1115" s="5" t="s">
        <v>114</v>
      </c>
      <c r="E1115" s="5" t="s">
        <v>133</v>
      </c>
    </row>
    <row r="1116" customFormat="false" ht="15" hidden="false" customHeight="true" outlineLevel="0" collapsed="false">
      <c r="A1116" s="5" t="n">
        <v>4195000</v>
      </c>
      <c r="B1116" s="5" t="s">
        <v>1206</v>
      </c>
      <c r="C1116" s="5" t="s">
        <v>99</v>
      </c>
      <c r="D1116" s="5" t="s">
        <v>114</v>
      </c>
      <c r="E1116" s="5" t="s">
        <v>133</v>
      </c>
    </row>
    <row r="1117" customFormat="false" ht="15" hidden="false" customHeight="true" outlineLevel="0" collapsed="false">
      <c r="A1117" s="5" t="n">
        <v>4195100</v>
      </c>
      <c r="B1117" s="5" t="s">
        <v>1207</v>
      </c>
      <c r="C1117" s="5" t="s">
        <v>99</v>
      </c>
      <c r="D1117" s="5" t="s">
        <v>114</v>
      </c>
      <c r="E1117" s="5" t="s">
        <v>133</v>
      </c>
    </row>
    <row r="1118" customFormat="false" ht="15" hidden="false" customHeight="true" outlineLevel="0" collapsed="false">
      <c r="A1118" s="5" t="n">
        <v>4195200</v>
      </c>
      <c r="B1118" s="5" t="s">
        <v>1208</v>
      </c>
      <c r="C1118" s="5" t="s">
        <v>99</v>
      </c>
      <c r="D1118" s="5" t="s">
        <v>114</v>
      </c>
      <c r="E1118" s="5" t="s">
        <v>133</v>
      </c>
    </row>
    <row r="1119" customFormat="false" ht="15" hidden="false" customHeight="true" outlineLevel="0" collapsed="false">
      <c r="A1119" s="5" t="n">
        <v>4195300</v>
      </c>
      <c r="B1119" s="5" t="s">
        <v>1209</v>
      </c>
      <c r="C1119" s="5" t="s">
        <v>99</v>
      </c>
      <c r="D1119" s="5" t="s">
        <v>114</v>
      </c>
      <c r="E1119" s="5" t="s">
        <v>133</v>
      </c>
    </row>
    <row r="1120" customFormat="false" ht="15" hidden="false" customHeight="true" outlineLevel="0" collapsed="false">
      <c r="A1120" s="5" t="n">
        <v>4195400</v>
      </c>
      <c r="B1120" s="5" t="s">
        <v>1210</v>
      </c>
      <c r="C1120" s="5" t="s">
        <v>99</v>
      </c>
      <c r="D1120" s="5" t="s">
        <v>114</v>
      </c>
      <c r="E1120" s="5" t="s">
        <v>133</v>
      </c>
    </row>
    <row r="1121" customFormat="false" ht="15" hidden="false" customHeight="true" outlineLevel="0" collapsed="false">
      <c r="A1121" s="5" t="n">
        <v>4195500</v>
      </c>
      <c r="B1121" s="5" t="s">
        <v>1211</v>
      </c>
      <c r="C1121" s="5" t="s">
        <v>99</v>
      </c>
      <c r="D1121" s="5" t="s">
        <v>114</v>
      </c>
      <c r="E1121" s="5" t="s">
        <v>133</v>
      </c>
    </row>
    <row r="1122" customFormat="false" ht="15" hidden="false" customHeight="true" outlineLevel="0" collapsed="false">
      <c r="A1122" s="5" t="n">
        <v>4195600</v>
      </c>
      <c r="B1122" s="5" t="s">
        <v>1212</v>
      </c>
      <c r="C1122" s="5" t="s">
        <v>99</v>
      </c>
      <c r="D1122" s="5" t="s">
        <v>114</v>
      </c>
      <c r="E1122" s="5" t="s">
        <v>133</v>
      </c>
    </row>
    <row r="1123" customFormat="false" ht="15" hidden="false" customHeight="true" outlineLevel="0" collapsed="false">
      <c r="A1123" s="5" t="n">
        <v>4195700</v>
      </c>
      <c r="B1123" s="5" t="s">
        <v>1213</v>
      </c>
      <c r="C1123" s="5" t="s">
        <v>99</v>
      </c>
      <c r="D1123" s="5" t="s">
        <v>114</v>
      </c>
      <c r="E1123" s="5" t="s">
        <v>133</v>
      </c>
    </row>
    <row r="1124" customFormat="false" ht="15" hidden="false" customHeight="true" outlineLevel="0" collapsed="false">
      <c r="A1124" s="5" t="n">
        <v>4195800</v>
      </c>
      <c r="B1124" s="5" t="s">
        <v>1214</v>
      </c>
      <c r="C1124" s="5" t="s">
        <v>99</v>
      </c>
      <c r="D1124" s="5" t="s">
        <v>114</v>
      </c>
      <c r="E1124" s="5" t="s">
        <v>133</v>
      </c>
    </row>
    <row r="1125" customFormat="false" ht="15" hidden="false" customHeight="true" outlineLevel="0" collapsed="false">
      <c r="A1125" s="5" t="n">
        <v>4195900</v>
      </c>
      <c r="B1125" s="5" t="s">
        <v>1215</v>
      </c>
      <c r="C1125" s="5" t="s">
        <v>99</v>
      </c>
      <c r="D1125" s="5" t="s">
        <v>114</v>
      </c>
      <c r="E1125" s="5" t="s">
        <v>133</v>
      </c>
    </row>
    <row r="1126" customFormat="false" ht="15" hidden="false" customHeight="true" outlineLevel="0" collapsed="false">
      <c r="A1126" s="5" t="n">
        <v>4196000</v>
      </c>
      <c r="B1126" s="5" t="s">
        <v>1216</v>
      </c>
      <c r="C1126" s="5" t="s">
        <v>99</v>
      </c>
      <c r="D1126" s="5" t="s">
        <v>114</v>
      </c>
      <c r="E1126" s="5" t="s">
        <v>133</v>
      </c>
    </row>
    <row r="1127" customFormat="false" ht="15" hidden="false" customHeight="true" outlineLevel="0" collapsed="false">
      <c r="A1127" s="5" t="n">
        <v>4196100</v>
      </c>
      <c r="B1127" s="5" t="s">
        <v>1217</v>
      </c>
      <c r="C1127" s="5" t="s">
        <v>99</v>
      </c>
      <c r="D1127" s="5" t="s">
        <v>114</v>
      </c>
      <c r="E1127" s="5" t="s">
        <v>133</v>
      </c>
    </row>
    <row r="1128" customFormat="false" ht="15" hidden="false" customHeight="true" outlineLevel="0" collapsed="false">
      <c r="A1128" s="5" t="n">
        <v>4205000</v>
      </c>
      <c r="B1128" s="5" t="s">
        <v>1218</v>
      </c>
      <c r="C1128" s="5" t="s">
        <v>99</v>
      </c>
      <c r="D1128" s="5" t="s">
        <v>114</v>
      </c>
      <c r="E1128" s="5" t="s">
        <v>133</v>
      </c>
    </row>
    <row r="1129" customFormat="false" ht="15" hidden="false" customHeight="true" outlineLevel="0" collapsed="false">
      <c r="A1129" s="5" t="n">
        <v>4217000</v>
      </c>
      <c r="B1129" s="5" t="s">
        <v>1219</v>
      </c>
      <c r="C1129" s="5" t="s">
        <v>142</v>
      </c>
      <c r="D1129" s="5" t="s">
        <v>143</v>
      </c>
      <c r="E1129" s="5" t="s">
        <v>194</v>
      </c>
    </row>
    <row r="1130" customFormat="false" ht="15" hidden="false" customHeight="true" outlineLevel="0" collapsed="false">
      <c r="A1130" s="5" t="n">
        <v>4217100</v>
      </c>
      <c r="B1130" s="5" t="s">
        <v>1220</v>
      </c>
      <c r="C1130" s="5" t="s">
        <v>142</v>
      </c>
      <c r="D1130" s="5" t="s">
        <v>143</v>
      </c>
      <c r="E1130" s="5" t="s">
        <v>194</v>
      </c>
    </row>
    <row r="1131" customFormat="false" ht="15" hidden="false" customHeight="true" outlineLevel="0" collapsed="false">
      <c r="A1131" s="5" t="n">
        <v>4217200</v>
      </c>
      <c r="B1131" s="5" t="s">
        <v>1221</v>
      </c>
      <c r="C1131" s="5" t="s">
        <v>142</v>
      </c>
      <c r="D1131" s="5" t="s">
        <v>143</v>
      </c>
      <c r="E1131" s="5" t="s">
        <v>194</v>
      </c>
    </row>
    <row r="1132" customFormat="false" ht="15" hidden="false" customHeight="true" outlineLevel="0" collapsed="false">
      <c r="A1132" s="5" t="n">
        <v>4217300</v>
      </c>
      <c r="B1132" s="5" t="s">
        <v>1222</v>
      </c>
      <c r="C1132" s="5" t="s">
        <v>142</v>
      </c>
      <c r="D1132" s="5" t="s">
        <v>143</v>
      </c>
      <c r="E1132" s="5" t="s">
        <v>194</v>
      </c>
    </row>
    <row r="1133" customFormat="false" ht="15" hidden="false" customHeight="true" outlineLevel="0" collapsed="false">
      <c r="A1133" s="5" t="n">
        <v>4217400</v>
      </c>
      <c r="B1133" s="5" t="s">
        <v>1223</v>
      </c>
      <c r="C1133" s="5" t="s">
        <v>142</v>
      </c>
      <c r="D1133" s="5" t="s">
        <v>143</v>
      </c>
      <c r="E1133" s="5" t="s">
        <v>194</v>
      </c>
    </row>
    <row r="1134" customFormat="false" ht="15" hidden="false" customHeight="true" outlineLevel="0" collapsed="false">
      <c r="A1134" s="5" t="n">
        <v>4217500</v>
      </c>
      <c r="B1134" s="5" t="s">
        <v>1224</v>
      </c>
      <c r="C1134" s="5" t="s">
        <v>142</v>
      </c>
      <c r="D1134" s="5" t="s">
        <v>143</v>
      </c>
      <c r="E1134" s="5" t="s">
        <v>194</v>
      </c>
    </row>
    <row r="1135" customFormat="false" ht="15" hidden="false" customHeight="true" outlineLevel="0" collapsed="false">
      <c r="A1135" s="5" t="n">
        <v>4217600</v>
      </c>
      <c r="B1135" s="5" t="s">
        <v>1225</v>
      </c>
      <c r="C1135" s="5" t="s">
        <v>142</v>
      </c>
      <c r="D1135" s="5" t="s">
        <v>143</v>
      </c>
      <c r="E1135" s="5" t="s">
        <v>194</v>
      </c>
    </row>
    <row r="1136" customFormat="false" ht="15" hidden="false" customHeight="true" outlineLevel="0" collapsed="false">
      <c r="A1136" s="5" t="n">
        <v>4217700</v>
      </c>
      <c r="B1136" s="5" t="s">
        <v>1226</v>
      </c>
      <c r="C1136" s="5" t="s">
        <v>142</v>
      </c>
      <c r="D1136" s="5" t="s">
        <v>143</v>
      </c>
      <c r="E1136" s="5" t="s">
        <v>194</v>
      </c>
    </row>
    <row r="1137" customFormat="false" ht="15" hidden="false" customHeight="true" outlineLevel="0" collapsed="false">
      <c r="A1137" s="5" t="n">
        <v>4218700</v>
      </c>
      <c r="B1137" s="5" t="s">
        <v>1227</v>
      </c>
      <c r="C1137" s="5" t="s">
        <v>99</v>
      </c>
      <c r="D1137" s="5" t="s">
        <v>114</v>
      </c>
      <c r="E1137" s="5" t="s">
        <v>117</v>
      </c>
    </row>
    <row r="1138" customFormat="false" ht="15" hidden="false" customHeight="true" outlineLevel="0" collapsed="false">
      <c r="A1138" s="5" t="n">
        <v>4218800</v>
      </c>
      <c r="B1138" s="5" t="s">
        <v>1228</v>
      </c>
      <c r="C1138" s="5" t="s">
        <v>99</v>
      </c>
      <c r="D1138" s="5" t="s">
        <v>114</v>
      </c>
      <c r="E1138" s="5" t="s">
        <v>117</v>
      </c>
    </row>
    <row r="1139" customFormat="false" ht="15" hidden="false" customHeight="true" outlineLevel="0" collapsed="false">
      <c r="A1139" s="5" t="n">
        <v>4228500</v>
      </c>
      <c r="B1139" s="5" t="s">
        <v>1229</v>
      </c>
      <c r="C1139" s="5" t="s">
        <v>99</v>
      </c>
      <c r="D1139" s="5" t="s">
        <v>124</v>
      </c>
      <c r="E1139" s="5" t="s">
        <v>198</v>
      </c>
    </row>
    <row r="1140" customFormat="false" ht="15" hidden="false" customHeight="true" outlineLevel="0" collapsed="false">
      <c r="A1140" s="5" t="n">
        <v>4228600</v>
      </c>
      <c r="B1140" s="5" t="s">
        <v>1230</v>
      </c>
      <c r="C1140" s="5" t="s">
        <v>99</v>
      </c>
      <c r="D1140" s="5" t="s">
        <v>124</v>
      </c>
      <c r="E1140" s="5" t="s">
        <v>198</v>
      </c>
    </row>
    <row r="1141" customFormat="false" ht="15" hidden="false" customHeight="true" outlineLevel="0" collapsed="false">
      <c r="A1141" s="5" t="n">
        <v>4229400</v>
      </c>
      <c r="B1141" s="5" t="s">
        <v>1231</v>
      </c>
      <c r="C1141" s="5" t="s">
        <v>142</v>
      </c>
      <c r="D1141" s="5" t="s">
        <v>143</v>
      </c>
      <c r="E1141" s="5" t="s">
        <v>194</v>
      </c>
    </row>
    <row r="1142" customFormat="false" ht="15" hidden="false" customHeight="true" outlineLevel="0" collapsed="false">
      <c r="A1142" s="5" t="n">
        <v>4231400</v>
      </c>
      <c r="B1142" s="5" t="s">
        <v>1232</v>
      </c>
      <c r="C1142" s="5" t="s">
        <v>99</v>
      </c>
      <c r="D1142" s="5" t="s">
        <v>124</v>
      </c>
      <c r="E1142" s="5" t="s">
        <v>198</v>
      </c>
    </row>
    <row r="1143" customFormat="false" ht="15" hidden="false" customHeight="true" outlineLevel="0" collapsed="false">
      <c r="A1143" s="5" t="n">
        <v>4231500</v>
      </c>
      <c r="B1143" s="5" t="s">
        <v>1233</v>
      </c>
      <c r="C1143" s="5" t="s">
        <v>99</v>
      </c>
      <c r="D1143" s="5" t="s">
        <v>124</v>
      </c>
      <c r="E1143" s="5" t="s">
        <v>198</v>
      </c>
    </row>
    <row r="1144" customFormat="false" ht="15" hidden="false" customHeight="true" outlineLevel="0" collapsed="false">
      <c r="A1144" s="5" t="n">
        <v>4238300</v>
      </c>
      <c r="B1144" s="5" t="s">
        <v>1234</v>
      </c>
      <c r="C1144" s="5" t="s">
        <v>99</v>
      </c>
      <c r="D1144" s="5" t="s">
        <v>114</v>
      </c>
      <c r="E1144" s="5" t="s">
        <v>128</v>
      </c>
    </row>
    <row r="1145" customFormat="false" ht="15" hidden="false" customHeight="true" outlineLevel="0" collapsed="false">
      <c r="A1145" s="5" t="n">
        <v>4238400</v>
      </c>
      <c r="B1145" s="5" t="s">
        <v>1235</v>
      </c>
      <c r="C1145" s="5" t="s">
        <v>99</v>
      </c>
      <c r="D1145" s="5" t="s">
        <v>114</v>
      </c>
      <c r="E1145" s="5" t="s">
        <v>128</v>
      </c>
    </row>
    <row r="1146" customFormat="false" ht="15" hidden="false" customHeight="true" outlineLevel="0" collapsed="false">
      <c r="A1146" s="5" t="n">
        <v>4240800</v>
      </c>
      <c r="B1146" s="5" t="s">
        <v>1236</v>
      </c>
      <c r="C1146" s="5" t="s">
        <v>99</v>
      </c>
      <c r="D1146" s="5" t="s">
        <v>114</v>
      </c>
      <c r="E1146" s="5" t="s">
        <v>117</v>
      </c>
    </row>
    <row r="1147" customFormat="false" ht="15" hidden="false" customHeight="true" outlineLevel="0" collapsed="false">
      <c r="A1147" s="5" t="n">
        <v>4240900</v>
      </c>
      <c r="B1147" s="5" t="s">
        <v>1237</v>
      </c>
      <c r="C1147" s="5" t="s">
        <v>99</v>
      </c>
      <c r="D1147" s="5" t="s">
        <v>114</v>
      </c>
      <c r="E1147" s="5" t="s">
        <v>115</v>
      </c>
    </row>
    <row r="1148" customFormat="false" ht="15" hidden="false" customHeight="true" outlineLevel="0" collapsed="false">
      <c r="A1148" s="5" t="n">
        <v>4241000</v>
      </c>
      <c r="B1148" s="5" t="s">
        <v>1238</v>
      </c>
      <c r="C1148" s="5" t="s">
        <v>142</v>
      </c>
      <c r="D1148" s="5" t="s">
        <v>143</v>
      </c>
      <c r="E1148" s="5" t="s">
        <v>115</v>
      </c>
    </row>
    <row r="1149" customFormat="false" ht="15" hidden="false" customHeight="true" outlineLevel="0" collapsed="false">
      <c r="A1149" s="5" t="n">
        <v>4241500</v>
      </c>
      <c r="B1149" s="5" t="s">
        <v>365</v>
      </c>
      <c r="C1149" s="5" t="s">
        <v>142</v>
      </c>
      <c r="D1149" s="5" t="s">
        <v>143</v>
      </c>
      <c r="E1149" s="5" t="s">
        <v>212</v>
      </c>
    </row>
    <row r="1150" customFormat="false" ht="15" hidden="false" customHeight="true" outlineLevel="0" collapsed="false">
      <c r="A1150" s="5" t="n">
        <v>4248200</v>
      </c>
      <c r="B1150" s="5" t="s">
        <v>487</v>
      </c>
      <c r="C1150" s="5" t="s">
        <v>99</v>
      </c>
      <c r="D1150" s="5" t="s">
        <v>114</v>
      </c>
      <c r="E1150" s="5" t="s">
        <v>152</v>
      </c>
    </row>
    <row r="1151" customFormat="false" ht="15" hidden="false" customHeight="true" outlineLevel="0" collapsed="false">
      <c r="A1151" s="5" t="n">
        <v>4248300</v>
      </c>
      <c r="B1151" s="5" t="s">
        <v>1239</v>
      </c>
      <c r="C1151" s="5" t="s">
        <v>99</v>
      </c>
      <c r="D1151" s="5" t="s">
        <v>114</v>
      </c>
      <c r="E1151" s="5" t="s">
        <v>133</v>
      </c>
    </row>
    <row r="1152" customFormat="false" ht="15" hidden="false" customHeight="true" outlineLevel="0" collapsed="false">
      <c r="A1152" s="5" t="n">
        <v>4248400</v>
      </c>
      <c r="B1152" s="5" t="s">
        <v>1240</v>
      </c>
      <c r="C1152" s="5" t="s">
        <v>99</v>
      </c>
      <c r="D1152" s="5" t="s">
        <v>114</v>
      </c>
      <c r="E1152" s="5" t="s">
        <v>133</v>
      </c>
    </row>
    <row r="1153" customFormat="false" ht="15" hidden="false" customHeight="true" outlineLevel="0" collapsed="false">
      <c r="A1153" s="5" t="n">
        <v>4253900</v>
      </c>
      <c r="B1153" s="5" t="s">
        <v>1241</v>
      </c>
      <c r="C1153" s="5" t="s">
        <v>99</v>
      </c>
      <c r="D1153" s="5" t="s">
        <v>114</v>
      </c>
      <c r="E1153" s="5" t="s">
        <v>128</v>
      </c>
    </row>
    <row r="1154" customFormat="false" ht="15" hidden="false" customHeight="true" outlineLevel="0" collapsed="false">
      <c r="A1154" s="5" t="n">
        <v>4254000</v>
      </c>
      <c r="B1154" s="5" t="s">
        <v>1242</v>
      </c>
      <c r="C1154" s="5" t="s">
        <v>142</v>
      </c>
      <c r="D1154" s="5" t="s">
        <v>143</v>
      </c>
      <c r="E1154" s="5" t="s">
        <v>117</v>
      </c>
    </row>
    <row r="1155" customFormat="false" ht="15" hidden="false" customHeight="true" outlineLevel="0" collapsed="false">
      <c r="A1155" s="5" t="n">
        <v>4254100</v>
      </c>
      <c r="B1155" s="5" t="s">
        <v>1243</v>
      </c>
      <c r="C1155" s="5" t="s">
        <v>142</v>
      </c>
      <c r="D1155" s="5" t="s">
        <v>143</v>
      </c>
      <c r="E1155" s="5" t="s">
        <v>117</v>
      </c>
    </row>
    <row r="1156" customFormat="false" ht="15" hidden="false" customHeight="true" outlineLevel="0" collapsed="false">
      <c r="A1156" s="5" t="n">
        <v>4254200</v>
      </c>
      <c r="B1156" s="5" t="s">
        <v>1244</v>
      </c>
      <c r="C1156" s="5" t="s">
        <v>142</v>
      </c>
      <c r="D1156" s="5" t="s">
        <v>143</v>
      </c>
      <c r="E1156" s="5" t="s">
        <v>117</v>
      </c>
    </row>
    <row r="1157" customFormat="false" ht="15" hidden="false" customHeight="true" outlineLevel="0" collapsed="false">
      <c r="A1157" s="5" t="n">
        <v>4254300</v>
      </c>
      <c r="B1157" s="5" t="s">
        <v>1245</v>
      </c>
      <c r="C1157" s="5" t="s">
        <v>142</v>
      </c>
      <c r="D1157" s="5" t="s">
        <v>143</v>
      </c>
      <c r="E1157" s="5" t="s">
        <v>117</v>
      </c>
    </row>
    <row r="1158" customFormat="false" ht="15" hidden="false" customHeight="true" outlineLevel="0" collapsed="false">
      <c r="A1158" s="5" t="n">
        <v>4254500</v>
      </c>
      <c r="B1158" s="5" t="s">
        <v>1246</v>
      </c>
      <c r="C1158" s="5" t="s">
        <v>142</v>
      </c>
      <c r="D1158" s="5" t="s">
        <v>143</v>
      </c>
      <c r="E1158" s="5" t="s">
        <v>117</v>
      </c>
    </row>
    <row r="1159" customFormat="false" ht="15" hidden="false" customHeight="true" outlineLevel="0" collapsed="false">
      <c r="A1159" s="5" t="n">
        <v>4254800</v>
      </c>
      <c r="B1159" s="5" t="s">
        <v>1247</v>
      </c>
      <c r="C1159" s="5" t="s">
        <v>99</v>
      </c>
      <c r="D1159" s="5" t="s">
        <v>114</v>
      </c>
      <c r="E1159" s="5" t="s">
        <v>115</v>
      </c>
    </row>
    <row r="1160" customFormat="false" ht="15" hidden="false" customHeight="true" outlineLevel="0" collapsed="false">
      <c r="A1160" s="5" t="n">
        <v>4254900</v>
      </c>
      <c r="B1160" s="5" t="s">
        <v>1248</v>
      </c>
      <c r="C1160" s="5" t="s">
        <v>99</v>
      </c>
      <c r="D1160" s="5" t="s">
        <v>114</v>
      </c>
      <c r="E1160" s="5" t="s">
        <v>115</v>
      </c>
    </row>
    <row r="1161" customFormat="false" ht="15" hidden="false" customHeight="true" outlineLevel="0" collapsed="false">
      <c r="A1161" s="5" t="n">
        <v>4255000</v>
      </c>
      <c r="B1161" s="5" t="s">
        <v>1249</v>
      </c>
      <c r="C1161" s="5" t="s">
        <v>142</v>
      </c>
      <c r="D1161" s="5" t="s">
        <v>143</v>
      </c>
      <c r="E1161" s="5" t="s">
        <v>115</v>
      </c>
    </row>
    <row r="1162" customFormat="false" ht="15" hidden="false" customHeight="true" outlineLevel="0" collapsed="false">
      <c r="A1162" s="5" t="n">
        <v>4255100</v>
      </c>
      <c r="B1162" s="5" t="s">
        <v>1250</v>
      </c>
      <c r="C1162" s="5" t="s">
        <v>142</v>
      </c>
      <c r="D1162" s="5" t="s">
        <v>143</v>
      </c>
      <c r="E1162" s="5" t="s">
        <v>115</v>
      </c>
    </row>
    <row r="1163" customFormat="false" ht="15" hidden="false" customHeight="true" outlineLevel="0" collapsed="false">
      <c r="A1163" s="5" t="n">
        <v>4255200</v>
      </c>
      <c r="B1163" s="5" t="s">
        <v>1251</v>
      </c>
      <c r="C1163" s="5" t="s">
        <v>142</v>
      </c>
      <c r="D1163" s="5" t="s">
        <v>143</v>
      </c>
      <c r="E1163" s="5" t="s">
        <v>115</v>
      </c>
    </row>
    <row r="1164" customFormat="false" ht="15" hidden="false" customHeight="true" outlineLevel="0" collapsed="false">
      <c r="A1164" s="5" t="n">
        <v>4255300</v>
      </c>
      <c r="B1164" s="5" t="s">
        <v>1252</v>
      </c>
      <c r="C1164" s="5" t="s">
        <v>142</v>
      </c>
      <c r="D1164" s="5" t="s">
        <v>143</v>
      </c>
      <c r="E1164" s="5" t="s">
        <v>115</v>
      </c>
    </row>
    <row r="1165" customFormat="false" ht="15" hidden="false" customHeight="true" outlineLevel="0" collapsed="false">
      <c r="A1165" s="5" t="n">
        <v>4255400</v>
      </c>
      <c r="B1165" s="5" t="s">
        <v>1253</v>
      </c>
      <c r="C1165" s="5" t="s">
        <v>99</v>
      </c>
      <c r="D1165" s="5" t="s">
        <v>114</v>
      </c>
      <c r="E1165" s="5" t="s">
        <v>115</v>
      </c>
    </row>
    <row r="1166" customFormat="false" ht="15" hidden="false" customHeight="true" outlineLevel="0" collapsed="false">
      <c r="A1166" s="5" t="n">
        <v>4255500</v>
      </c>
      <c r="B1166" s="5" t="s">
        <v>1254</v>
      </c>
      <c r="C1166" s="5" t="s">
        <v>142</v>
      </c>
      <c r="D1166" s="5" t="s">
        <v>143</v>
      </c>
      <c r="E1166" s="5" t="s">
        <v>115</v>
      </c>
    </row>
    <row r="1167" customFormat="false" ht="15" hidden="false" customHeight="true" outlineLevel="0" collapsed="false">
      <c r="A1167" s="5" t="n">
        <v>4255600</v>
      </c>
      <c r="B1167" s="5" t="s">
        <v>1255</v>
      </c>
      <c r="C1167" s="5" t="s">
        <v>142</v>
      </c>
      <c r="D1167" s="5" t="s">
        <v>143</v>
      </c>
      <c r="E1167" s="5" t="s">
        <v>115</v>
      </c>
    </row>
    <row r="1168" customFormat="false" ht="15" hidden="false" customHeight="true" outlineLevel="0" collapsed="false">
      <c r="A1168" s="5" t="n">
        <v>4255700</v>
      </c>
      <c r="B1168" s="5" t="s">
        <v>1256</v>
      </c>
      <c r="C1168" s="5" t="s">
        <v>142</v>
      </c>
      <c r="D1168" s="5" t="s">
        <v>143</v>
      </c>
      <c r="E1168" s="5" t="s">
        <v>115</v>
      </c>
    </row>
    <row r="1169" customFormat="false" ht="15" hidden="false" customHeight="true" outlineLevel="0" collapsed="false">
      <c r="A1169" s="5" t="n">
        <v>4255800</v>
      </c>
      <c r="B1169" s="5" t="s">
        <v>1257</v>
      </c>
      <c r="C1169" s="5" t="s">
        <v>142</v>
      </c>
      <c r="D1169" s="5" t="s">
        <v>143</v>
      </c>
      <c r="E1169" s="5" t="s">
        <v>115</v>
      </c>
    </row>
    <row r="1170" customFormat="false" ht="15" hidden="false" customHeight="true" outlineLevel="0" collapsed="false">
      <c r="A1170" s="5" t="n">
        <v>4255900</v>
      </c>
      <c r="B1170" s="5" t="s">
        <v>1258</v>
      </c>
      <c r="C1170" s="5" t="s">
        <v>142</v>
      </c>
      <c r="D1170" s="5" t="s">
        <v>143</v>
      </c>
      <c r="E1170" s="5" t="s">
        <v>115</v>
      </c>
    </row>
    <row r="1171" customFormat="false" ht="15" hidden="false" customHeight="true" outlineLevel="0" collapsed="false">
      <c r="A1171" s="5" t="n">
        <v>4256000</v>
      </c>
      <c r="B1171" s="5" t="s">
        <v>1259</v>
      </c>
      <c r="C1171" s="5" t="s">
        <v>142</v>
      </c>
      <c r="D1171" s="5" t="s">
        <v>143</v>
      </c>
      <c r="E1171" s="5" t="s">
        <v>115</v>
      </c>
    </row>
    <row r="1172" customFormat="false" ht="15" hidden="false" customHeight="true" outlineLevel="0" collapsed="false">
      <c r="A1172" s="5" t="n">
        <v>4256100</v>
      </c>
      <c r="B1172" s="5" t="s">
        <v>1260</v>
      </c>
      <c r="C1172" s="5" t="s">
        <v>142</v>
      </c>
      <c r="D1172" s="5" t="s">
        <v>143</v>
      </c>
      <c r="E1172" s="5" t="s">
        <v>115</v>
      </c>
    </row>
    <row r="1173" customFormat="false" ht="15" hidden="false" customHeight="true" outlineLevel="0" collapsed="false">
      <c r="A1173" s="5" t="n">
        <v>4257500</v>
      </c>
      <c r="B1173" s="5" t="s">
        <v>1261</v>
      </c>
      <c r="C1173" s="5" t="s">
        <v>142</v>
      </c>
      <c r="D1173" s="5" t="s">
        <v>143</v>
      </c>
      <c r="E1173" s="5" t="s">
        <v>194</v>
      </c>
    </row>
    <row r="1174" customFormat="false" ht="15" hidden="false" customHeight="true" outlineLevel="0" collapsed="false">
      <c r="A1174" s="5" t="n">
        <v>4257600</v>
      </c>
      <c r="B1174" s="5" t="s">
        <v>1262</v>
      </c>
      <c r="C1174" s="5" t="s">
        <v>142</v>
      </c>
      <c r="D1174" s="5" t="s">
        <v>143</v>
      </c>
      <c r="E1174" s="5" t="s">
        <v>194</v>
      </c>
    </row>
    <row r="1175" customFormat="false" ht="15" hidden="false" customHeight="true" outlineLevel="0" collapsed="false">
      <c r="A1175" s="5" t="n">
        <v>4282200</v>
      </c>
      <c r="B1175" s="5" t="s">
        <v>1263</v>
      </c>
      <c r="C1175" s="5" t="s">
        <v>142</v>
      </c>
      <c r="D1175" s="5" t="s">
        <v>143</v>
      </c>
      <c r="E1175" s="5" t="s">
        <v>294</v>
      </c>
    </row>
    <row r="1176" customFormat="false" ht="15" hidden="false" customHeight="true" outlineLevel="0" collapsed="false">
      <c r="A1176" s="5" t="n">
        <v>4282300</v>
      </c>
      <c r="B1176" s="5" t="s">
        <v>1264</v>
      </c>
      <c r="C1176" s="5" t="s">
        <v>142</v>
      </c>
      <c r="D1176" s="5" t="s">
        <v>143</v>
      </c>
      <c r="E1176" s="5" t="s">
        <v>294</v>
      </c>
    </row>
    <row r="1177" customFormat="false" ht="15" hidden="false" customHeight="true" outlineLevel="0" collapsed="false">
      <c r="A1177" s="5" t="n">
        <v>4282400</v>
      </c>
      <c r="B1177" s="5" t="s">
        <v>1265</v>
      </c>
      <c r="C1177" s="5" t="s">
        <v>142</v>
      </c>
      <c r="D1177" s="5" t="s">
        <v>143</v>
      </c>
      <c r="E1177" s="5" t="s">
        <v>294</v>
      </c>
    </row>
    <row r="1178" customFormat="false" ht="15" hidden="false" customHeight="true" outlineLevel="0" collapsed="false">
      <c r="A1178" s="5" t="n">
        <v>4283100</v>
      </c>
      <c r="B1178" s="5" t="s">
        <v>1266</v>
      </c>
      <c r="C1178" s="5" t="s">
        <v>142</v>
      </c>
      <c r="D1178" s="5" t="s">
        <v>143</v>
      </c>
      <c r="E1178" s="5" t="s">
        <v>212</v>
      </c>
    </row>
    <row r="1179" customFormat="false" ht="15" hidden="false" customHeight="true" outlineLevel="0" collapsed="false">
      <c r="A1179" s="5" t="n">
        <v>4283200</v>
      </c>
      <c r="B1179" s="5" t="s">
        <v>1267</v>
      </c>
      <c r="C1179" s="5" t="s">
        <v>142</v>
      </c>
      <c r="D1179" s="5" t="s">
        <v>143</v>
      </c>
      <c r="E1179" s="5" t="s">
        <v>212</v>
      </c>
    </row>
    <row r="1180" customFormat="false" ht="15" hidden="false" customHeight="true" outlineLevel="0" collapsed="false">
      <c r="A1180" s="5" t="n">
        <v>4288200</v>
      </c>
      <c r="B1180" s="5" t="s">
        <v>1268</v>
      </c>
      <c r="C1180" s="5" t="s">
        <v>142</v>
      </c>
      <c r="D1180" s="5" t="s">
        <v>143</v>
      </c>
      <c r="E1180" s="5" t="s">
        <v>194</v>
      </c>
    </row>
    <row r="1181" customFormat="false" ht="15" hidden="false" customHeight="true" outlineLevel="0" collapsed="false">
      <c r="A1181" s="5" t="n">
        <v>4288300</v>
      </c>
      <c r="B1181" s="5" t="s">
        <v>1269</v>
      </c>
      <c r="C1181" s="5" t="s">
        <v>99</v>
      </c>
      <c r="D1181" s="5" t="s">
        <v>124</v>
      </c>
      <c r="E1181" s="5" t="s">
        <v>198</v>
      </c>
    </row>
    <row r="1182" customFormat="false" ht="15" hidden="false" customHeight="true" outlineLevel="0" collapsed="false">
      <c r="A1182" s="5" t="n">
        <v>4294000</v>
      </c>
      <c r="B1182" s="5" t="s">
        <v>1270</v>
      </c>
      <c r="C1182" s="5" t="s">
        <v>99</v>
      </c>
      <c r="D1182" s="5" t="s">
        <v>114</v>
      </c>
      <c r="E1182" s="5" t="s">
        <v>128</v>
      </c>
    </row>
    <row r="1183" customFormat="false" ht="15" hidden="false" customHeight="true" outlineLevel="0" collapsed="false">
      <c r="A1183" s="5" t="n">
        <v>4294200</v>
      </c>
      <c r="B1183" s="5" t="s">
        <v>1251</v>
      </c>
      <c r="C1183" s="5" t="s">
        <v>142</v>
      </c>
      <c r="D1183" s="5" t="s">
        <v>143</v>
      </c>
      <c r="E1183" s="5" t="s">
        <v>115</v>
      </c>
    </row>
    <row r="1184" customFormat="false" ht="15" hidden="false" customHeight="true" outlineLevel="0" collapsed="false">
      <c r="A1184" s="5" t="n">
        <v>4294400</v>
      </c>
      <c r="B1184" s="5" t="s">
        <v>1258</v>
      </c>
      <c r="C1184" s="5" t="s">
        <v>142</v>
      </c>
      <c r="D1184" s="5" t="s">
        <v>143</v>
      </c>
      <c r="E1184" s="5" t="s">
        <v>115</v>
      </c>
    </row>
    <row r="1185" customFormat="false" ht="15" hidden="false" customHeight="true" outlineLevel="0" collapsed="false">
      <c r="A1185" s="5" t="n">
        <v>4298300</v>
      </c>
      <c r="B1185" s="5" t="s">
        <v>1271</v>
      </c>
      <c r="C1185" s="5" t="s">
        <v>99</v>
      </c>
      <c r="D1185" s="5" t="s">
        <v>114</v>
      </c>
      <c r="E1185" s="5" t="s">
        <v>152</v>
      </c>
    </row>
    <row r="1186" customFormat="false" ht="15" hidden="false" customHeight="true" outlineLevel="0" collapsed="false">
      <c r="A1186" s="5" t="n">
        <v>4298400</v>
      </c>
      <c r="B1186" s="5" t="s">
        <v>1272</v>
      </c>
      <c r="C1186" s="5" t="s">
        <v>99</v>
      </c>
      <c r="D1186" s="5" t="s">
        <v>114</v>
      </c>
      <c r="E1186" s="5" t="s">
        <v>133</v>
      </c>
    </row>
    <row r="1187" customFormat="false" ht="15" hidden="false" customHeight="true" outlineLevel="0" collapsed="false">
      <c r="A1187" s="5" t="n">
        <v>4298500</v>
      </c>
      <c r="B1187" s="5" t="s">
        <v>1273</v>
      </c>
      <c r="C1187" s="5" t="s">
        <v>99</v>
      </c>
      <c r="D1187" s="5" t="s">
        <v>114</v>
      </c>
      <c r="E1187" s="5" t="s">
        <v>133</v>
      </c>
    </row>
    <row r="1188" customFormat="false" ht="15" hidden="false" customHeight="true" outlineLevel="0" collapsed="false">
      <c r="A1188" s="5" t="n">
        <v>4302700</v>
      </c>
      <c r="B1188" s="5" t="s">
        <v>1274</v>
      </c>
      <c r="C1188" s="5" t="s">
        <v>99</v>
      </c>
      <c r="D1188" s="5" t="s">
        <v>114</v>
      </c>
      <c r="E1188" s="5" t="s">
        <v>133</v>
      </c>
    </row>
    <row r="1189" customFormat="false" ht="15" hidden="false" customHeight="true" outlineLevel="0" collapsed="false">
      <c r="A1189" s="5" t="n">
        <v>4304000</v>
      </c>
      <c r="B1189" s="5" t="s">
        <v>1275</v>
      </c>
      <c r="C1189" s="5" t="s">
        <v>99</v>
      </c>
      <c r="D1189" s="5" t="s">
        <v>100</v>
      </c>
      <c r="E1189" s="5" t="s">
        <v>100</v>
      </c>
    </row>
    <row r="1190" customFormat="false" ht="15" hidden="false" customHeight="true" outlineLevel="0" collapsed="false">
      <c r="A1190" s="5" t="n">
        <v>4304100</v>
      </c>
      <c r="B1190" s="5" t="s">
        <v>1276</v>
      </c>
      <c r="C1190" s="5" t="s">
        <v>99</v>
      </c>
      <c r="D1190" s="5" t="s">
        <v>114</v>
      </c>
      <c r="E1190" s="5" t="s">
        <v>115</v>
      </c>
    </row>
    <row r="1191" customFormat="false" ht="15" hidden="false" customHeight="true" outlineLevel="0" collapsed="false">
      <c r="A1191" s="5" t="n">
        <v>4304200</v>
      </c>
      <c r="B1191" s="5" t="s">
        <v>231</v>
      </c>
      <c r="C1191" s="5" t="s">
        <v>99</v>
      </c>
      <c r="D1191" s="5" t="s">
        <v>124</v>
      </c>
      <c r="E1191" s="5" t="s">
        <v>198</v>
      </c>
    </row>
    <row r="1192" customFormat="false" ht="15" hidden="false" customHeight="true" outlineLevel="0" collapsed="false">
      <c r="A1192" s="5" t="n">
        <v>4328800</v>
      </c>
      <c r="B1192" s="5" t="s">
        <v>1277</v>
      </c>
      <c r="C1192" s="5" t="s">
        <v>99</v>
      </c>
      <c r="D1192" s="5" t="s">
        <v>114</v>
      </c>
      <c r="E1192" s="5" t="s">
        <v>115</v>
      </c>
    </row>
    <row r="1193" customFormat="false" ht="15" hidden="false" customHeight="true" outlineLevel="0" collapsed="false">
      <c r="A1193" s="5" t="n">
        <v>4328900</v>
      </c>
      <c r="B1193" s="5" t="s">
        <v>1278</v>
      </c>
      <c r="C1193" s="5" t="s">
        <v>142</v>
      </c>
      <c r="D1193" s="5" t="s">
        <v>143</v>
      </c>
      <c r="E1193" s="5" t="s">
        <v>115</v>
      </c>
    </row>
    <row r="1194" customFormat="false" ht="15" hidden="false" customHeight="true" outlineLevel="0" collapsed="false">
      <c r="A1194" s="5" t="n">
        <v>4329000</v>
      </c>
      <c r="B1194" s="5" t="s">
        <v>1279</v>
      </c>
      <c r="C1194" s="5" t="s">
        <v>142</v>
      </c>
      <c r="D1194" s="5" t="s">
        <v>143</v>
      </c>
      <c r="E1194" s="5" t="s">
        <v>115</v>
      </c>
    </row>
    <row r="1195" customFormat="false" ht="15" hidden="false" customHeight="true" outlineLevel="0" collapsed="false">
      <c r="A1195" s="5" t="n">
        <v>4334000</v>
      </c>
      <c r="B1195" s="5" t="s">
        <v>1280</v>
      </c>
      <c r="C1195" s="5" t="s">
        <v>142</v>
      </c>
      <c r="D1195" s="5" t="s">
        <v>143</v>
      </c>
      <c r="E1195" s="5" t="s">
        <v>172</v>
      </c>
    </row>
    <row r="1196" customFormat="false" ht="15" hidden="false" customHeight="true" outlineLevel="0" collapsed="false">
      <c r="A1196" s="5" t="n">
        <v>4334500</v>
      </c>
      <c r="B1196" s="5" t="s">
        <v>1281</v>
      </c>
      <c r="C1196" s="5" t="s">
        <v>142</v>
      </c>
      <c r="D1196" s="5" t="s">
        <v>143</v>
      </c>
      <c r="E1196" s="5" t="s">
        <v>172</v>
      </c>
    </row>
    <row r="1197" customFormat="false" ht="15" hidden="false" customHeight="true" outlineLevel="0" collapsed="false">
      <c r="A1197" s="5" t="n">
        <v>4334600</v>
      </c>
      <c r="B1197" s="5" t="s">
        <v>1282</v>
      </c>
      <c r="C1197" s="5" t="s">
        <v>142</v>
      </c>
      <c r="D1197" s="5" t="s">
        <v>143</v>
      </c>
      <c r="E1197" s="5" t="s">
        <v>172</v>
      </c>
    </row>
    <row r="1198" customFormat="false" ht="15" hidden="false" customHeight="true" outlineLevel="0" collapsed="false">
      <c r="A1198" s="5" t="n">
        <v>4335100</v>
      </c>
      <c r="B1198" s="5" t="s">
        <v>1283</v>
      </c>
      <c r="C1198" s="5" t="s">
        <v>142</v>
      </c>
      <c r="D1198" s="5" t="s">
        <v>143</v>
      </c>
      <c r="E1198" s="5" t="s">
        <v>172</v>
      </c>
    </row>
    <row r="1199" customFormat="false" ht="15" hidden="false" customHeight="true" outlineLevel="0" collapsed="false">
      <c r="A1199" s="5" t="n">
        <v>4335300</v>
      </c>
      <c r="B1199" s="5" t="s">
        <v>1284</v>
      </c>
      <c r="C1199" s="5" t="s">
        <v>142</v>
      </c>
      <c r="D1199" s="5" t="s">
        <v>143</v>
      </c>
      <c r="E1199" s="5" t="s">
        <v>172</v>
      </c>
    </row>
    <row r="1200" customFormat="false" ht="15" hidden="false" customHeight="true" outlineLevel="0" collapsed="false">
      <c r="A1200" s="5" t="n">
        <v>4335400</v>
      </c>
      <c r="B1200" s="5" t="s">
        <v>1285</v>
      </c>
      <c r="C1200" s="5" t="s">
        <v>142</v>
      </c>
      <c r="D1200" s="5" t="s">
        <v>143</v>
      </c>
      <c r="E1200" s="5" t="s">
        <v>172</v>
      </c>
    </row>
    <row r="1201" customFormat="false" ht="15" hidden="false" customHeight="true" outlineLevel="0" collapsed="false">
      <c r="A1201" s="5" t="n">
        <v>4344100</v>
      </c>
      <c r="B1201" s="5" t="s">
        <v>1067</v>
      </c>
      <c r="C1201" s="5" t="s">
        <v>142</v>
      </c>
      <c r="D1201" s="5" t="s">
        <v>143</v>
      </c>
      <c r="E1201" s="5" t="s">
        <v>115</v>
      </c>
    </row>
    <row r="1202" customFormat="false" ht="15" hidden="false" customHeight="true" outlineLevel="0" collapsed="false">
      <c r="A1202" s="5" t="n">
        <v>4344200</v>
      </c>
      <c r="B1202" s="5" t="s">
        <v>1286</v>
      </c>
      <c r="C1202" s="5" t="s">
        <v>99</v>
      </c>
      <c r="D1202" s="5" t="s">
        <v>114</v>
      </c>
      <c r="E1202" s="5" t="s">
        <v>128</v>
      </c>
    </row>
    <row r="1203" customFormat="false" ht="15" hidden="false" customHeight="true" outlineLevel="0" collapsed="false">
      <c r="A1203" s="5" t="n">
        <v>4356200</v>
      </c>
      <c r="B1203" s="5" t="s">
        <v>1287</v>
      </c>
      <c r="C1203" s="5" t="s">
        <v>142</v>
      </c>
      <c r="D1203" s="5" t="s">
        <v>143</v>
      </c>
      <c r="E1203" s="5" t="s">
        <v>194</v>
      </c>
    </row>
    <row r="1204" customFormat="false" ht="15" hidden="false" customHeight="true" outlineLevel="0" collapsed="false">
      <c r="A1204" s="5" t="n">
        <v>4356300</v>
      </c>
      <c r="B1204" s="5" t="s">
        <v>1288</v>
      </c>
      <c r="C1204" s="5" t="s">
        <v>142</v>
      </c>
      <c r="D1204" s="5" t="s">
        <v>143</v>
      </c>
      <c r="E1204" s="5" t="s">
        <v>194</v>
      </c>
    </row>
    <row r="1205" customFormat="false" ht="15" hidden="false" customHeight="true" outlineLevel="0" collapsed="false">
      <c r="A1205" s="5" t="n">
        <v>4397100</v>
      </c>
      <c r="B1205" s="5" t="s">
        <v>1289</v>
      </c>
      <c r="C1205" s="5" t="s">
        <v>99</v>
      </c>
      <c r="D1205" s="5" t="s">
        <v>114</v>
      </c>
      <c r="E1205" s="5" t="s">
        <v>117</v>
      </c>
    </row>
    <row r="1206" customFormat="false" ht="15" hidden="false" customHeight="true" outlineLevel="0" collapsed="false">
      <c r="A1206" s="5" t="n">
        <v>4399900</v>
      </c>
      <c r="B1206" s="5" t="s">
        <v>1290</v>
      </c>
      <c r="C1206" s="5" t="s">
        <v>99</v>
      </c>
      <c r="D1206" s="5" t="s">
        <v>114</v>
      </c>
      <c r="E1206" s="5" t="s">
        <v>117</v>
      </c>
    </row>
    <row r="1207" customFormat="false" ht="15" hidden="false" customHeight="true" outlineLevel="0" collapsed="false">
      <c r="A1207" s="5" t="n">
        <v>4404400</v>
      </c>
      <c r="B1207" s="5" t="s">
        <v>1291</v>
      </c>
      <c r="C1207" s="5" t="s">
        <v>99</v>
      </c>
      <c r="D1207" s="5" t="s">
        <v>114</v>
      </c>
      <c r="E1207" s="5" t="s">
        <v>152</v>
      </c>
    </row>
    <row r="1208" customFormat="false" ht="15" hidden="false" customHeight="true" outlineLevel="0" collapsed="false">
      <c r="A1208" s="5" t="n">
        <v>4404500</v>
      </c>
      <c r="B1208" s="5" t="s">
        <v>1292</v>
      </c>
      <c r="C1208" s="5" t="s">
        <v>99</v>
      </c>
      <c r="D1208" s="5" t="s">
        <v>114</v>
      </c>
      <c r="E1208" s="5" t="s">
        <v>117</v>
      </c>
    </row>
    <row r="1209" customFormat="false" ht="15" hidden="false" customHeight="true" outlineLevel="0" collapsed="false">
      <c r="A1209" s="5" t="n">
        <v>4404600</v>
      </c>
      <c r="B1209" s="5" t="s">
        <v>1006</v>
      </c>
      <c r="C1209" s="5" t="s">
        <v>99</v>
      </c>
      <c r="D1209" s="5" t="s">
        <v>114</v>
      </c>
      <c r="E1209" s="5" t="s">
        <v>133</v>
      </c>
    </row>
    <row r="1210" customFormat="false" ht="15" hidden="false" customHeight="true" outlineLevel="0" collapsed="false">
      <c r="A1210" s="5" t="n">
        <v>4404700</v>
      </c>
      <c r="B1210" s="5" t="s">
        <v>1293</v>
      </c>
      <c r="C1210" s="5" t="s">
        <v>99</v>
      </c>
      <c r="D1210" s="5" t="s">
        <v>114</v>
      </c>
      <c r="E1210" s="5" t="s">
        <v>133</v>
      </c>
    </row>
    <row r="1211" customFormat="false" ht="15" hidden="false" customHeight="true" outlineLevel="0" collapsed="false">
      <c r="A1211" s="5" t="n">
        <v>4404800</v>
      </c>
      <c r="B1211" s="5" t="s">
        <v>1294</v>
      </c>
      <c r="C1211" s="5" t="s">
        <v>99</v>
      </c>
      <c r="D1211" s="5" t="s">
        <v>114</v>
      </c>
      <c r="E1211" s="5" t="s">
        <v>133</v>
      </c>
    </row>
    <row r="1212" customFormat="false" ht="15" hidden="false" customHeight="true" outlineLevel="0" collapsed="false">
      <c r="A1212" s="5" t="n">
        <v>4404900</v>
      </c>
      <c r="B1212" s="5" t="s">
        <v>1295</v>
      </c>
      <c r="C1212" s="5" t="s">
        <v>99</v>
      </c>
      <c r="D1212" s="5" t="s">
        <v>114</v>
      </c>
      <c r="E1212" s="5" t="s">
        <v>152</v>
      </c>
    </row>
    <row r="1213" customFormat="false" ht="15" hidden="false" customHeight="true" outlineLevel="0" collapsed="false">
      <c r="A1213" s="5" t="n">
        <v>4405000</v>
      </c>
      <c r="B1213" s="5" t="s">
        <v>1296</v>
      </c>
      <c r="C1213" s="5" t="s">
        <v>99</v>
      </c>
      <c r="D1213" s="5" t="s">
        <v>114</v>
      </c>
      <c r="E1213" s="5" t="s">
        <v>133</v>
      </c>
    </row>
    <row r="1214" customFormat="false" ht="15" hidden="false" customHeight="true" outlineLevel="0" collapsed="false">
      <c r="A1214" s="5" t="n">
        <v>4411500</v>
      </c>
      <c r="B1214" s="5" t="s">
        <v>1135</v>
      </c>
      <c r="C1214" s="5" t="s">
        <v>99</v>
      </c>
      <c r="D1214" s="5" t="s">
        <v>114</v>
      </c>
      <c r="E1214" s="5" t="s">
        <v>117</v>
      </c>
    </row>
    <row r="1215" customFormat="false" ht="15" hidden="false" customHeight="true" outlineLevel="0" collapsed="false">
      <c r="A1215" s="5" t="n">
        <v>4411600</v>
      </c>
      <c r="B1215" s="5" t="s">
        <v>1136</v>
      </c>
      <c r="C1215" s="5" t="s">
        <v>142</v>
      </c>
      <c r="D1215" s="5" t="s">
        <v>143</v>
      </c>
      <c r="E1215" s="5" t="s">
        <v>117</v>
      </c>
    </row>
    <row r="1216" customFormat="false" ht="15" hidden="false" customHeight="true" outlineLevel="0" collapsed="false">
      <c r="A1216" s="5" t="n">
        <v>4411700</v>
      </c>
      <c r="B1216" s="5" t="s">
        <v>1297</v>
      </c>
      <c r="C1216" s="5" t="s">
        <v>99</v>
      </c>
      <c r="D1216" s="5" t="s">
        <v>114</v>
      </c>
      <c r="E1216" s="5" t="s">
        <v>133</v>
      </c>
    </row>
    <row r="1217" customFormat="false" ht="15" hidden="false" customHeight="true" outlineLevel="0" collapsed="false">
      <c r="A1217" s="5" t="n">
        <v>4411800</v>
      </c>
      <c r="B1217" s="5" t="s">
        <v>1298</v>
      </c>
      <c r="C1217" s="5" t="s">
        <v>99</v>
      </c>
      <c r="D1217" s="5" t="s">
        <v>124</v>
      </c>
      <c r="E1217" s="5" t="s">
        <v>198</v>
      </c>
    </row>
    <row r="1218" customFormat="false" ht="15" hidden="false" customHeight="true" outlineLevel="0" collapsed="false">
      <c r="A1218" s="5" t="n">
        <v>4431600</v>
      </c>
      <c r="B1218" s="5" t="s">
        <v>1299</v>
      </c>
      <c r="C1218" s="5" t="s">
        <v>99</v>
      </c>
      <c r="D1218" s="5" t="s">
        <v>114</v>
      </c>
      <c r="E1218" s="5" t="s">
        <v>128</v>
      </c>
    </row>
    <row r="1219" customFormat="false" ht="15" hidden="false" customHeight="true" outlineLevel="0" collapsed="false">
      <c r="A1219" s="5" t="n">
        <v>4431800</v>
      </c>
      <c r="B1219" s="5" t="s">
        <v>1300</v>
      </c>
      <c r="C1219" s="5" t="s">
        <v>99</v>
      </c>
      <c r="D1219" s="5" t="s">
        <v>114</v>
      </c>
      <c r="E1219" s="5" t="s">
        <v>230</v>
      </c>
    </row>
    <row r="1220" customFormat="false" ht="15" hidden="false" customHeight="true" outlineLevel="0" collapsed="false">
      <c r="A1220" s="5" t="n">
        <v>4432100</v>
      </c>
      <c r="B1220" s="5" t="s">
        <v>1301</v>
      </c>
      <c r="C1220" s="5" t="s">
        <v>99</v>
      </c>
      <c r="D1220" s="5" t="s">
        <v>114</v>
      </c>
      <c r="E1220" s="5" t="s">
        <v>230</v>
      </c>
    </row>
    <row r="1221" customFormat="false" ht="15" hidden="false" customHeight="true" outlineLevel="0" collapsed="false">
      <c r="A1221" s="5" t="n">
        <v>4436100</v>
      </c>
      <c r="B1221" s="5" t="s">
        <v>1302</v>
      </c>
      <c r="C1221" s="5" t="s">
        <v>99</v>
      </c>
      <c r="D1221" s="5" t="s">
        <v>114</v>
      </c>
      <c r="E1221" s="5" t="s">
        <v>117</v>
      </c>
    </row>
    <row r="1222" customFormat="false" ht="15" hidden="false" customHeight="true" outlineLevel="0" collapsed="false">
      <c r="A1222" s="5" t="n">
        <v>4436200</v>
      </c>
      <c r="B1222" s="5" t="s">
        <v>1303</v>
      </c>
      <c r="C1222" s="5" t="s">
        <v>99</v>
      </c>
      <c r="D1222" s="5" t="s">
        <v>114</v>
      </c>
      <c r="E1222" s="5" t="s">
        <v>117</v>
      </c>
    </row>
    <row r="1223" customFormat="false" ht="15" hidden="false" customHeight="true" outlineLevel="0" collapsed="false">
      <c r="A1223" s="5" t="n">
        <v>4436800</v>
      </c>
      <c r="B1223" s="5" t="s">
        <v>1304</v>
      </c>
      <c r="C1223" s="5" t="s">
        <v>142</v>
      </c>
      <c r="D1223" s="5" t="s">
        <v>143</v>
      </c>
      <c r="E1223" s="5" t="s">
        <v>115</v>
      </c>
    </row>
    <row r="1224" customFormat="false" ht="15" hidden="false" customHeight="true" outlineLevel="0" collapsed="false">
      <c r="A1224" s="5" t="n">
        <v>4453100</v>
      </c>
      <c r="B1224" s="5" t="s">
        <v>1305</v>
      </c>
      <c r="C1224" s="5" t="s">
        <v>142</v>
      </c>
      <c r="D1224" s="5" t="s">
        <v>143</v>
      </c>
      <c r="E1224" s="5" t="s">
        <v>115</v>
      </c>
    </row>
    <row r="1225" customFormat="false" ht="15" hidden="false" customHeight="true" outlineLevel="0" collapsed="false">
      <c r="A1225" s="5" t="n">
        <v>4454300</v>
      </c>
      <c r="B1225" s="5" t="s">
        <v>590</v>
      </c>
      <c r="C1225" s="5" t="s">
        <v>142</v>
      </c>
      <c r="D1225" s="5" t="s">
        <v>143</v>
      </c>
      <c r="E1225" s="5" t="s">
        <v>167</v>
      </c>
    </row>
    <row r="1226" customFormat="false" ht="15" hidden="false" customHeight="true" outlineLevel="0" collapsed="false">
      <c r="A1226" s="5" t="n">
        <v>4454400</v>
      </c>
      <c r="B1226" s="5" t="s">
        <v>589</v>
      </c>
      <c r="C1226" s="5" t="s">
        <v>142</v>
      </c>
      <c r="D1226" s="5" t="s">
        <v>143</v>
      </c>
      <c r="E1226" s="5" t="s">
        <v>167</v>
      </c>
    </row>
    <row r="1227" customFormat="false" ht="15" hidden="false" customHeight="true" outlineLevel="0" collapsed="false">
      <c r="A1227" s="5" t="n">
        <v>4456400</v>
      </c>
      <c r="B1227" s="5" t="s">
        <v>1306</v>
      </c>
      <c r="C1227" s="5" t="s">
        <v>142</v>
      </c>
      <c r="D1227" s="5" t="s">
        <v>143</v>
      </c>
      <c r="E1227" s="5" t="s">
        <v>264</v>
      </c>
    </row>
    <row r="1228" customFormat="false" ht="15" hidden="false" customHeight="true" outlineLevel="0" collapsed="false">
      <c r="A1228" s="5" t="n">
        <v>4456500</v>
      </c>
      <c r="B1228" s="5" t="s">
        <v>1307</v>
      </c>
      <c r="C1228" s="5" t="s">
        <v>142</v>
      </c>
      <c r="D1228" s="5" t="s">
        <v>143</v>
      </c>
      <c r="E1228" s="5" t="s">
        <v>264</v>
      </c>
    </row>
    <row r="1229" customFormat="false" ht="15" hidden="false" customHeight="true" outlineLevel="0" collapsed="false">
      <c r="A1229" s="5" t="n">
        <v>4456600</v>
      </c>
      <c r="B1229" s="5" t="s">
        <v>1308</v>
      </c>
      <c r="C1229" s="5" t="s">
        <v>99</v>
      </c>
      <c r="D1229" s="5" t="s">
        <v>114</v>
      </c>
      <c r="E1229" s="5" t="s">
        <v>115</v>
      </c>
    </row>
    <row r="1230" customFormat="false" ht="15" hidden="false" customHeight="true" outlineLevel="0" collapsed="false">
      <c r="A1230" s="5" t="n">
        <v>4458000</v>
      </c>
      <c r="B1230" s="5" t="s">
        <v>1309</v>
      </c>
      <c r="C1230" s="5" t="s">
        <v>142</v>
      </c>
      <c r="D1230" s="5" t="s">
        <v>143</v>
      </c>
      <c r="E1230" s="5" t="s">
        <v>194</v>
      </c>
    </row>
    <row r="1231" customFormat="false" ht="15" hidden="false" customHeight="true" outlineLevel="0" collapsed="false">
      <c r="A1231" s="5" t="n">
        <v>4462300</v>
      </c>
      <c r="B1231" s="5" t="s">
        <v>823</v>
      </c>
      <c r="C1231" s="5" t="s">
        <v>142</v>
      </c>
      <c r="D1231" s="5" t="s">
        <v>143</v>
      </c>
      <c r="E1231" s="5" t="s">
        <v>167</v>
      </c>
    </row>
    <row r="1232" customFormat="false" ht="15" hidden="false" customHeight="true" outlineLevel="0" collapsed="false">
      <c r="A1232" s="5" t="n">
        <v>4462400</v>
      </c>
      <c r="B1232" s="5" t="s">
        <v>825</v>
      </c>
      <c r="C1232" s="5" t="s">
        <v>142</v>
      </c>
      <c r="D1232" s="5" t="s">
        <v>143</v>
      </c>
      <c r="E1232" s="5" t="s">
        <v>167</v>
      </c>
    </row>
    <row r="1233" customFormat="false" ht="15" hidden="false" customHeight="true" outlineLevel="0" collapsed="false">
      <c r="A1233" s="5" t="n">
        <v>4462500</v>
      </c>
      <c r="B1233" s="5" t="s">
        <v>1017</v>
      </c>
      <c r="C1233" s="5" t="s">
        <v>142</v>
      </c>
      <c r="D1233" s="5" t="s">
        <v>143</v>
      </c>
      <c r="E1233" s="5" t="s">
        <v>167</v>
      </c>
    </row>
    <row r="1234" customFormat="false" ht="15" hidden="false" customHeight="true" outlineLevel="0" collapsed="false">
      <c r="A1234" s="5" t="n">
        <v>4462600</v>
      </c>
      <c r="B1234" s="5" t="s">
        <v>1023</v>
      </c>
      <c r="C1234" s="5" t="s">
        <v>142</v>
      </c>
      <c r="D1234" s="5" t="s">
        <v>143</v>
      </c>
      <c r="E1234" s="5" t="s">
        <v>167</v>
      </c>
    </row>
    <row r="1235" customFormat="false" ht="15" hidden="false" customHeight="true" outlineLevel="0" collapsed="false">
      <c r="A1235" s="5" t="n">
        <v>4468800</v>
      </c>
      <c r="B1235" s="5" t="s">
        <v>1310</v>
      </c>
      <c r="C1235" s="5" t="s">
        <v>99</v>
      </c>
      <c r="D1235" s="5" t="s">
        <v>114</v>
      </c>
      <c r="E1235" s="5" t="s">
        <v>128</v>
      </c>
    </row>
    <row r="1236" customFormat="false" ht="15" hidden="false" customHeight="true" outlineLevel="0" collapsed="false">
      <c r="A1236" s="5" t="n">
        <v>4470400</v>
      </c>
      <c r="B1236" s="5" t="s">
        <v>1311</v>
      </c>
      <c r="C1236" s="5" t="s">
        <v>142</v>
      </c>
      <c r="D1236" s="5" t="s">
        <v>283</v>
      </c>
      <c r="E1236" s="5" t="s">
        <v>167</v>
      </c>
    </row>
    <row r="1237" customFormat="false" ht="15" hidden="false" customHeight="true" outlineLevel="0" collapsed="false">
      <c r="A1237" s="5" t="n">
        <v>4470500</v>
      </c>
      <c r="B1237" s="5" t="s">
        <v>588</v>
      </c>
      <c r="C1237" s="5" t="s">
        <v>142</v>
      </c>
      <c r="D1237" s="5" t="s">
        <v>143</v>
      </c>
      <c r="E1237" s="5" t="s">
        <v>167</v>
      </c>
    </row>
    <row r="1238" customFormat="false" ht="15" hidden="false" customHeight="true" outlineLevel="0" collapsed="false">
      <c r="A1238" s="5" t="n">
        <v>4470600</v>
      </c>
      <c r="B1238" s="5" t="s">
        <v>872</v>
      </c>
      <c r="C1238" s="5" t="s">
        <v>142</v>
      </c>
      <c r="D1238" s="5" t="s">
        <v>143</v>
      </c>
      <c r="E1238" s="5" t="s">
        <v>167</v>
      </c>
    </row>
    <row r="1239" customFormat="false" ht="15" hidden="false" customHeight="true" outlineLevel="0" collapsed="false">
      <c r="A1239" s="5" t="n">
        <v>4470700</v>
      </c>
      <c r="B1239" s="5" t="s">
        <v>1022</v>
      </c>
      <c r="C1239" s="5" t="s">
        <v>142</v>
      </c>
      <c r="D1239" s="5" t="s">
        <v>143</v>
      </c>
      <c r="E1239" s="5" t="s">
        <v>167</v>
      </c>
    </row>
    <row r="1240" customFormat="false" ht="15" hidden="false" customHeight="true" outlineLevel="0" collapsed="false">
      <c r="A1240" s="5" t="n">
        <v>4470800</v>
      </c>
      <c r="B1240" s="5" t="s">
        <v>824</v>
      </c>
      <c r="C1240" s="5" t="s">
        <v>142</v>
      </c>
      <c r="D1240" s="5" t="s">
        <v>143</v>
      </c>
      <c r="E1240" s="5" t="s">
        <v>167</v>
      </c>
    </row>
    <row r="1241" customFormat="false" ht="15" hidden="false" customHeight="true" outlineLevel="0" collapsed="false">
      <c r="A1241" s="5" t="n">
        <v>4472100</v>
      </c>
      <c r="B1241" s="5" t="s">
        <v>1312</v>
      </c>
      <c r="C1241" s="5" t="s">
        <v>142</v>
      </c>
      <c r="D1241" s="5" t="s">
        <v>143</v>
      </c>
      <c r="E1241" s="5" t="s">
        <v>167</v>
      </c>
    </row>
    <row r="1242" customFormat="false" ht="15" hidden="false" customHeight="true" outlineLevel="0" collapsed="false">
      <c r="A1242" s="5" t="n">
        <v>4494200</v>
      </c>
      <c r="B1242" s="5" t="s">
        <v>1313</v>
      </c>
      <c r="C1242" s="5" t="s">
        <v>142</v>
      </c>
      <c r="D1242" s="5" t="s">
        <v>283</v>
      </c>
      <c r="E1242" s="5" t="s">
        <v>117</v>
      </c>
    </row>
    <row r="1243" customFormat="false" ht="15" hidden="false" customHeight="true" outlineLevel="0" collapsed="false">
      <c r="A1243" s="5" t="n">
        <v>4515300</v>
      </c>
      <c r="B1243" s="5" t="s">
        <v>1314</v>
      </c>
      <c r="C1243" s="5" t="s">
        <v>142</v>
      </c>
      <c r="D1243" s="5" t="s">
        <v>143</v>
      </c>
      <c r="E1243" s="5" t="s">
        <v>264</v>
      </c>
    </row>
    <row r="1244" customFormat="false" ht="15" hidden="false" customHeight="true" outlineLevel="0" collapsed="false">
      <c r="A1244" s="5" t="n">
        <v>4519200</v>
      </c>
      <c r="B1244" s="5" t="s">
        <v>1315</v>
      </c>
      <c r="C1244" s="5" t="s">
        <v>142</v>
      </c>
      <c r="D1244" s="5" t="s">
        <v>143</v>
      </c>
      <c r="E1244" s="5" t="s">
        <v>294</v>
      </c>
    </row>
    <row r="1245" customFormat="false" ht="15" hidden="false" customHeight="true" outlineLevel="0" collapsed="false">
      <c r="A1245" s="5" t="n">
        <v>4519300</v>
      </c>
      <c r="B1245" s="5" t="s">
        <v>1316</v>
      </c>
      <c r="C1245" s="5" t="s">
        <v>142</v>
      </c>
      <c r="D1245" s="5" t="s">
        <v>143</v>
      </c>
      <c r="E1245" s="5" t="s">
        <v>167</v>
      </c>
    </row>
    <row r="1246" customFormat="false" ht="15" hidden="false" customHeight="true" outlineLevel="0" collapsed="false">
      <c r="A1246" s="5" t="n">
        <v>4519400</v>
      </c>
      <c r="B1246" s="5" t="s">
        <v>1317</v>
      </c>
      <c r="C1246" s="5" t="s">
        <v>142</v>
      </c>
      <c r="D1246" s="5" t="s">
        <v>143</v>
      </c>
      <c r="E1246" s="5" t="s">
        <v>115</v>
      </c>
    </row>
    <row r="1247" customFormat="false" ht="15" hidden="false" customHeight="true" outlineLevel="0" collapsed="false">
      <c r="A1247" s="5" t="n">
        <v>4519500</v>
      </c>
      <c r="B1247" s="5" t="s">
        <v>1318</v>
      </c>
      <c r="C1247" s="5" t="s">
        <v>142</v>
      </c>
      <c r="D1247" s="5" t="s">
        <v>283</v>
      </c>
      <c r="E1247" s="5" t="s">
        <v>167</v>
      </c>
    </row>
    <row r="1248" customFormat="false" ht="15" hidden="false" customHeight="true" outlineLevel="0" collapsed="false">
      <c r="A1248" s="5" t="n">
        <v>4519600</v>
      </c>
      <c r="B1248" s="5" t="s">
        <v>1319</v>
      </c>
      <c r="C1248" s="5" t="s">
        <v>142</v>
      </c>
      <c r="D1248" s="5" t="s">
        <v>283</v>
      </c>
      <c r="E1248" s="5" t="s">
        <v>167</v>
      </c>
    </row>
    <row r="1249" customFormat="false" ht="15" hidden="false" customHeight="true" outlineLevel="0" collapsed="false">
      <c r="A1249" s="5" t="n">
        <v>4519700</v>
      </c>
      <c r="B1249" s="5" t="s">
        <v>1320</v>
      </c>
      <c r="C1249" s="5" t="s">
        <v>142</v>
      </c>
      <c r="D1249" s="5" t="s">
        <v>283</v>
      </c>
      <c r="E1249" s="5" t="s">
        <v>167</v>
      </c>
    </row>
    <row r="1250" customFormat="false" ht="15" hidden="false" customHeight="true" outlineLevel="0" collapsed="false">
      <c r="A1250" s="5" t="n">
        <v>4521300</v>
      </c>
      <c r="B1250" s="5" t="s">
        <v>1321</v>
      </c>
      <c r="C1250" s="5" t="s">
        <v>142</v>
      </c>
      <c r="D1250" s="5" t="s">
        <v>143</v>
      </c>
      <c r="E1250" s="5" t="s">
        <v>115</v>
      </c>
    </row>
    <row r="1251" customFormat="false" ht="15" hidden="false" customHeight="true" outlineLevel="0" collapsed="false">
      <c r="A1251" s="5" t="n">
        <v>4521400</v>
      </c>
      <c r="B1251" s="5" t="s">
        <v>1322</v>
      </c>
      <c r="C1251" s="5" t="s">
        <v>99</v>
      </c>
      <c r="D1251" s="5" t="s">
        <v>114</v>
      </c>
      <c r="E1251" s="5" t="s">
        <v>115</v>
      </c>
    </row>
    <row r="1252" customFormat="false" ht="15" hidden="false" customHeight="true" outlineLevel="0" collapsed="false">
      <c r="A1252" s="5" t="n">
        <v>4521500</v>
      </c>
      <c r="B1252" s="5" t="s">
        <v>1323</v>
      </c>
      <c r="C1252" s="5" t="s">
        <v>142</v>
      </c>
      <c r="D1252" s="5" t="s">
        <v>143</v>
      </c>
      <c r="E1252" s="5" t="s">
        <v>115</v>
      </c>
    </row>
    <row r="1253" customFormat="false" ht="15" hidden="false" customHeight="true" outlineLevel="0" collapsed="false">
      <c r="A1253" s="5" t="n">
        <v>4521600</v>
      </c>
      <c r="B1253" s="5" t="s">
        <v>1324</v>
      </c>
      <c r="C1253" s="5" t="s">
        <v>142</v>
      </c>
      <c r="D1253" s="5" t="s">
        <v>143</v>
      </c>
      <c r="E1253" s="5" t="s">
        <v>115</v>
      </c>
    </row>
    <row r="1254" customFormat="false" ht="15" hidden="false" customHeight="true" outlineLevel="0" collapsed="false">
      <c r="A1254" s="5" t="n">
        <v>4523000</v>
      </c>
      <c r="B1254" s="5" t="s">
        <v>1325</v>
      </c>
      <c r="C1254" s="5" t="s">
        <v>99</v>
      </c>
      <c r="D1254" s="5" t="s">
        <v>124</v>
      </c>
      <c r="E1254" s="5" t="s">
        <v>198</v>
      </c>
    </row>
    <row r="1255" customFormat="false" ht="15" hidden="false" customHeight="true" outlineLevel="0" collapsed="false">
      <c r="A1255" s="5" t="n">
        <v>4523100</v>
      </c>
      <c r="B1255" s="5" t="s">
        <v>1326</v>
      </c>
      <c r="C1255" s="5" t="s">
        <v>99</v>
      </c>
      <c r="D1255" s="5" t="s">
        <v>114</v>
      </c>
      <c r="E1255" s="5" t="s">
        <v>115</v>
      </c>
    </row>
    <row r="1256" customFormat="false" ht="15" hidden="false" customHeight="true" outlineLevel="0" collapsed="false">
      <c r="A1256" s="5" t="n">
        <v>4523200</v>
      </c>
      <c r="B1256" s="5" t="s">
        <v>1327</v>
      </c>
      <c r="C1256" s="5" t="s">
        <v>142</v>
      </c>
      <c r="D1256" s="5" t="s">
        <v>143</v>
      </c>
      <c r="E1256" s="5" t="s">
        <v>194</v>
      </c>
    </row>
    <row r="1257" customFormat="false" ht="15" hidden="false" customHeight="true" outlineLevel="0" collapsed="false">
      <c r="A1257" s="5" t="n">
        <v>4523300</v>
      </c>
      <c r="B1257" s="5" t="s">
        <v>1328</v>
      </c>
      <c r="C1257" s="5" t="s">
        <v>99</v>
      </c>
      <c r="D1257" s="5" t="s">
        <v>114</v>
      </c>
      <c r="E1257" s="5" t="s">
        <v>194</v>
      </c>
    </row>
    <row r="1258" customFormat="false" ht="15" hidden="false" customHeight="true" outlineLevel="0" collapsed="false">
      <c r="A1258" s="5" t="n">
        <v>4524800</v>
      </c>
      <c r="B1258" s="5" t="s">
        <v>1329</v>
      </c>
      <c r="C1258" s="5" t="s">
        <v>99</v>
      </c>
      <c r="D1258" s="5" t="s">
        <v>114</v>
      </c>
      <c r="E1258" s="5" t="s">
        <v>115</v>
      </c>
    </row>
    <row r="1259" customFormat="false" ht="15" hidden="false" customHeight="true" outlineLevel="0" collapsed="false">
      <c r="A1259" s="5" t="n">
        <v>4524900</v>
      </c>
      <c r="B1259" s="5" t="s">
        <v>1330</v>
      </c>
      <c r="C1259" s="5" t="s">
        <v>99</v>
      </c>
      <c r="D1259" s="5" t="s">
        <v>114</v>
      </c>
      <c r="E1259" s="5" t="s">
        <v>117</v>
      </c>
    </row>
    <row r="1260" customFormat="false" ht="15" hidden="false" customHeight="true" outlineLevel="0" collapsed="false">
      <c r="A1260" s="5" t="n">
        <v>4525100</v>
      </c>
      <c r="B1260" s="5" t="s">
        <v>1331</v>
      </c>
      <c r="C1260" s="5" t="s">
        <v>99</v>
      </c>
      <c r="D1260" s="5" t="s">
        <v>114</v>
      </c>
      <c r="E1260" s="5" t="s">
        <v>133</v>
      </c>
    </row>
    <row r="1261" customFormat="false" ht="15" hidden="false" customHeight="true" outlineLevel="0" collapsed="false">
      <c r="A1261" s="5" t="n">
        <v>4525200</v>
      </c>
      <c r="B1261" s="5" t="s">
        <v>1332</v>
      </c>
      <c r="C1261" s="5" t="s">
        <v>99</v>
      </c>
      <c r="D1261" s="5" t="s">
        <v>100</v>
      </c>
      <c r="E1261" s="5" t="s">
        <v>100</v>
      </c>
    </row>
    <row r="1262" customFormat="false" ht="15" hidden="false" customHeight="true" outlineLevel="0" collapsed="false">
      <c r="A1262" s="5" t="n">
        <v>4525300</v>
      </c>
      <c r="B1262" s="5" t="s">
        <v>1333</v>
      </c>
      <c r="C1262" s="5" t="s">
        <v>99</v>
      </c>
      <c r="D1262" s="5" t="s">
        <v>114</v>
      </c>
      <c r="E1262" s="5" t="s">
        <v>117</v>
      </c>
    </row>
    <row r="1263" customFormat="false" ht="15" hidden="false" customHeight="true" outlineLevel="0" collapsed="false">
      <c r="A1263" s="5" t="n">
        <v>4525400</v>
      </c>
      <c r="B1263" s="5" t="s">
        <v>1334</v>
      </c>
      <c r="C1263" s="5" t="s">
        <v>99</v>
      </c>
      <c r="D1263" s="5" t="s">
        <v>114</v>
      </c>
      <c r="E1263" s="5" t="s">
        <v>115</v>
      </c>
    </row>
    <row r="1264" customFormat="false" ht="15" hidden="false" customHeight="true" outlineLevel="0" collapsed="false">
      <c r="A1264" s="5" t="n">
        <v>4525500</v>
      </c>
      <c r="B1264" s="5" t="s">
        <v>1335</v>
      </c>
      <c r="C1264" s="5" t="s">
        <v>99</v>
      </c>
      <c r="D1264" s="5" t="s">
        <v>114</v>
      </c>
      <c r="E1264" s="5" t="s">
        <v>133</v>
      </c>
    </row>
    <row r="1265" customFormat="false" ht="15" hidden="false" customHeight="true" outlineLevel="0" collapsed="false">
      <c r="A1265" s="5" t="n">
        <v>4525600</v>
      </c>
      <c r="B1265" s="5" t="s">
        <v>185</v>
      </c>
      <c r="C1265" s="5" t="s">
        <v>99</v>
      </c>
      <c r="D1265" s="5" t="s">
        <v>100</v>
      </c>
      <c r="E1265" s="5" t="s">
        <v>100</v>
      </c>
    </row>
    <row r="1266" customFormat="false" ht="15" hidden="false" customHeight="true" outlineLevel="0" collapsed="false">
      <c r="A1266" s="5" t="n">
        <v>4525700</v>
      </c>
      <c r="B1266" s="5" t="s">
        <v>1336</v>
      </c>
      <c r="C1266" s="5" t="s">
        <v>99</v>
      </c>
      <c r="D1266" s="5" t="s">
        <v>114</v>
      </c>
      <c r="E1266" s="5" t="s">
        <v>152</v>
      </c>
    </row>
    <row r="1267" customFormat="false" ht="15" hidden="false" customHeight="true" outlineLevel="0" collapsed="false">
      <c r="A1267" s="5" t="n">
        <v>4525800</v>
      </c>
      <c r="B1267" s="5" t="s">
        <v>1337</v>
      </c>
      <c r="C1267" s="5" t="s">
        <v>99</v>
      </c>
      <c r="D1267" s="5" t="s">
        <v>114</v>
      </c>
      <c r="E1267" s="5" t="s">
        <v>152</v>
      </c>
    </row>
    <row r="1268" customFormat="false" ht="15" hidden="false" customHeight="true" outlineLevel="0" collapsed="false">
      <c r="A1268" s="5" t="n">
        <v>4528000</v>
      </c>
      <c r="B1268" s="5" t="s">
        <v>1338</v>
      </c>
      <c r="C1268" s="5" t="s">
        <v>99</v>
      </c>
      <c r="D1268" s="5" t="s">
        <v>114</v>
      </c>
      <c r="E1268" s="5" t="s">
        <v>133</v>
      </c>
    </row>
    <row r="1269" customFormat="false" ht="15" hidden="false" customHeight="true" outlineLevel="0" collapsed="false">
      <c r="A1269" s="5" t="n">
        <v>4528500</v>
      </c>
      <c r="B1269" s="5" t="s">
        <v>1339</v>
      </c>
      <c r="C1269" s="5" t="s">
        <v>99</v>
      </c>
      <c r="D1269" s="5" t="s">
        <v>114</v>
      </c>
      <c r="E1269" s="5" t="s">
        <v>194</v>
      </c>
    </row>
    <row r="1270" customFormat="false" ht="15" hidden="false" customHeight="true" outlineLevel="0" collapsed="false">
      <c r="A1270" s="5" t="n">
        <v>4548300</v>
      </c>
      <c r="B1270" s="5" t="s">
        <v>1340</v>
      </c>
      <c r="C1270" s="5" t="s">
        <v>142</v>
      </c>
      <c r="D1270" s="5" t="s">
        <v>143</v>
      </c>
      <c r="E1270" s="5" t="s">
        <v>212</v>
      </c>
    </row>
    <row r="1271" customFormat="false" ht="15" hidden="false" customHeight="true" outlineLevel="0" collapsed="false">
      <c r="A1271" s="5" t="n">
        <v>4559700</v>
      </c>
      <c r="B1271" s="5" t="s">
        <v>400</v>
      </c>
      <c r="C1271" s="5" t="s">
        <v>142</v>
      </c>
      <c r="D1271" s="5" t="s">
        <v>143</v>
      </c>
      <c r="E1271" s="5" t="s">
        <v>115</v>
      </c>
    </row>
    <row r="1272" customFormat="false" ht="15" hidden="false" customHeight="true" outlineLevel="0" collapsed="false">
      <c r="A1272" s="5" t="n">
        <v>4559800</v>
      </c>
      <c r="B1272" s="5" t="s">
        <v>1341</v>
      </c>
      <c r="C1272" s="5" t="s">
        <v>142</v>
      </c>
      <c r="D1272" s="5" t="s">
        <v>143</v>
      </c>
      <c r="E1272" s="5" t="s">
        <v>167</v>
      </c>
    </row>
    <row r="1273" customFormat="false" ht="15" hidden="false" customHeight="true" outlineLevel="0" collapsed="false">
      <c r="A1273" s="5" t="n">
        <v>4559900</v>
      </c>
      <c r="B1273" s="5" t="s">
        <v>1342</v>
      </c>
      <c r="C1273" s="5" t="s">
        <v>99</v>
      </c>
      <c r="D1273" s="5" t="s">
        <v>124</v>
      </c>
      <c r="E1273" s="5" t="s">
        <v>198</v>
      </c>
    </row>
    <row r="1274" customFormat="false" ht="15" hidden="false" customHeight="true" outlineLevel="0" collapsed="false">
      <c r="A1274" s="5" t="n">
        <v>4560000</v>
      </c>
      <c r="B1274" s="5" t="s">
        <v>1343</v>
      </c>
      <c r="C1274" s="5" t="s">
        <v>99</v>
      </c>
      <c r="D1274" s="5" t="s">
        <v>124</v>
      </c>
      <c r="E1274" s="5" t="s">
        <v>198</v>
      </c>
    </row>
    <row r="1275" customFormat="false" ht="15" hidden="false" customHeight="true" outlineLevel="0" collapsed="false">
      <c r="A1275" s="5" t="n">
        <v>4560100</v>
      </c>
      <c r="B1275" s="5" t="s">
        <v>1344</v>
      </c>
      <c r="C1275" s="5" t="s">
        <v>99</v>
      </c>
      <c r="D1275" s="5" t="s">
        <v>114</v>
      </c>
      <c r="E1275" s="5" t="s">
        <v>117</v>
      </c>
    </row>
    <row r="1276" customFormat="false" ht="15" hidden="false" customHeight="true" outlineLevel="0" collapsed="false">
      <c r="A1276" s="5" t="n">
        <v>4565300</v>
      </c>
      <c r="B1276" s="5" t="s">
        <v>1345</v>
      </c>
      <c r="C1276" s="5" t="s">
        <v>142</v>
      </c>
      <c r="D1276" s="5" t="s">
        <v>143</v>
      </c>
      <c r="E1276" s="5" t="s">
        <v>172</v>
      </c>
    </row>
    <row r="1277" customFormat="false" ht="15" hidden="false" customHeight="true" outlineLevel="0" collapsed="false">
      <c r="A1277" s="5" t="n">
        <v>4574400</v>
      </c>
      <c r="B1277" s="5" t="s">
        <v>1346</v>
      </c>
      <c r="C1277" s="5" t="s">
        <v>142</v>
      </c>
      <c r="D1277" s="5" t="s">
        <v>143</v>
      </c>
      <c r="E1277" s="5" t="s">
        <v>117</v>
      </c>
    </row>
    <row r="1278" customFormat="false" ht="15" hidden="false" customHeight="true" outlineLevel="0" collapsed="false">
      <c r="A1278" s="5" t="n">
        <v>4574500</v>
      </c>
      <c r="B1278" s="5" t="s">
        <v>779</v>
      </c>
      <c r="C1278" s="5" t="s">
        <v>99</v>
      </c>
      <c r="D1278" s="5" t="s">
        <v>114</v>
      </c>
      <c r="E1278" s="5" t="s">
        <v>133</v>
      </c>
    </row>
    <row r="1279" customFormat="false" ht="15" hidden="false" customHeight="true" outlineLevel="0" collapsed="false">
      <c r="A1279" s="5" t="n">
        <v>4574600</v>
      </c>
      <c r="B1279" s="5" t="s">
        <v>1347</v>
      </c>
      <c r="C1279" s="5" t="s">
        <v>99</v>
      </c>
      <c r="D1279" s="5" t="s">
        <v>114</v>
      </c>
      <c r="E1279" s="5" t="s">
        <v>133</v>
      </c>
    </row>
    <row r="1280" customFormat="false" ht="15" hidden="false" customHeight="true" outlineLevel="0" collapsed="false">
      <c r="A1280" s="5" t="n">
        <v>4574700</v>
      </c>
      <c r="B1280" s="5" t="s">
        <v>1348</v>
      </c>
      <c r="C1280" s="5" t="s">
        <v>99</v>
      </c>
      <c r="D1280" s="5" t="s">
        <v>114</v>
      </c>
      <c r="E1280" s="5" t="s">
        <v>128</v>
      </c>
    </row>
    <row r="1281" customFormat="false" ht="15" hidden="false" customHeight="true" outlineLevel="0" collapsed="false">
      <c r="A1281" s="5" t="n">
        <v>4574800</v>
      </c>
      <c r="B1281" s="5" t="s">
        <v>1349</v>
      </c>
      <c r="C1281" s="5" t="s">
        <v>99</v>
      </c>
      <c r="D1281" s="5" t="s">
        <v>114</v>
      </c>
      <c r="E1281" s="5" t="s">
        <v>128</v>
      </c>
    </row>
    <row r="1282" customFormat="false" ht="15" hidden="false" customHeight="true" outlineLevel="0" collapsed="false">
      <c r="A1282" s="5" t="n">
        <v>4574900</v>
      </c>
      <c r="B1282" s="5" t="s">
        <v>1350</v>
      </c>
      <c r="C1282" s="5" t="s">
        <v>99</v>
      </c>
      <c r="D1282" s="5" t="s">
        <v>114</v>
      </c>
      <c r="E1282" s="5" t="s">
        <v>128</v>
      </c>
    </row>
    <row r="1283" customFormat="false" ht="15" hidden="false" customHeight="true" outlineLevel="0" collapsed="false">
      <c r="A1283" s="5" t="n">
        <v>4575100</v>
      </c>
      <c r="B1283" s="5" t="s">
        <v>1351</v>
      </c>
      <c r="C1283" s="5" t="s">
        <v>99</v>
      </c>
      <c r="D1283" s="5" t="s">
        <v>114</v>
      </c>
      <c r="E1283" s="5" t="s">
        <v>128</v>
      </c>
    </row>
    <row r="1284" customFormat="false" ht="15" hidden="false" customHeight="true" outlineLevel="0" collapsed="false">
      <c r="A1284" s="5" t="n">
        <v>4578100</v>
      </c>
      <c r="B1284" s="5" t="s">
        <v>638</v>
      </c>
      <c r="C1284" s="5" t="s">
        <v>99</v>
      </c>
      <c r="D1284" s="5" t="s">
        <v>114</v>
      </c>
      <c r="E1284" s="5" t="s">
        <v>115</v>
      </c>
    </row>
    <row r="1285" customFormat="false" ht="15" hidden="false" customHeight="true" outlineLevel="0" collapsed="false">
      <c r="A1285" s="5" t="n">
        <v>4586900</v>
      </c>
      <c r="B1285" s="5" t="s">
        <v>1352</v>
      </c>
      <c r="C1285" s="5" t="s">
        <v>99</v>
      </c>
      <c r="D1285" s="5" t="s">
        <v>114</v>
      </c>
      <c r="E1285" s="5" t="s">
        <v>133</v>
      </c>
    </row>
    <row r="1286" customFormat="false" ht="15" hidden="false" customHeight="true" outlineLevel="0" collapsed="false">
      <c r="A1286" s="5" t="n">
        <v>4587000</v>
      </c>
      <c r="B1286" s="5" t="s">
        <v>1353</v>
      </c>
      <c r="C1286" s="5" t="s">
        <v>99</v>
      </c>
      <c r="D1286" s="5" t="s">
        <v>114</v>
      </c>
      <c r="E1286" s="5" t="s">
        <v>133</v>
      </c>
    </row>
    <row r="1287" customFormat="false" ht="15" hidden="false" customHeight="true" outlineLevel="0" collapsed="false">
      <c r="A1287" s="5" t="n">
        <v>4587100</v>
      </c>
      <c r="B1287" s="5" t="s">
        <v>1354</v>
      </c>
      <c r="C1287" s="5" t="s">
        <v>99</v>
      </c>
      <c r="D1287" s="5" t="s">
        <v>114</v>
      </c>
      <c r="E1287" s="5" t="s">
        <v>133</v>
      </c>
    </row>
    <row r="1288" customFormat="false" ht="15" hidden="false" customHeight="true" outlineLevel="0" collapsed="false">
      <c r="A1288" s="5" t="n">
        <v>4587200</v>
      </c>
      <c r="B1288" s="5" t="s">
        <v>1355</v>
      </c>
      <c r="C1288" s="5" t="s">
        <v>99</v>
      </c>
      <c r="D1288" s="5" t="s">
        <v>114</v>
      </c>
      <c r="E1288" s="5" t="s">
        <v>133</v>
      </c>
    </row>
    <row r="1289" customFormat="false" ht="15" hidden="false" customHeight="true" outlineLevel="0" collapsed="false">
      <c r="A1289" s="5" t="n">
        <v>4587300</v>
      </c>
      <c r="B1289" s="5" t="s">
        <v>1356</v>
      </c>
      <c r="C1289" s="5" t="s">
        <v>142</v>
      </c>
      <c r="D1289" s="5" t="s">
        <v>143</v>
      </c>
      <c r="E1289" s="5" t="s">
        <v>212</v>
      </c>
    </row>
    <row r="1290" customFormat="false" ht="15" hidden="false" customHeight="true" outlineLevel="0" collapsed="false">
      <c r="A1290" s="5" t="n">
        <v>4587400</v>
      </c>
      <c r="B1290" s="5" t="s">
        <v>1357</v>
      </c>
      <c r="C1290" s="5" t="s">
        <v>142</v>
      </c>
      <c r="D1290" s="5" t="s">
        <v>143</v>
      </c>
      <c r="E1290" s="5" t="s">
        <v>212</v>
      </c>
    </row>
    <row r="1291" customFormat="false" ht="15" hidden="false" customHeight="true" outlineLevel="0" collapsed="false">
      <c r="A1291" s="5" t="n">
        <v>4587500</v>
      </c>
      <c r="B1291" s="5" t="s">
        <v>1358</v>
      </c>
      <c r="C1291" s="5" t="s">
        <v>142</v>
      </c>
      <c r="D1291" s="5" t="s">
        <v>143</v>
      </c>
      <c r="E1291" s="5" t="s">
        <v>212</v>
      </c>
    </row>
    <row r="1292" customFormat="false" ht="15" hidden="false" customHeight="true" outlineLevel="0" collapsed="false">
      <c r="A1292" s="5" t="n">
        <v>4587600</v>
      </c>
      <c r="B1292" s="5" t="s">
        <v>1359</v>
      </c>
      <c r="C1292" s="5" t="s">
        <v>142</v>
      </c>
      <c r="D1292" s="5" t="s">
        <v>143</v>
      </c>
      <c r="E1292" s="5" t="s">
        <v>212</v>
      </c>
    </row>
    <row r="1293" customFormat="false" ht="15" hidden="false" customHeight="true" outlineLevel="0" collapsed="false">
      <c r="A1293" s="5" t="n">
        <v>4587700</v>
      </c>
      <c r="B1293" s="5" t="s">
        <v>1360</v>
      </c>
      <c r="C1293" s="5" t="s">
        <v>142</v>
      </c>
      <c r="D1293" s="5" t="s">
        <v>143</v>
      </c>
      <c r="E1293" s="5" t="s">
        <v>212</v>
      </c>
    </row>
    <row r="1294" customFormat="false" ht="15" hidden="false" customHeight="true" outlineLevel="0" collapsed="false">
      <c r="A1294" s="5" t="n">
        <v>4587800</v>
      </c>
      <c r="B1294" s="5" t="s">
        <v>1361</v>
      </c>
      <c r="C1294" s="5" t="s">
        <v>99</v>
      </c>
      <c r="D1294" s="5" t="s">
        <v>114</v>
      </c>
      <c r="E1294" s="5" t="s">
        <v>133</v>
      </c>
    </row>
    <row r="1295" customFormat="false" ht="15" hidden="false" customHeight="true" outlineLevel="0" collapsed="false">
      <c r="A1295" s="5" t="n">
        <v>4587900</v>
      </c>
      <c r="B1295" s="5" t="s">
        <v>1362</v>
      </c>
      <c r="C1295" s="5" t="s">
        <v>99</v>
      </c>
      <c r="D1295" s="5" t="s">
        <v>114</v>
      </c>
      <c r="E1295" s="5" t="s">
        <v>133</v>
      </c>
    </row>
    <row r="1296" customFormat="false" ht="15" hidden="false" customHeight="true" outlineLevel="0" collapsed="false">
      <c r="A1296" s="5" t="n">
        <v>4588000</v>
      </c>
      <c r="B1296" s="5" t="s">
        <v>1363</v>
      </c>
      <c r="C1296" s="5" t="s">
        <v>99</v>
      </c>
      <c r="D1296" s="5" t="s">
        <v>114</v>
      </c>
      <c r="E1296" s="5" t="s">
        <v>133</v>
      </c>
    </row>
    <row r="1297" customFormat="false" ht="15" hidden="false" customHeight="true" outlineLevel="0" collapsed="false">
      <c r="A1297" s="5" t="n">
        <v>4588100</v>
      </c>
      <c r="B1297" s="5" t="s">
        <v>1364</v>
      </c>
      <c r="C1297" s="5" t="s">
        <v>99</v>
      </c>
      <c r="D1297" s="5" t="s">
        <v>114</v>
      </c>
      <c r="E1297" s="5" t="s">
        <v>133</v>
      </c>
    </row>
    <row r="1298" customFormat="false" ht="15" hidden="false" customHeight="true" outlineLevel="0" collapsed="false">
      <c r="A1298" s="5" t="n">
        <v>4588200</v>
      </c>
      <c r="B1298" s="5" t="s">
        <v>1365</v>
      </c>
      <c r="C1298" s="5" t="s">
        <v>99</v>
      </c>
      <c r="D1298" s="5" t="s">
        <v>114</v>
      </c>
      <c r="E1298" s="5" t="s">
        <v>133</v>
      </c>
    </row>
    <row r="1299" customFormat="false" ht="15" hidden="false" customHeight="true" outlineLevel="0" collapsed="false">
      <c r="A1299" s="5" t="n">
        <v>4588300</v>
      </c>
      <c r="B1299" s="5" t="s">
        <v>1366</v>
      </c>
      <c r="C1299" s="5" t="s">
        <v>99</v>
      </c>
      <c r="D1299" s="5" t="s">
        <v>114</v>
      </c>
      <c r="E1299" s="5" t="s">
        <v>133</v>
      </c>
    </row>
    <row r="1300" customFormat="false" ht="15" hidden="false" customHeight="true" outlineLevel="0" collapsed="false">
      <c r="A1300" s="5" t="n">
        <v>4598800</v>
      </c>
      <c r="B1300" s="5" t="s">
        <v>1367</v>
      </c>
      <c r="C1300" s="5" t="s">
        <v>142</v>
      </c>
      <c r="D1300" s="5" t="s">
        <v>143</v>
      </c>
      <c r="E1300" s="5" t="s">
        <v>167</v>
      </c>
    </row>
    <row r="1301" customFormat="false" ht="15" hidden="false" customHeight="true" outlineLevel="0" collapsed="false">
      <c r="A1301" s="5" t="n">
        <v>4598900</v>
      </c>
      <c r="B1301" s="5" t="s">
        <v>1368</v>
      </c>
      <c r="C1301" s="5" t="s">
        <v>142</v>
      </c>
      <c r="D1301" s="5" t="s">
        <v>143</v>
      </c>
      <c r="E1301" s="5" t="s">
        <v>167</v>
      </c>
    </row>
    <row r="1302" customFormat="false" ht="15" hidden="false" customHeight="true" outlineLevel="0" collapsed="false">
      <c r="A1302" s="5" t="n">
        <v>4599000</v>
      </c>
      <c r="B1302" s="5" t="s">
        <v>1369</v>
      </c>
      <c r="C1302" s="5" t="s">
        <v>142</v>
      </c>
      <c r="D1302" s="5" t="s">
        <v>143</v>
      </c>
      <c r="E1302" s="5" t="s">
        <v>167</v>
      </c>
    </row>
    <row r="1303" customFormat="false" ht="15" hidden="false" customHeight="true" outlineLevel="0" collapsed="false">
      <c r="A1303" s="5" t="n">
        <v>4599100</v>
      </c>
      <c r="B1303" s="5" t="s">
        <v>1370</v>
      </c>
      <c r="C1303" s="5" t="s">
        <v>142</v>
      </c>
      <c r="D1303" s="5" t="s">
        <v>143</v>
      </c>
      <c r="E1303" s="5" t="s">
        <v>167</v>
      </c>
    </row>
    <row r="1304" customFormat="false" ht="15" hidden="false" customHeight="true" outlineLevel="0" collapsed="false">
      <c r="A1304" s="5" t="n">
        <v>4599200</v>
      </c>
      <c r="B1304" s="5" t="s">
        <v>1371</v>
      </c>
      <c r="C1304" s="5" t="s">
        <v>142</v>
      </c>
      <c r="D1304" s="5" t="s">
        <v>143</v>
      </c>
      <c r="E1304" s="5" t="s">
        <v>167</v>
      </c>
    </row>
    <row r="1305" customFormat="false" ht="15" hidden="false" customHeight="true" outlineLevel="0" collapsed="false">
      <c r="A1305" s="5" t="n">
        <v>4599300</v>
      </c>
      <c r="B1305" s="5" t="s">
        <v>1372</v>
      </c>
      <c r="C1305" s="5" t="s">
        <v>142</v>
      </c>
      <c r="D1305" s="5" t="s">
        <v>143</v>
      </c>
      <c r="E1305" s="5" t="s">
        <v>167</v>
      </c>
    </row>
    <row r="1306" customFormat="false" ht="15" hidden="false" customHeight="true" outlineLevel="0" collapsed="false">
      <c r="A1306" s="5" t="n">
        <v>4599400</v>
      </c>
      <c r="B1306" s="5" t="s">
        <v>1373</v>
      </c>
      <c r="C1306" s="5" t="s">
        <v>142</v>
      </c>
      <c r="D1306" s="5" t="s">
        <v>143</v>
      </c>
      <c r="E1306" s="5" t="s">
        <v>167</v>
      </c>
    </row>
    <row r="1307" customFormat="false" ht="15" hidden="false" customHeight="true" outlineLevel="0" collapsed="false">
      <c r="A1307" s="5" t="n">
        <v>4599500</v>
      </c>
      <c r="B1307" s="5" t="s">
        <v>1374</v>
      </c>
      <c r="C1307" s="5" t="s">
        <v>142</v>
      </c>
      <c r="D1307" s="5" t="s">
        <v>143</v>
      </c>
      <c r="E1307" s="5" t="s">
        <v>167</v>
      </c>
    </row>
    <row r="1308" customFormat="false" ht="15" hidden="false" customHeight="true" outlineLevel="0" collapsed="false">
      <c r="A1308" s="5" t="n">
        <v>4599600</v>
      </c>
      <c r="B1308" s="5" t="s">
        <v>1375</v>
      </c>
      <c r="C1308" s="5" t="s">
        <v>142</v>
      </c>
      <c r="D1308" s="5" t="s">
        <v>143</v>
      </c>
      <c r="E1308" s="5" t="s">
        <v>264</v>
      </c>
    </row>
    <row r="1309" customFormat="false" ht="15" hidden="false" customHeight="true" outlineLevel="0" collapsed="false">
      <c r="A1309" s="5" t="n">
        <v>4599700</v>
      </c>
      <c r="B1309" s="5" t="s">
        <v>1376</v>
      </c>
      <c r="C1309" s="5" t="s">
        <v>142</v>
      </c>
      <c r="D1309" s="5" t="s">
        <v>143</v>
      </c>
      <c r="E1309" s="5" t="s">
        <v>264</v>
      </c>
    </row>
    <row r="1310" customFormat="false" ht="15" hidden="false" customHeight="true" outlineLevel="0" collapsed="false">
      <c r="A1310" s="5" t="n">
        <v>4599800</v>
      </c>
      <c r="B1310" s="5" t="s">
        <v>1377</v>
      </c>
      <c r="C1310" s="5" t="s">
        <v>142</v>
      </c>
      <c r="D1310" s="5" t="s">
        <v>143</v>
      </c>
      <c r="E1310" s="5" t="s">
        <v>264</v>
      </c>
    </row>
    <row r="1311" customFormat="false" ht="15" hidden="false" customHeight="true" outlineLevel="0" collapsed="false">
      <c r="A1311" s="5" t="n">
        <v>4599900</v>
      </c>
      <c r="B1311" s="5" t="s">
        <v>1378</v>
      </c>
      <c r="C1311" s="5" t="s">
        <v>142</v>
      </c>
      <c r="D1311" s="5" t="s">
        <v>143</v>
      </c>
      <c r="E1311" s="5" t="s">
        <v>264</v>
      </c>
    </row>
    <row r="1312" customFormat="false" ht="15" hidden="false" customHeight="true" outlineLevel="0" collapsed="false">
      <c r="A1312" s="5" t="n">
        <v>4600000</v>
      </c>
      <c r="B1312" s="5" t="s">
        <v>1379</v>
      </c>
      <c r="C1312" s="5" t="s">
        <v>142</v>
      </c>
      <c r="D1312" s="5" t="s">
        <v>143</v>
      </c>
      <c r="E1312" s="5" t="s">
        <v>264</v>
      </c>
    </row>
    <row r="1313" customFormat="false" ht="15" hidden="false" customHeight="true" outlineLevel="0" collapsed="false">
      <c r="A1313" s="5" t="n">
        <v>4600100</v>
      </c>
      <c r="B1313" s="5" t="s">
        <v>1380</v>
      </c>
      <c r="C1313" s="5" t="s">
        <v>99</v>
      </c>
      <c r="D1313" s="5" t="s">
        <v>114</v>
      </c>
      <c r="E1313" s="5" t="s">
        <v>128</v>
      </c>
    </row>
    <row r="1314" customFormat="false" ht="15" hidden="false" customHeight="true" outlineLevel="0" collapsed="false">
      <c r="A1314" s="5" t="n">
        <v>4600200</v>
      </c>
      <c r="B1314" s="5" t="s">
        <v>1381</v>
      </c>
      <c r="C1314" s="5" t="s">
        <v>99</v>
      </c>
      <c r="D1314" s="5" t="s">
        <v>124</v>
      </c>
      <c r="E1314" s="5" t="s">
        <v>125</v>
      </c>
    </row>
    <row r="1315" customFormat="false" ht="15" hidden="false" customHeight="true" outlineLevel="0" collapsed="false">
      <c r="A1315" s="5" t="n">
        <v>4600300</v>
      </c>
      <c r="B1315" s="5" t="s">
        <v>1382</v>
      </c>
      <c r="C1315" s="5" t="s">
        <v>99</v>
      </c>
      <c r="D1315" s="5" t="s">
        <v>124</v>
      </c>
      <c r="E1315" s="5" t="s">
        <v>125</v>
      </c>
    </row>
    <row r="1316" customFormat="false" ht="15" hidden="false" customHeight="true" outlineLevel="0" collapsed="false">
      <c r="A1316" s="5" t="n">
        <v>4600400</v>
      </c>
      <c r="B1316" s="5" t="s">
        <v>1383</v>
      </c>
      <c r="C1316" s="5" t="s">
        <v>142</v>
      </c>
      <c r="D1316" s="5" t="s">
        <v>143</v>
      </c>
      <c r="E1316" s="5" t="s">
        <v>264</v>
      </c>
    </row>
    <row r="1317" customFormat="false" ht="15" hidden="false" customHeight="true" outlineLevel="0" collapsed="false">
      <c r="A1317" s="5" t="n">
        <v>4600500</v>
      </c>
      <c r="B1317" s="5" t="s">
        <v>1384</v>
      </c>
      <c r="C1317" s="5" t="s">
        <v>99</v>
      </c>
      <c r="D1317" s="5" t="s">
        <v>114</v>
      </c>
      <c r="E1317" s="5" t="s">
        <v>117</v>
      </c>
    </row>
    <row r="1318" customFormat="false" ht="15" hidden="false" customHeight="true" outlineLevel="0" collapsed="false">
      <c r="A1318" s="5" t="n">
        <v>4600600</v>
      </c>
      <c r="B1318" s="5" t="s">
        <v>237</v>
      </c>
      <c r="C1318" s="5" t="s">
        <v>99</v>
      </c>
      <c r="D1318" s="5" t="s">
        <v>100</v>
      </c>
      <c r="E1318" s="5" t="s">
        <v>100</v>
      </c>
    </row>
    <row r="1319" customFormat="false" ht="15" hidden="false" customHeight="true" outlineLevel="0" collapsed="false">
      <c r="A1319" s="5" t="n">
        <v>4600700</v>
      </c>
      <c r="B1319" s="5" t="s">
        <v>334</v>
      </c>
      <c r="C1319" s="5" t="s">
        <v>99</v>
      </c>
      <c r="D1319" s="5" t="s">
        <v>100</v>
      </c>
      <c r="E1319" s="5" t="s">
        <v>100</v>
      </c>
    </row>
    <row r="1320" customFormat="false" ht="15" hidden="false" customHeight="true" outlineLevel="0" collapsed="false">
      <c r="A1320" s="5" t="n">
        <v>4600800</v>
      </c>
      <c r="B1320" s="5" t="s">
        <v>1385</v>
      </c>
      <c r="C1320" s="5" t="s">
        <v>99</v>
      </c>
      <c r="D1320" s="5" t="s">
        <v>100</v>
      </c>
      <c r="E1320" s="5" t="s">
        <v>100</v>
      </c>
    </row>
    <row r="1321" customFormat="false" ht="15" hidden="false" customHeight="true" outlineLevel="0" collapsed="false">
      <c r="A1321" s="5" t="n">
        <v>4600900</v>
      </c>
      <c r="B1321" s="5" t="s">
        <v>1386</v>
      </c>
      <c r="C1321" s="5" t="s">
        <v>99</v>
      </c>
      <c r="D1321" s="5" t="s">
        <v>114</v>
      </c>
      <c r="E1321" s="5" t="s">
        <v>128</v>
      </c>
    </row>
    <row r="1322" customFormat="false" ht="15" hidden="false" customHeight="true" outlineLevel="0" collapsed="false">
      <c r="A1322" s="5" t="n">
        <v>4601000</v>
      </c>
      <c r="B1322" s="5" t="s">
        <v>183</v>
      </c>
      <c r="C1322" s="5" t="s">
        <v>99</v>
      </c>
      <c r="D1322" s="5" t="s">
        <v>100</v>
      </c>
      <c r="E1322" s="5" t="s">
        <v>100</v>
      </c>
    </row>
    <row r="1323" customFormat="false" ht="15" hidden="false" customHeight="true" outlineLevel="0" collapsed="false">
      <c r="A1323" s="5" t="n">
        <v>4601100</v>
      </c>
      <c r="B1323" s="5" t="s">
        <v>184</v>
      </c>
      <c r="C1323" s="5" t="s">
        <v>99</v>
      </c>
      <c r="D1323" s="5" t="s">
        <v>100</v>
      </c>
      <c r="E1323" s="5" t="s">
        <v>100</v>
      </c>
    </row>
    <row r="1324" customFormat="false" ht="15" hidden="false" customHeight="true" outlineLevel="0" collapsed="false">
      <c r="A1324" s="5" t="n">
        <v>4601200</v>
      </c>
      <c r="B1324" s="5" t="s">
        <v>1387</v>
      </c>
      <c r="C1324" s="5" t="s">
        <v>99</v>
      </c>
      <c r="D1324" s="5" t="s">
        <v>114</v>
      </c>
      <c r="E1324" s="5" t="s">
        <v>117</v>
      </c>
    </row>
    <row r="1325" customFormat="false" ht="15" hidden="false" customHeight="true" outlineLevel="0" collapsed="false">
      <c r="A1325" s="5" t="n">
        <v>4603100</v>
      </c>
      <c r="B1325" s="5" t="s">
        <v>1388</v>
      </c>
      <c r="C1325" s="5" t="s">
        <v>142</v>
      </c>
      <c r="D1325" s="5" t="s">
        <v>143</v>
      </c>
      <c r="E1325" s="5" t="s">
        <v>172</v>
      </c>
    </row>
    <row r="1326" customFormat="false" ht="15" hidden="false" customHeight="true" outlineLevel="0" collapsed="false">
      <c r="A1326" s="5" t="n">
        <v>4612300</v>
      </c>
      <c r="B1326" s="5" t="s">
        <v>1389</v>
      </c>
      <c r="C1326" s="5" t="s">
        <v>142</v>
      </c>
      <c r="D1326" s="5" t="s">
        <v>143</v>
      </c>
      <c r="E1326" s="5" t="s">
        <v>172</v>
      </c>
    </row>
    <row r="1327" customFormat="false" ht="15" hidden="false" customHeight="true" outlineLevel="0" collapsed="false">
      <c r="A1327" s="5" t="n">
        <v>4612400</v>
      </c>
      <c r="B1327" s="5" t="s">
        <v>1390</v>
      </c>
      <c r="C1327" s="5" t="s">
        <v>142</v>
      </c>
      <c r="D1327" s="5" t="s">
        <v>143</v>
      </c>
      <c r="E1327" s="5" t="s">
        <v>167</v>
      </c>
    </row>
    <row r="1328" customFormat="false" ht="15" hidden="false" customHeight="true" outlineLevel="0" collapsed="false">
      <c r="A1328" s="5" t="n">
        <v>4622100</v>
      </c>
      <c r="B1328" s="5" t="s">
        <v>1391</v>
      </c>
      <c r="C1328" s="5" t="s">
        <v>99</v>
      </c>
      <c r="D1328" s="5" t="s">
        <v>124</v>
      </c>
      <c r="E1328" s="5" t="s">
        <v>198</v>
      </c>
    </row>
    <row r="1329" customFormat="false" ht="15" hidden="false" customHeight="true" outlineLevel="0" collapsed="false">
      <c r="A1329" s="5" t="n">
        <v>4622200</v>
      </c>
      <c r="B1329" s="5" t="s">
        <v>1392</v>
      </c>
      <c r="C1329" s="5" t="s">
        <v>99</v>
      </c>
      <c r="D1329" s="5" t="s">
        <v>124</v>
      </c>
      <c r="E1329" s="5" t="s">
        <v>198</v>
      </c>
    </row>
    <row r="1330" customFormat="false" ht="15" hidden="false" customHeight="true" outlineLevel="0" collapsed="false">
      <c r="A1330" s="5" t="n">
        <v>4622300</v>
      </c>
      <c r="B1330" s="5" t="s">
        <v>1393</v>
      </c>
      <c r="C1330" s="5" t="s">
        <v>99</v>
      </c>
      <c r="D1330" s="5" t="s">
        <v>124</v>
      </c>
      <c r="E1330" s="5" t="s">
        <v>198</v>
      </c>
    </row>
    <row r="1331" customFormat="false" ht="15" hidden="false" customHeight="true" outlineLevel="0" collapsed="false">
      <c r="A1331" s="5" t="n">
        <v>4622400</v>
      </c>
      <c r="B1331" s="5" t="s">
        <v>1394</v>
      </c>
      <c r="C1331" s="5" t="s">
        <v>99</v>
      </c>
      <c r="D1331" s="5" t="s">
        <v>124</v>
      </c>
      <c r="E1331" s="5" t="s">
        <v>198</v>
      </c>
    </row>
    <row r="1332" customFormat="false" ht="15" hidden="false" customHeight="true" outlineLevel="0" collapsed="false">
      <c r="A1332" s="5" t="n">
        <v>4622500</v>
      </c>
      <c r="B1332" s="5" t="s">
        <v>1395</v>
      </c>
      <c r="C1332" s="5" t="s">
        <v>99</v>
      </c>
      <c r="D1332" s="5" t="s">
        <v>124</v>
      </c>
      <c r="E1332" s="5" t="s">
        <v>198</v>
      </c>
    </row>
    <row r="1333" customFormat="false" ht="15" hidden="false" customHeight="true" outlineLevel="0" collapsed="false">
      <c r="A1333" s="5" t="n">
        <v>4622600</v>
      </c>
      <c r="B1333" s="5" t="s">
        <v>1396</v>
      </c>
      <c r="C1333" s="5" t="s">
        <v>99</v>
      </c>
      <c r="D1333" s="5" t="s">
        <v>124</v>
      </c>
      <c r="E1333" s="5" t="s">
        <v>198</v>
      </c>
    </row>
    <row r="1334" customFormat="false" ht="15" hidden="false" customHeight="true" outlineLevel="0" collapsed="false">
      <c r="A1334" s="5" t="n">
        <v>4622700</v>
      </c>
      <c r="B1334" s="5" t="s">
        <v>1397</v>
      </c>
      <c r="C1334" s="5" t="s">
        <v>142</v>
      </c>
      <c r="D1334" s="5" t="s">
        <v>143</v>
      </c>
      <c r="E1334" s="5" t="s">
        <v>117</v>
      </c>
    </row>
    <row r="1335" customFormat="false" ht="15" hidden="false" customHeight="true" outlineLevel="0" collapsed="false">
      <c r="A1335" s="5" t="n">
        <v>4631300</v>
      </c>
      <c r="B1335" s="5" t="s">
        <v>1398</v>
      </c>
      <c r="C1335" s="5" t="s">
        <v>142</v>
      </c>
      <c r="D1335" s="5" t="s">
        <v>143</v>
      </c>
      <c r="E1335" s="5" t="s">
        <v>264</v>
      </c>
    </row>
    <row r="1336" customFormat="false" ht="15" hidden="false" customHeight="true" outlineLevel="0" collapsed="false">
      <c r="A1336" s="5" t="n">
        <v>4631400</v>
      </c>
      <c r="B1336" s="5" t="s">
        <v>1399</v>
      </c>
      <c r="C1336" s="5" t="s">
        <v>99</v>
      </c>
      <c r="D1336" s="5" t="s">
        <v>114</v>
      </c>
      <c r="E1336" s="5" t="s">
        <v>117</v>
      </c>
    </row>
    <row r="1337" customFormat="false" ht="15" hidden="false" customHeight="true" outlineLevel="0" collapsed="false">
      <c r="A1337" s="5" t="n">
        <v>4631500</v>
      </c>
      <c r="B1337" s="5" t="s">
        <v>1400</v>
      </c>
      <c r="C1337" s="5" t="s">
        <v>99</v>
      </c>
      <c r="D1337" s="5" t="s">
        <v>114</v>
      </c>
      <c r="E1337" s="5" t="s">
        <v>117</v>
      </c>
    </row>
    <row r="1338" customFormat="false" ht="15" hidden="false" customHeight="true" outlineLevel="0" collapsed="false">
      <c r="A1338" s="5" t="n">
        <v>4631600</v>
      </c>
      <c r="B1338" s="5" t="s">
        <v>1401</v>
      </c>
      <c r="C1338" s="5" t="s">
        <v>99</v>
      </c>
      <c r="D1338" s="5" t="s">
        <v>114</v>
      </c>
      <c r="E1338" s="5" t="s">
        <v>117</v>
      </c>
    </row>
    <row r="1339" customFormat="false" ht="15" hidden="false" customHeight="true" outlineLevel="0" collapsed="false">
      <c r="A1339" s="5" t="n">
        <v>4631700</v>
      </c>
      <c r="B1339" s="5" t="s">
        <v>249</v>
      </c>
      <c r="C1339" s="5" t="s">
        <v>142</v>
      </c>
      <c r="D1339" s="5" t="s">
        <v>143</v>
      </c>
      <c r="E1339" s="5" t="s">
        <v>115</v>
      </c>
    </row>
    <row r="1340" customFormat="false" ht="15" hidden="false" customHeight="true" outlineLevel="0" collapsed="false">
      <c r="A1340" s="5" t="n">
        <v>4631800</v>
      </c>
      <c r="B1340" s="5" t="s">
        <v>1402</v>
      </c>
      <c r="C1340" s="5" t="s">
        <v>142</v>
      </c>
      <c r="D1340" s="5" t="s">
        <v>143</v>
      </c>
      <c r="E1340" s="5" t="s">
        <v>115</v>
      </c>
    </row>
    <row r="1341" customFormat="false" ht="15" hidden="false" customHeight="true" outlineLevel="0" collapsed="false">
      <c r="A1341" s="5" t="n">
        <v>4632800</v>
      </c>
      <c r="B1341" s="5" t="s">
        <v>1403</v>
      </c>
      <c r="C1341" s="5" t="s">
        <v>142</v>
      </c>
      <c r="D1341" s="5" t="s">
        <v>143</v>
      </c>
      <c r="E1341" s="5" t="s">
        <v>115</v>
      </c>
    </row>
    <row r="1342" customFormat="false" ht="15" hidden="false" customHeight="true" outlineLevel="0" collapsed="false">
      <c r="A1342" s="5" t="n">
        <v>4645000</v>
      </c>
      <c r="B1342" s="5" t="s">
        <v>1404</v>
      </c>
      <c r="C1342" s="5" t="s">
        <v>99</v>
      </c>
      <c r="D1342" s="5" t="s">
        <v>114</v>
      </c>
      <c r="E1342" s="5" t="s">
        <v>152</v>
      </c>
    </row>
    <row r="1343" customFormat="false" ht="15" hidden="false" customHeight="true" outlineLevel="0" collapsed="false">
      <c r="A1343" s="5" t="n">
        <v>4645100</v>
      </c>
      <c r="B1343" s="5" t="s">
        <v>1405</v>
      </c>
      <c r="C1343" s="5" t="s">
        <v>99</v>
      </c>
      <c r="D1343" s="5" t="s">
        <v>114</v>
      </c>
      <c r="E1343" s="5" t="s">
        <v>152</v>
      </c>
    </row>
    <row r="1344" customFormat="false" ht="15" hidden="false" customHeight="true" outlineLevel="0" collapsed="false">
      <c r="A1344" s="5" t="n">
        <v>4645200</v>
      </c>
      <c r="B1344" s="5" t="s">
        <v>1406</v>
      </c>
      <c r="C1344" s="5" t="s">
        <v>142</v>
      </c>
      <c r="D1344" s="5" t="s">
        <v>143</v>
      </c>
      <c r="E1344" s="5" t="s">
        <v>167</v>
      </c>
    </row>
    <row r="1345" customFormat="false" ht="15" hidden="false" customHeight="true" outlineLevel="0" collapsed="false">
      <c r="A1345" s="5" t="n">
        <v>4645300</v>
      </c>
      <c r="B1345" s="5" t="s">
        <v>1407</v>
      </c>
      <c r="C1345" s="5" t="s">
        <v>142</v>
      </c>
      <c r="D1345" s="5" t="s">
        <v>143</v>
      </c>
      <c r="E1345" s="5" t="s">
        <v>167</v>
      </c>
    </row>
    <row r="1346" customFormat="false" ht="15" hidden="false" customHeight="true" outlineLevel="0" collapsed="false">
      <c r="A1346" s="5" t="n">
        <v>4661800</v>
      </c>
      <c r="B1346" s="5" t="s">
        <v>1408</v>
      </c>
      <c r="C1346" s="5" t="s">
        <v>99</v>
      </c>
      <c r="D1346" s="5" t="s">
        <v>114</v>
      </c>
      <c r="E1346" s="5" t="s">
        <v>128</v>
      </c>
    </row>
    <row r="1347" customFormat="false" ht="15" hidden="false" customHeight="true" outlineLevel="0" collapsed="false">
      <c r="A1347" s="5" t="n">
        <v>4675400</v>
      </c>
      <c r="B1347" s="5" t="s">
        <v>1409</v>
      </c>
      <c r="C1347" s="5" t="s">
        <v>142</v>
      </c>
      <c r="D1347" s="5" t="s">
        <v>143</v>
      </c>
      <c r="E1347" s="5" t="s">
        <v>167</v>
      </c>
    </row>
    <row r="1348" customFormat="false" ht="15" hidden="false" customHeight="true" outlineLevel="0" collapsed="false">
      <c r="A1348" s="5" t="n">
        <v>4675500</v>
      </c>
      <c r="B1348" s="5" t="s">
        <v>1410</v>
      </c>
      <c r="C1348" s="5" t="s">
        <v>99</v>
      </c>
      <c r="D1348" s="5" t="s">
        <v>124</v>
      </c>
      <c r="E1348" s="5" t="s">
        <v>198</v>
      </c>
    </row>
    <row r="1349" customFormat="false" ht="15" hidden="false" customHeight="true" outlineLevel="0" collapsed="false">
      <c r="A1349" s="5" t="n">
        <v>4675800</v>
      </c>
      <c r="B1349" s="5" t="s">
        <v>1411</v>
      </c>
      <c r="C1349" s="5" t="s">
        <v>142</v>
      </c>
      <c r="D1349" s="5" t="s">
        <v>143</v>
      </c>
      <c r="E1349" s="5" t="s">
        <v>194</v>
      </c>
    </row>
    <row r="1350" customFormat="false" ht="15" hidden="false" customHeight="true" outlineLevel="0" collapsed="false">
      <c r="A1350" s="5" t="n">
        <v>4675900</v>
      </c>
      <c r="B1350" s="5" t="s">
        <v>1412</v>
      </c>
      <c r="C1350" s="5" t="s">
        <v>142</v>
      </c>
      <c r="D1350" s="5" t="s">
        <v>143</v>
      </c>
      <c r="E1350" s="5" t="s">
        <v>194</v>
      </c>
    </row>
    <row r="1351" customFormat="false" ht="15" hidden="false" customHeight="true" outlineLevel="0" collapsed="false">
      <c r="A1351" s="5" t="n">
        <v>4680300</v>
      </c>
      <c r="B1351" s="5" t="s">
        <v>1413</v>
      </c>
      <c r="C1351" s="5" t="s">
        <v>142</v>
      </c>
      <c r="D1351" s="5" t="s">
        <v>143</v>
      </c>
      <c r="E1351" s="5" t="s">
        <v>167</v>
      </c>
    </row>
    <row r="1352" customFormat="false" ht="15" hidden="false" customHeight="true" outlineLevel="0" collapsed="false">
      <c r="A1352" s="5" t="n">
        <v>4682700</v>
      </c>
      <c r="B1352" s="5" t="s">
        <v>176</v>
      </c>
      <c r="C1352" s="5" t="s">
        <v>99</v>
      </c>
      <c r="D1352" s="5" t="s">
        <v>114</v>
      </c>
      <c r="E1352" s="5" t="s">
        <v>152</v>
      </c>
    </row>
    <row r="1353" customFormat="false" ht="15" hidden="false" customHeight="true" outlineLevel="0" collapsed="false">
      <c r="A1353" s="5" t="n">
        <v>4682800</v>
      </c>
      <c r="B1353" s="5" t="s">
        <v>1414</v>
      </c>
      <c r="C1353" s="5" t="s">
        <v>99</v>
      </c>
      <c r="D1353" s="5" t="s">
        <v>114</v>
      </c>
      <c r="E1353" s="5" t="s">
        <v>152</v>
      </c>
    </row>
    <row r="1354" customFormat="false" ht="15" hidden="false" customHeight="true" outlineLevel="0" collapsed="false">
      <c r="A1354" s="5" t="n">
        <v>4701000</v>
      </c>
      <c r="B1354" s="5" t="s">
        <v>1415</v>
      </c>
      <c r="C1354" s="5" t="s">
        <v>142</v>
      </c>
      <c r="D1354" s="5" t="s">
        <v>143</v>
      </c>
      <c r="E1354" s="5" t="s">
        <v>115</v>
      </c>
    </row>
    <row r="1355" customFormat="false" ht="15" hidden="false" customHeight="true" outlineLevel="0" collapsed="false">
      <c r="A1355" s="5" t="n">
        <v>4702200</v>
      </c>
      <c r="B1355" s="5" t="s">
        <v>1348</v>
      </c>
      <c r="C1355" s="5" t="s">
        <v>99</v>
      </c>
      <c r="D1355" s="5" t="s">
        <v>114</v>
      </c>
      <c r="E1355" s="5" t="s">
        <v>128</v>
      </c>
    </row>
    <row r="1356" customFormat="false" ht="15" hidden="false" customHeight="true" outlineLevel="0" collapsed="false">
      <c r="A1356" s="5" t="n">
        <v>4702300</v>
      </c>
      <c r="B1356" s="5" t="s">
        <v>1408</v>
      </c>
      <c r="C1356" s="5" t="s">
        <v>99</v>
      </c>
      <c r="D1356" s="5" t="s">
        <v>114</v>
      </c>
      <c r="E1356" s="5" t="s">
        <v>128</v>
      </c>
    </row>
    <row r="1357" customFormat="false" ht="15" hidden="false" customHeight="true" outlineLevel="0" collapsed="false">
      <c r="A1357" s="5" t="n">
        <v>4702400</v>
      </c>
      <c r="B1357" s="5" t="s">
        <v>1350</v>
      </c>
      <c r="C1357" s="5" t="s">
        <v>99</v>
      </c>
      <c r="D1357" s="5" t="s">
        <v>114</v>
      </c>
      <c r="E1357" s="5" t="s">
        <v>128</v>
      </c>
    </row>
    <row r="1358" customFormat="false" ht="15" hidden="false" customHeight="true" outlineLevel="0" collapsed="false">
      <c r="A1358" s="5" t="n">
        <v>4702500</v>
      </c>
      <c r="B1358" s="5" t="s">
        <v>1349</v>
      </c>
      <c r="C1358" s="5" t="s">
        <v>99</v>
      </c>
      <c r="D1358" s="5" t="s">
        <v>114</v>
      </c>
      <c r="E1358" s="5" t="s">
        <v>128</v>
      </c>
    </row>
    <row r="1359" customFormat="false" ht="15" hidden="false" customHeight="true" outlineLevel="0" collapsed="false">
      <c r="A1359" s="5" t="n">
        <v>4702600</v>
      </c>
      <c r="B1359" s="5" t="s">
        <v>1351</v>
      </c>
      <c r="C1359" s="5" t="s">
        <v>99</v>
      </c>
      <c r="D1359" s="5" t="s">
        <v>114</v>
      </c>
      <c r="E1359" s="5" t="s">
        <v>128</v>
      </c>
    </row>
    <row r="1360" customFormat="false" ht="15" hidden="false" customHeight="true" outlineLevel="0" collapsed="false">
      <c r="A1360" s="5" t="n">
        <v>4702800</v>
      </c>
      <c r="B1360" s="5" t="s">
        <v>1416</v>
      </c>
      <c r="C1360" s="5" t="s">
        <v>142</v>
      </c>
      <c r="D1360" s="5" t="s">
        <v>143</v>
      </c>
      <c r="E1360" s="5" t="s">
        <v>172</v>
      </c>
    </row>
    <row r="1361" customFormat="false" ht="15" hidden="false" customHeight="true" outlineLevel="0" collapsed="false">
      <c r="A1361" s="5" t="n">
        <v>4702900</v>
      </c>
      <c r="B1361" s="5" t="s">
        <v>1417</v>
      </c>
      <c r="C1361" s="5" t="s">
        <v>142</v>
      </c>
      <c r="D1361" s="5" t="s">
        <v>143</v>
      </c>
      <c r="E1361" s="5" t="s">
        <v>172</v>
      </c>
    </row>
    <row r="1362" customFormat="false" ht="15" hidden="false" customHeight="true" outlineLevel="0" collapsed="false">
      <c r="A1362" s="5" t="n">
        <v>4703100</v>
      </c>
      <c r="B1362" s="5" t="s">
        <v>1418</v>
      </c>
      <c r="C1362" s="5" t="s">
        <v>99</v>
      </c>
      <c r="D1362" s="5" t="s">
        <v>124</v>
      </c>
      <c r="E1362" s="5" t="s">
        <v>198</v>
      </c>
    </row>
    <row r="1363" customFormat="false" ht="15" hidden="false" customHeight="true" outlineLevel="0" collapsed="false">
      <c r="A1363" s="5" t="n">
        <v>4704800</v>
      </c>
      <c r="B1363" s="5" t="s">
        <v>1419</v>
      </c>
      <c r="C1363" s="5" t="s">
        <v>142</v>
      </c>
      <c r="D1363" s="5" t="s">
        <v>143</v>
      </c>
      <c r="E1363" s="5" t="s">
        <v>117</v>
      </c>
    </row>
    <row r="1364" customFormat="false" ht="15" hidden="false" customHeight="true" outlineLevel="0" collapsed="false">
      <c r="A1364" s="5" t="n">
        <v>4710600</v>
      </c>
      <c r="B1364" s="5" t="s">
        <v>1420</v>
      </c>
      <c r="C1364" s="5" t="s">
        <v>142</v>
      </c>
      <c r="D1364" s="5" t="s">
        <v>283</v>
      </c>
      <c r="E1364" s="5" t="s">
        <v>264</v>
      </c>
    </row>
    <row r="1365" customFormat="false" ht="15" hidden="false" customHeight="true" outlineLevel="0" collapsed="false">
      <c r="A1365" s="5" t="n">
        <v>4710700</v>
      </c>
      <c r="B1365" s="5" t="s">
        <v>1421</v>
      </c>
      <c r="C1365" s="5" t="s">
        <v>142</v>
      </c>
      <c r="D1365" s="5" t="s">
        <v>283</v>
      </c>
      <c r="E1365" s="5" t="s">
        <v>264</v>
      </c>
    </row>
    <row r="1366" customFormat="false" ht="15" hidden="false" customHeight="true" outlineLevel="0" collapsed="false">
      <c r="A1366" s="5" t="n">
        <v>4710800</v>
      </c>
      <c r="B1366" s="5" t="s">
        <v>1422</v>
      </c>
      <c r="C1366" s="5" t="s">
        <v>142</v>
      </c>
      <c r="D1366" s="5" t="s">
        <v>283</v>
      </c>
      <c r="E1366" s="5" t="s">
        <v>264</v>
      </c>
    </row>
    <row r="1367" customFormat="false" ht="15" hidden="false" customHeight="true" outlineLevel="0" collapsed="false">
      <c r="A1367" s="5" t="n">
        <v>4714600</v>
      </c>
      <c r="B1367" s="5" t="s">
        <v>1423</v>
      </c>
      <c r="C1367" s="5" t="s">
        <v>142</v>
      </c>
      <c r="D1367" s="5" t="s">
        <v>143</v>
      </c>
      <c r="E1367" s="5" t="s">
        <v>167</v>
      </c>
    </row>
    <row r="1368" customFormat="false" ht="15" hidden="false" customHeight="true" outlineLevel="0" collapsed="false">
      <c r="A1368" s="5" t="n">
        <v>4714700</v>
      </c>
      <c r="B1368" s="5" t="s">
        <v>1424</v>
      </c>
      <c r="C1368" s="5" t="s">
        <v>142</v>
      </c>
      <c r="D1368" s="5" t="s">
        <v>143</v>
      </c>
      <c r="E1368" s="5" t="s">
        <v>167</v>
      </c>
    </row>
    <row r="1369" customFormat="false" ht="15" hidden="false" customHeight="true" outlineLevel="0" collapsed="false">
      <c r="A1369" s="5" t="n">
        <v>4714800</v>
      </c>
      <c r="B1369" s="5" t="s">
        <v>1425</v>
      </c>
      <c r="C1369" s="5" t="s">
        <v>142</v>
      </c>
      <c r="D1369" s="5" t="s">
        <v>143</v>
      </c>
      <c r="E1369" s="5" t="s">
        <v>167</v>
      </c>
    </row>
    <row r="1370" customFormat="false" ht="15" hidden="false" customHeight="true" outlineLevel="0" collapsed="false">
      <c r="A1370" s="5" t="n">
        <v>4714900</v>
      </c>
      <c r="B1370" s="5" t="s">
        <v>225</v>
      </c>
      <c r="C1370" s="5" t="s">
        <v>142</v>
      </c>
      <c r="D1370" s="5" t="s">
        <v>143</v>
      </c>
      <c r="E1370" s="5" t="s">
        <v>172</v>
      </c>
    </row>
    <row r="1371" customFormat="false" ht="15" hidden="false" customHeight="true" outlineLevel="0" collapsed="false">
      <c r="A1371" s="5" t="n">
        <v>4715000</v>
      </c>
      <c r="B1371" s="5" t="s">
        <v>228</v>
      </c>
      <c r="C1371" s="5" t="s">
        <v>142</v>
      </c>
      <c r="D1371" s="5" t="s">
        <v>143</v>
      </c>
      <c r="E1371" s="5" t="s">
        <v>172</v>
      </c>
    </row>
    <row r="1372" customFormat="false" ht="15" hidden="false" customHeight="true" outlineLevel="0" collapsed="false">
      <c r="A1372" s="5" t="n">
        <v>4715100</v>
      </c>
      <c r="B1372" s="5" t="s">
        <v>226</v>
      </c>
      <c r="C1372" s="5" t="s">
        <v>142</v>
      </c>
      <c r="D1372" s="5" t="s">
        <v>143</v>
      </c>
      <c r="E1372" s="5" t="s">
        <v>172</v>
      </c>
    </row>
    <row r="1373" customFormat="false" ht="15" hidden="false" customHeight="true" outlineLevel="0" collapsed="false">
      <c r="A1373" s="5" t="n">
        <v>4715200</v>
      </c>
      <c r="B1373" s="5" t="s">
        <v>227</v>
      </c>
      <c r="C1373" s="5" t="s">
        <v>142</v>
      </c>
      <c r="D1373" s="5" t="s">
        <v>143</v>
      </c>
      <c r="E1373" s="5" t="s">
        <v>172</v>
      </c>
    </row>
    <row r="1374" customFormat="false" ht="15" hidden="false" customHeight="true" outlineLevel="0" collapsed="false">
      <c r="A1374" s="5" t="n">
        <v>4717400</v>
      </c>
      <c r="B1374" s="5" t="s">
        <v>1426</v>
      </c>
      <c r="C1374" s="5" t="s">
        <v>142</v>
      </c>
      <c r="D1374" s="5" t="s">
        <v>143</v>
      </c>
      <c r="E1374" s="5" t="s">
        <v>172</v>
      </c>
    </row>
    <row r="1375" customFormat="false" ht="15" hidden="false" customHeight="true" outlineLevel="0" collapsed="false">
      <c r="A1375" s="5" t="n">
        <v>4717500</v>
      </c>
      <c r="B1375" s="5" t="s">
        <v>1427</v>
      </c>
      <c r="C1375" s="5" t="s">
        <v>142</v>
      </c>
      <c r="D1375" s="5" t="s">
        <v>143</v>
      </c>
      <c r="E1375" s="5" t="s">
        <v>172</v>
      </c>
    </row>
    <row r="1376" customFormat="false" ht="15" hidden="false" customHeight="true" outlineLevel="0" collapsed="false">
      <c r="A1376" s="5" t="n">
        <v>4717600</v>
      </c>
      <c r="B1376" s="5" t="s">
        <v>1428</v>
      </c>
      <c r="C1376" s="5" t="s">
        <v>142</v>
      </c>
      <c r="D1376" s="5" t="s">
        <v>143</v>
      </c>
      <c r="E1376" s="5" t="s">
        <v>172</v>
      </c>
    </row>
    <row r="1377" customFormat="false" ht="15" hidden="false" customHeight="true" outlineLevel="0" collapsed="false">
      <c r="A1377" s="5" t="n">
        <v>4717700</v>
      </c>
      <c r="B1377" s="5" t="s">
        <v>1429</v>
      </c>
      <c r="C1377" s="5" t="s">
        <v>142</v>
      </c>
      <c r="D1377" s="5" t="s">
        <v>143</v>
      </c>
      <c r="E1377" s="5" t="s">
        <v>172</v>
      </c>
    </row>
    <row r="1378" customFormat="false" ht="15" hidden="false" customHeight="true" outlineLevel="0" collapsed="false">
      <c r="A1378" s="5" t="n">
        <v>4717800</v>
      </c>
      <c r="B1378" s="5" t="s">
        <v>1430</v>
      </c>
      <c r="C1378" s="5" t="s">
        <v>142</v>
      </c>
      <c r="D1378" s="5" t="s">
        <v>143</v>
      </c>
      <c r="E1378" s="5" t="s">
        <v>172</v>
      </c>
    </row>
    <row r="1379" customFormat="false" ht="15" hidden="false" customHeight="true" outlineLevel="0" collapsed="false">
      <c r="A1379" s="5" t="n">
        <v>4717900</v>
      </c>
      <c r="B1379" s="5" t="s">
        <v>1431</v>
      </c>
      <c r="C1379" s="5" t="s">
        <v>142</v>
      </c>
      <c r="D1379" s="5" t="s">
        <v>143</v>
      </c>
      <c r="E1379" s="5" t="s">
        <v>172</v>
      </c>
    </row>
    <row r="1380" customFormat="false" ht="15" hidden="false" customHeight="true" outlineLevel="0" collapsed="false">
      <c r="A1380" s="5" t="n">
        <v>4718000</v>
      </c>
      <c r="B1380" s="5" t="s">
        <v>1432</v>
      </c>
      <c r="C1380" s="5" t="s">
        <v>142</v>
      </c>
      <c r="D1380" s="5" t="s">
        <v>143</v>
      </c>
      <c r="E1380" s="5" t="s">
        <v>172</v>
      </c>
    </row>
    <row r="1381" customFormat="false" ht="15" hidden="false" customHeight="true" outlineLevel="0" collapsed="false">
      <c r="A1381" s="5" t="n">
        <v>4720600</v>
      </c>
      <c r="B1381" s="5" t="s">
        <v>1433</v>
      </c>
      <c r="C1381" s="5" t="s">
        <v>99</v>
      </c>
      <c r="D1381" s="5" t="s">
        <v>124</v>
      </c>
      <c r="E1381" s="5" t="s">
        <v>125</v>
      </c>
    </row>
    <row r="1382" customFormat="false" ht="15" hidden="false" customHeight="true" outlineLevel="0" collapsed="false">
      <c r="A1382" s="5" t="n">
        <v>4720700</v>
      </c>
      <c r="B1382" s="5" t="s">
        <v>1434</v>
      </c>
      <c r="C1382" s="5" t="s">
        <v>99</v>
      </c>
      <c r="D1382" s="5" t="s">
        <v>124</v>
      </c>
      <c r="E1382" s="5" t="s">
        <v>125</v>
      </c>
    </row>
    <row r="1383" customFormat="false" ht="15" hidden="false" customHeight="true" outlineLevel="0" collapsed="false">
      <c r="A1383" s="5" t="n">
        <v>4720800</v>
      </c>
      <c r="B1383" s="5" t="s">
        <v>1435</v>
      </c>
      <c r="C1383" s="5" t="s">
        <v>99</v>
      </c>
      <c r="D1383" s="5" t="s">
        <v>124</v>
      </c>
      <c r="E1383" s="5" t="s">
        <v>125</v>
      </c>
    </row>
    <row r="1384" customFormat="false" ht="15" hidden="false" customHeight="true" outlineLevel="0" collapsed="false">
      <c r="A1384" s="5" t="n">
        <v>4720900</v>
      </c>
      <c r="B1384" s="5" t="s">
        <v>1436</v>
      </c>
      <c r="C1384" s="5" t="s">
        <v>99</v>
      </c>
      <c r="D1384" s="5" t="s">
        <v>124</v>
      </c>
      <c r="E1384" s="5" t="s">
        <v>198</v>
      </c>
    </row>
    <row r="1385" customFormat="false" ht="15" hidden="false" customHeight="true" outlineLevel="0" collapsed="false">
      <c r="A1385" s="5" t="n">
        <v>4721000</v>
      </c>
      <c r="B1385" s="5" t="s">
        <v>1437</v>
      </c>
      <c r="C1385" s="5" t="s">
        <v>99</v>
      </c>
      <c r="D1385" s="5" t="s">
        <v>124</v>
      </c>
      <c r="E1385" s="5" t="s">
        <v>198</v>
      </c>
    </row>
    <row r="1386" customFormat="false" ht="15" hidden="false" customHeight="true" outlineLevel="0" collapsed="false">
      <c r="A1386" s="5" t="n">
        <v>4721100</v>
      </c>
      <c r="B1386" s="5" t="s">
        <v>1438</v>
      </c>
      <c r="C1386" s="5" t="s">
        <v>99</v>
      </c>
      <c r="D1386" s="5" t="s">
        <v>124</v>
      </c>
      <c r="E1386" s="5" t="s">
        <v>198</v>
      </c>
    </row>
    <row r="1387" customFormat="false" ht="15" hidden="false" customHeight="true" outlineLevel="0" collapsed="false">
      <c r="A1387" s="5" t="n">
        <v>4721200</v>
      </c>
      <c r="B1387" s="5" t="s">
        <v>1439</v>
      </c>
      <c r="C1387" s="5" t="s">
        <v>99</v>
      </c>
      <c r="D1387" s="5" t="s">
        <v>124</v>
      </c>
      <c r="E1387" s="5" t="s">
        <v>198</v>
      </c>
    </row>
    <row r="1388" customFormat="false" ht="15" hidden="false" customHeight="true" outlineLevel="0" collapsed="false">
      <c r="A1388" s="5" t="n">
        <v>4721300</v>
      </c>
      <c r="B1388" s="5" t="s">
        <v>1440</v>
      </c>
      <c r="C1388" s="5" t="s">
        <v>99</v>
      </c>
      <c r="D1388" s="5" t="s">
        <v>124</v>
      </c>
      <c r="E1388" s="5" t="s">
        <v>198</v>
      </c>
    </row>
    <row r="1389" customFormat="false" ht="15" hidden="false" customHeight="true" outlineLevel="0" collapsed="false">
      <c r="A1389" s="5" t="n">
        <v>4721400</v>
      </c>
      <c r="B1389" s="5" t="s">
        <v>1441</v>
      </c>
      <c r="C1389" s="5" t="s">
        <v>99</v>
      </c>
      <c r="D1389" s="5" t="s">
        <v>124</v>
      </c>
      <c r="E1389" s="5" t="s">
        <v>198</v>
      </c>
    </row>
    <row r="1390" customFormat="false" ht="15" hidden="false" customHeight="true" outlineLevel="0" collapsed="false">
      <c r="A1390" s="5" t="n">
        <v>4721500</v>
      </c>
      <c r="B1390" s="5" t="s">
        <v>1442</v>
      </c>
      <c r="C1390" s="5" t="s">
        <v>99</v>
      </c>
      <c r="D1390" s="5" t="s">
        <v>124</v>
      </c>
      <c r="E1390" s="5" t="s">
        <v>198</v>
      </c>
    </row>
    <row r="1391" customFormat="false" ht="15" hidden="false" customHeight="true" outlineLevel="0" collapsed="false">
      <c r="A1391" s="5" t="n">
        <v>4721600</v>
      </c>
      <c r="B1391" s="5" t="s">
        <v>1443</v>
      </c>
      <c r="C1391" s="5" t="s">
        <v>99</v>
      </c>
      <c r="D1391" s="5" t="s">
        <v>124</v>
      </c>
      <c r="E1391" s="5" t="s">
        <v>198</v>
      </c>
    </row>
    <row r="1392" customFormat="false" ht="15" hidden="false" customHeight="true" outlineLevel="0" collapsed="false">
      <c r="A1392" s="5" t="n">
        <v>4725900</v>
      </c>
      <c r="B1392" s="5" t="s">
        <v>1444</v>
      </c>
      <c r="C1392" s="5" t="s">
        <v>142</v>
      </c>
      <c r="D1392" s="5" t="s">
        <v>143</v>
      </c>
      <c r="E1392" s="5" t="s">
        <v>117</v>
      </c>
    </row>
    <row r="1393" customFormat="false" ht="15" hidden="false" customHeight="true" outlineLevel="0" collapsed="false">
      <c r="A1393" s="5" t="n">
        <v>4726000</v>
      </c>
      <c r="B1393" s="5" t="s">
        <v>1445</v>
      </c>
      <c r="C1393" s="5" t="s">
        <v>142</v>
      </c>
      <c r="D1393" s="5" t="s">
        <v>143</v>
      </c>
      <c r="E1393" s="5" t="s">
        <v>117</v>
      </c>
    </row>
    <row r="1394" customFormat="false" ht="15" hidden="false" customHeight="true" outlineLevel="0" collapsed="false">
      <c r="A1394" s="5" t="n">
        <v>4726100</v>
      </c>
      <c r="B1394" s="5" t="s">
        <v>1446</v>
      </c>
      <c r="C1394" s="5" t="s">
        <v>99</v>
      </c>
      <c r="D1394" s="5" t="s">
        <v>114</v>
      </c>
      <c r="E1394" s="5" t="s">
        <v>117</v>
      </c>
    </row>
    <row r="1395" customFormat="false" ht="15" hidden="false" customHeight="true" outlineLevel="0" collapsed="false">
      <c r="A1395" s="5" t="n">
        <v>4726200</v>
      </c>
      <c r="B1395" s="5" t="s">
        <v>1447</v>
      </c>
      <c r="C1395" s="5" t="s">
        <v>142</v>
      </c>
      <c r="D1395" s="5" t="s">
        <v>143</v>
      </c>
      <c r="E1395" s="5" t="s">
        <v>117</v>
      </c>
    </row>
    <row r="1396" customFormat="false" ht="15" hidden="false" customHeight="true" outlineLevel="0" collapsed="false">
      <c r="A1396" s="5" t="n">
        <v>4726300</v>
      </c>
      <c r="B1396" s="5" t="s">
        <v>1448</v>
      </c>
      <c r="C1396" s="5" t="s">
        <v>142</v>
      </c>
      <c r="D1396" s="5" t="s">
        <v>143</v>
      </c>
      <c r="E1396" s="5" t="s">
        <v>117</v>
      </c>
    </row>
    <row r="1397" customFormat="false" ht="15" hidden="false" customHeight="true" outlineLevel="0" collapsed="false">
      <c r="A1397" s="5" t="n">
        <v>4726400</v>
      </c>
      <c r="B1397" s="5" t="s">
        <v>1449</v>
      </c>
      <c r="C1397" s="5" t="s">
        <v>142</v>
      </c>
      <c r="D1397" s="5" t="s">
        <v>143</v>
      </c>
      <c r="E1397" s="5" t="s">
        <v>117</v>
      </c>
    </row>
    <row r="1398" customFormat="false" ht="15" hidden="false" customHeight="true" outlineLevel="0" collapsed="false">
      <c r="A1398" s="5" t="n">
        <v>4726500</v>
      </c>
      <c r="B1398" s="5" t="s">
        <v>1450</v>
      </c>
      <c r="C1398" s="5" t="s">
        <v>142</v>
      </c>
      <c r="D1398" s="5" t="s">
        <v>143</v>
      </c>
      <c r="E1398" s="5" t="s">
        <v>117</v>
      </c>
    </row>
    <row r="1399" customFormat="false" ht="15" hidden="false" customHeight="true" outlineLevel="0" collapsed="false">
      <c r="A1399" s="5" t="n">
        <v>4726600</v>
      </c>
      <c r="B1399" s="5" t="s">
        <v>256</v>
      </c>
      <c r="C1399" s="5" t="s">
        <v>99</v>
      </c>
      <c r="D1399" s="5" t="s">
        <v>114</v>
      </c>
      <c r="E1399" s="5" t="s">
        <v>128</v>
      </c>
    </row>
    <row r="1400" customFormat="false" ht="15" hidden="false" customHeight="true" outlineLevel="0" collapsed="false">
      <c r="A1400" s="5" t="n">
        <v>4752400</v>
      </c>
      <c r="B1400" s="5" t="s">
        <v>1451</v>
      </c>
      <c r="C1400" s="5" t="s">
        <v>142</v>
      </c>
      <c r="D1400" s="5" t="s">
        <v>143</v>
      </c>
      <c r="E1400" s="5" t="s">
        <v>264</v>
      </c>
    </row>
    <row r="1401" customFormat="false" ht="15" hidden="false" customHeight="true" outlineLevel="0" collapsed="false">
      <c r="A1401" s="5" t="n">
        <v>4752700</v>
      </c>
      <c r="B1401" s="5" t="s">
        <v>1452</v>
      </c>
      <c r="C1401" s="5" t="s">
        <v>142</v>
      </c>
      <c r="D1401" s="5" t="s">
        <v>143</v>
      </c>
      <c r="E1401" s="5" t="s">
        <v>264</v>
      </c>
    </row>
    <row r="1402" customFormat="false" ht="15" hidden="false" customHeight="true" outlineLevel="0" collapsed="false">
      <c r="A1402" s="5" t="n">
        <v>4752800</v>
      </c>
      <c r="B1402" s="5" t="s">
        <v>1453</v>
      </c>
      <c r="C1402" s="5" t="s">
        <v>142</v>
      </c>
      <c r="D1402" s="5" t="s">
        <v>143</v>
      </c>
      <c r="E1402" s="5" t="s">
        <v>264</v>
      </c>
    </row>
    <row r="1403" customFormat="false" ht="15" hidden="false" customHeight="true" outlineLevel="0" collapsed="false">
      <c r="A1403" s="5" t="n">
        <v>4762500</v>
      </c>
      <c r="B1403" s="5" t="s">
        <v>1454</v>
      </c>
      <c r="C1403" s="5" t="s">
        <v>99</v>
      </c>
      <c r="D1403" s="5" t="s">
        <v>114</v>
      </c>
      <c r="E1403" s="5" t="s">
        <v>117</v>
      </c>
    </row>
    <row r="1404" customFormat="false" ht="15" hidden="false" customHeight="true" outlineLevel="0" collapsed="false">
      <c r="A1404" s="5" t="n">
        <v>4768800</v>
      </c>
      <c r="B1404" s="5" t="s">
        <v>1455</v>
      </c>
      <c r="C1404" s="5" t="s">
        <v>142</v>
      </c>
      <c r="D1404" s="5" t="s">
        <v>283</v>
      </c>
      <c r="E1404" s="5" t="s">
        <v>115</v>
      </c>
    </row>
    <row r="1405" customFormat="false" ht="15" hidden="false" customHeight="true" outlineLevel="0" collapsed="false">
      <c r="A1405" s="5" t="n">
        <v>4768900</v>
      </c>
      <c r="B1405" s="5" t="s">
        <v>1456</v>
      </c>
      <c r="C1405" s="5" t="s">
        <v>142</v>
      </c>
      <c r="D1405" s="5" t="s">
        <v>283</v>
      </c>
      <c r="E1405" s="5" t="s">
        <v>115</v>
      </c>
    </row>
    <row r="1406" customFormat="false" ht="15" hidden="false" customHeight="true" outlineLevel="0" collapsed="false">
      <c r="A1406" s="5" t="n">
        <v>4781500</v>
      </c>
      <c r="B1406" s="5" t="s">
        <v>1457</v>
      </c>
      <c r="C1406" s="5" t="s">
        <v>99</v>
      </c>
      <c r="D1406" s="5" t="s">
        <v>114</v>
      </c>
      <c r="E1406" s="5" t="s">
        <v>128</v>
      </c>
    </row>
    <row r="1407" customFormat="false" ht="15" hidden="false" customHeight="true" outlineLevel="0" collapsed="false">
      <c r="A1407" s="5" t="n">
        <v>4781600</v>
      </c>
      <c r="B1407" s="5" t="s">
        <v>1458</v>
      </c>
      <c r="C1407" s="5" t="s">
        <v>99</v>
      </c>
      <c r="D1407" s="5" t="s">
        <v>114</v>
      </c>
      <c r="E1407" s="5" t="s">
        <v>128</v>
      </c>
    </row>
    <row r="1408" customFormat="false" ht="15" hidden="false" customHeight="true" outlineLevel="0" collapsed="false">
      <c r="A1408" s="5" t="n">
        <v>4781700</v>
      </c>
      <c r="B1408" s="5" t="s">
        <v>1459</v>
      </c>
      <c r="C1408" s="5" t="s">
        <v>142</v>
      </c>
      <c r="D1408" s="5" t="s">
        <v>143</v>
      </c>
      <c r="E1408" s="5" t="s">
        <v>115</v>
      </c>
    </row>
    <row r="1409" customFormat="false" ht="15" hidden="false" customHeight="true" outlineLevel="0" collapsed="false">
      <c r="A1409" s="5" t="n">
        <v>4781800</v>
      </c>
      <c r="B1409" s="5" t="s">
        <v>1460</v>
      </c>
      <c r="C1409" s="5" t="s">
        <v>142</v>
      </c>
      <c r="D1409" s="5" t="s">
        <v>143</v>
      </c>
      <c r="E1409" s="5" t="s">
        <v>172</v>
      </c>
    </row>
    <row r="1410" customFormat="false" ht="15" hidden="false" customHeight="true" outlineLevel="0" collapsed="false">
      <c r="A1410" s="5" t="n">
        <v>4811200</v>
      </c>
      <c r="B1410" s="5" t="s">
        <v>595</v>
      </c>
      <c r="C1410" s="5" t="s">
        <v>99</v>
      </c>
      <c r="D1410" s="5" t="s">
        <v>100</v>
      </c>
      <c r="E1410" s="5" t="s">
        <v>100</v>
      </c>
    </row>
    <row r="1411" customFormat="false" ht="15" hidden="false" customHeight="true" outlineLevel="0" collapsed="false">
      <c r="A1411" s="5" t="n">
        <v>4811300</v>
      </c>
      <c r="B1411" s="5" t="s">
        <v>1461</v>
      </c>
      <c r="C1411" s="5" t="s">
        <v>99</v>
      </c>
      <c r="D1411" s="5" t="s">
        <v>100</v>
      </c>
      <c r="E1411" s="5" t="s">
        <v>100</v>
      </c>
    </row>
    <row r="1412" customFormat="false" ht="15" hidden="false" customHeight="true" outlineLevel="0" collapsed="false">
      <c r="A1412" s="5" t="n">
        <v>4811400</v>
      </c>
      <c r="B1412" s="5" t="s">
        <v>1462</v>
      </c>
      <c r="C1412" s="5" t="s">
        <v>99</v>
      </c>
      <c r="D1412" s="5" t="s">
        <v>100</v>
      </c>
      <c r="E1412" s="5" t="s">
        <v>100</v>
      </c>
    </row>
    <row r="1413" customFormat="false" ht="15" hidden="false" customHeight="true" outlineLevel="0" collapsed="false">
      <c r="A1413" s="5" t="n">
        <v>4811500</v>
      </c>
      <c r="B1413" s="5" t="s">
        <v>501</v>
      </c>
      <c r="C1413" s="5" t="s">
        <v>99</v>
      </c>
      <c r="D1413" s="5" t="s">
        <v>100</v>
      </c>
      <c r="E1413" s="5" t="s">
        <v>100</v>
      </c>
    </row>
    <row r="1414" customFormat="false" ht="15" hidden="false" customHeight="true" outlineLevel="0" collapsed="false">
      <c r="A1414" s="5" t="n">
        <v>4811600</v>
      </c>
      <c r="B1414" s="5" t="s">
        <v>1463</v>
      </c>
      <c r="C1414" s="5" t="s">
        <v>99</v>
      </c>
      <c r="D1414" s="5" t="s">
        <v>114</v>
      </c>
      <c r="E1414" s="5" t="s">
        <v>117</v>
      </c>
    </row>
    <row r="1415" customFormat="false" ht="15" hidden="false" customHeight="true" outlineLevel="0" collapsed="false">
      <c r="A1415" s="5" t="n">
        <v>4811700</v>
      </c>
      <c r="B1415" s="5" t="s">
        <v>1464</v>
      </c>
      <c r="C1415" s="5" t="s">
        <v>99</v>
      </c>
      <c r="D1415" s="5" t="s">
        <v>114</v>
      </c>
      <c r="E1415" s="5" t="s">
        <v>117</v>
      </c>
    </row>
    <row r="1416" customFormat="false" ht="15" hidden="false" customHeight="true" outlineLevel="0" collapsed="false">
      <c r="A1416" s="5" t="n">
        <v>4811800</v>
      </c>
      <c r="B1416" s="5" t="s">
        <v>195</v>
      </c>
      <c r="C1416" s="5" t="s">
        <v>99</v>
      </c>
      <c r="D1416" s="5" t="s">
        <v>114</v>
      </c>
      <c r="E1416" s="5" t="s">
        <v>152</v>
      </c>
    </row>
    <row r="1417" customFormat="false" ht="15" hidden="false" customHeight="true" outlineLevel="0" collapsed="false">
      <c r="A1417" s="5" t="n">
        <v>4815100</v>
      </c>
      <c r="B1417" s="5" t="s">
        <v>1465</v>
      </c>
      <c r="C1417" s="5" t="s">
        <v>142</v>
      </c>
      <c r="D1417" s="5" t="s">
        <v>143</v>
      </c>
      <c r="E1417" s="5" t="s">
        <v>167</v>
      </c>
    </row>
    <row r="1418" customFormat="false" ht="15" hidden="false" customHeight="true" outlineLevel="0" collapsed="false">
      <c r="A1418" s="5" t="n">
        <v>4815200</v>
      </c>
      <c r="B1418" s="5" t="s">
        <v>1466</v>
      </c>
      <c r="C1418" s="5" t="s">
        <v>142</v>
      </c>
      <c r="D1418" s="5" t="s">
        <v>143</v>
      </c>
      <c r="E1418" s="5" t="s">
        <v>167</v>
      </c>
    </row>
    <row r="1419" customFormat="false" ht="15" hidden="false" customHeight="true" outlineLevel="0" collapsed="false">
      <c r="A1419" s="5" t="n">
        <v>4815300</v>
      </c>
      <c r="B1419" s="5" t="s">
        <v>1467</v>
      </c>
      <c r="C1419" s="5" t="s">
        <v>142</v>
      </c>
      <c r="D1419" s="5" t="s">
        <v>143</v>
      </c>
      <c r="E1419" s="5" t="s">
        <v>115</v>
      </c>
    </row>
    <row r="1420" customFormat="false" ht="15" hidden="false" customHeight="true" outlineLevel="0" collapsed="false">
      <c r="A1420" s="5" t="n">
        <v>4821300</v>
      </c>
      <c r="B1420" s="5" t="s">
        <v>453</v>
      </c>
      <c r="C1420" s="5" t="s">
        <v>142</v>
      </c>
      <c r="D1420" s="5" t="s">
        <v>143</v>
      </c>
      <c r="E1420" s="5" t="s">
        <v>167</v>
      </c>
    </row>
    <row r="1421" customFormat="false" ht="15" hidden="false" customHeight="true" outlineLevel="0" collapsed="false">
      <c r="A1421" s="5" t="n">
        <v>4826400</v>
      </c>
      <c r="B1421" s="5" t="s">
        <v>1468</v>
      </c>
      <c r="C1421" s="5" t="s">
        <v>99</v>
      </c>
      <c r="D1421" s="5" t="s">
        <v>114</v>
      </c>
      <c r="E1421" s="5" t="s">
        <v>117</v>
      </c>
    </row>
    <row r="1422" customFormat="false" ht="15" hidden="false" customHeight="true" outlineLevel="0" collapsed="false">
      <c r="A1422" s="5" t="n">
        <v>4830100</v>
      </c>
      <c r="B1422" s="5" t="s">
        <v>1469</v>
      </c>
      <c r="C1422" s="5" t="s">
        <v>142</v>
      </c>
      <c r="D1422" s="5" t="s">
        <v>143</v>
      </c>
      <c r="E1422" s="5" t="s">
        <v>194</v>
      </c>
    </row>
    <row r="1423" customFormat="false" ht="15" hidden="false" customHeight="true" outlineLevel="0" collapsed="false">
      <c r="A1423" s="5" t="n">
        <v>4830200</v>
      </c>
      <c r="B1423" s="5" t="s">
        <v>1470</v>
      </c>
      <c r="C1423" s="5" t="s">
        <v>142</v>
      </c>
      <c r="D1423" s="5" t="s">
        <v>143</v>
      </c>
      <c r="E1423" s="5" t="s">
        <v>194</v>
      </c>
    </row>
    <row r="1424" customFormat="false" ht="15" hidden="false" customHeight="true" outlineLevel="0" collapsed="false">
      <c r="A1424" s="5" t="n">
        <v>4831900</v>
      </c>
      <c r="B1424" s="5" t="s">
        <v>270</v>
      </c>
      <c r="C1424" s="5" t="s">
        <v>99</v>
      </c>
      <c r="D1424" s="5" t="s">
        <v>114</v>
      </c>
      <c r="E1424" s="5" t="s">
        <v>133</v>
      </c>
    </row>
    <row r="1425" customFormat="false" ht="15" hidden="false" customHeight="true" outlineLevel="0" collapsed="false">
      <c r="A1425" s="5" t="n">
        <v>4832000</v>
      </c>
      <c r="B1425" s="5" t="s">
        <v>576</v>
      </c>
      <c r="C1425" s="5" t="s">
        <v>99</v>
      </c>
      <c r="D1425" s="5" t="s">
        <v>114</v>
      </c>
      <c r="E1425" s="5" t="s">
        <v>133</v>
      </c>
    </row>
    <row r="1426" customFormat="false" ht="15" hidden="false" customHeight="true" outlineLevel="0" collapsed="false">
      <c r="A1426" s="5" t="n">
        <v>4832100</v>
      </c>
      <c r="B1426" s="5" t="s">
        <v>777</v>
      </c>
      <c r="C1426" s="5" t="s">
        <v>99</v>
      </c>
      <c r="D1426" s="5" t="s">
        <v>114</v>
      </c>
      <c r="E1426" s="5" t="s">
        <v>133</v>
      </c>
    </row>
    <row r="1427" customFormat="false" ht="15" hidden="false" customHeight="true" outlineLevel="0" collapsed="false">
      <c r="A1427" s="5" t="n">
        <v>4832200</v>
      </c>
      <c r="B1427" s="5" t="s">
        <v>693</v>
      </c>
      <c r="C1427" s="5" t="s">
        <v>99</v>
      </c>
      <c r="D1427" s="5" t="s">
        <v>114</v>
      </c>
      <c r="E1427" s="5" t="s">
        <v>133</v>
      </c>
    </row>
    <row r="1428" customFormat="false" ht="15" hidden="false" customHeight="true" outlineLevel="0" collapsed="false">
      <c r="A1428" s="5" t="n">
        <v>4841600</v>
      </c>
      <c r="B1428" s="5" t="s">
        <v>1471</v>
      </c>
      <c r="C1428" s="5" t="s">
        <v>142</v>
      </c>
      <c r="D1428" s="5" t="s">
        <v>143</v>
      </c>
      <c r="E1428" s="5" t="s">
        <v>264</v>
      </c>
    </row>
    <row r="1429" customFormat="false" ht="15" hidden="false" customHeight="true" outlineLevel="0" collapsed="false">
      <c r="A1429" s="5" t="n">
        <v>4841700</v>
      </c>
      <c r="B1429" s="5" t="s">
        <v>1472</v>
      </c>
      <c r="C1429" s="5" t="s">
        <v>142</v>
      </c>
      <c r="D1429" s="5" t="s">
        <v>143</v>
      </c>
      <c r="E1429" s="5" t="s">
        <v>264</v>
      </c>
    </row>
    <row r="1430" customFormat="false" ht="15" hidden="false" customHeight="true" outlineLevel="0" collapsed="false">
      <c r="A1430" s="5" t="n">
        <v>4841800</v>
      </c>
      <c r="B1430" s="5" t="s">
        <v>1473</v>
      </c>
      <c r="C1430" s="5" t="s">
        <v>142</v>
      </c>
      <c r="D1430" s="5" t="s">
        <v>143</v>
      </c>
      <c r="E1430" s="5" t="s">
        <v>194</v>
      </c>
    </row>
    <row r="1431" customFormat="false" ht="15" hidden="false" customHeight="true" outlineLevel="0" collapsed="false">
      <c r="A1431" s="5" t="n">
        <v>4841900</v>
      </c>
      <c r="B1431" s="5" t="s">
        <v>1474</v>
      </c>
      <c r="C1431" s="5" t="s">
        <v>142</v>
      </c>
      <c r="D1431" s="5" t="s">
        <v>143</v>
      </c>
      <c r="E1431" s="5" t="s">
        <v>194</v>
      </c>
    </row>
    <row r="1432" customFormat="false" ht="15" hidden="false" customHeight="true" outlineLevel="0" collapsed="false">
      <c r="A1432" s="5" t="n">
        <v>4842000</v>
      </c>
      <c r="B1432" s="5" t="s">
        <v>1475</v>
      </c>
      <c r="C1432" s="5" t="s">
        <v>142</v>
      </c>
      <c r="D1432" s="5" t="s">
        <v>143</v>
      </c>
      <c r="E1432" s="5" t="s">
        <v>194</v>
      </c>
    </row>
    <row r="1433" customFormat="false" ht="15" hidden="false" customHeight="true" outlineLevel="0" collapsed="false">
      <c r="A1433" s="5" t="n">
        <v>4842100</v>
      </c>
      <c r="B1433" s="5" t="s">
        <v>1476</v>
      </c>
      <c r="C1433" s="5" t="s">
        <v>142</v>
      </c>
      <c r="D1433" s="5" t="s">
        <v>143</v>
      </c>
      <c r="E1433" s="5" t="s">
        <v>194</v>
      </c>
    </row>
    <row r="1434" customFormat="false" ht="15" hidden="false" customHeight="true" outlineLevel="0" collapsed="false">
      <c r="A1434" s="5" t="n">
        <v>4842200</v>
      </c>
      <c r="B1434" s="5" t="s">
        <v>1477</v>
      </c>
      <c r="C1434" s="5" t="s">
        <v>142</v>
      </c>
      <c r="D1434" s="5" t="s">
        <v>143</v>
      </c>
      <c r="E1434" s="5" t="s">
        <v>194</v>
      </c>
    </row>
    <row r="1435" customFormat="false" ht="15" hidden="false" customHeight="true" outlineLevel="0" collapsed="false">
      <c r="A1435" s="5" t="n">
        <v>4842300</v>
      </c>
      <c r="B1435" s="5" t="s">
        <v>1478</v>
      </c>
      <c r="C1435" s="5" t="s">
        <v>142</v>
      </c>
      <c r="D1435" s="5" t="s">
        <v>143</v>
      </c>
      <c r="E1435" s="5" t="s">
        <v>194</v>
      </c>
    </row>
    <row r="1436" customFormat="false" ht="15" hidden="false" customHeight="true" outlineLevel="0" collapsed="false">
      <c r="A1436" s="5" t="n">
        <v>4842400</v>
      </c>
      <c r="B1436" s="5" t="s">
        <v>1479</v>
      </c>
      <c r="C1436" s="5" t="s">
        <v>142</v>
      </c>
      <c r="D1436" s="5" t="s">
        <v>143</v>
      </c>
      <c r="E1436" s="5" t="s">
        <v>194</v>
      </c>
    </row>
    <row r="1437" customFormat="false" ht="15" hidden="false" customHeight="true" outlineLevel="0" collapsed="false">
      <c r="A1437" s="5" t="n">
        <v>4842500</v>
      </c>
      <c r="B1437" s="5" t="s">
        <v>1480</v>
      </c>
      <c r="C1437" s="5" t="s">
        <v>142</v>
      </c>
      <c r="D1437" s="5" t="s">
        <v>143</v>
      </c>
      <c r="E1437" s="5" t="s">
        <v>194</v>
      </c>
    </row>
    <row r="1438" customFormat="false" ht="15" hidden="false" customHeight="true" outlineLevel="0" collapsed="false">
      <c r="A1438" s="5" t="n">
        <v>4842600</v>
      </c>
      <c r="B1438" s="5" t="s">
        <v>1481</v>
      </c>
      <c r="C1438" s="5" t="s">
        <v>99</v>
      </c>
      <c r="D1438" s="5" t="s">
        <v>114</v>
      </c>
      <c r="E1438" s="5" t="s">
        <v>117</v>
      </c>
    </row>
    <row r="1439" customFormat="false" ht="15" hidden="false" customHeight="true" outlineLevel="0" collapsed="false">
      <c r="A1439" s="5" t="n">
        <v>4842700</v>
      </c>
      <c r="B1439" s="5" t="s">
        <v>1346</v>
      </c>
      <c r="C1439" s="5" t="s">
        <v>142</v>
      </c>
      <c r="D1439" s="5" t="s">
        <v>143</v>
      </c>
      <c r="E1439" s="5" t="s">
        <v>117</v>
      </c>
    </row>
    <row r="1440" customFormat="false" ht="15" hidden="false" customHeight="true" outlineLevel="0" collapsed="false">
      <c r="A1440" s="5" t="n">
        <v>4842800</v>
      </c>
      <c r="B1440" s="5" t="s">
        <v>1482</v>
      </c>
      <c r="C1440" s="5" t="s">
        <v>142</v>
      </c>
      <c r="D1440" s="5" t="s">
        <v>143</v>
      </c>
      <c r="E1440" s="5" t="s">
        <v>117</v>
      </c>
    </row>
    <row r="1441" customFormat="false" ht="15" hidden="false" customHeight="true" outlineLevel="0" collapsed="false">
      <c r="A1441" s="5" t="n">
        <v>4842900</v>
      </c>
      <c r="B1441" s="5" t="s">
        <v>1483</v>
      </c>
      <c r="C1441" s="5" t="s">
        <v>142</v>
      </c>
      <c r="D1441" s="5" t="s">
        <v>143</v>
      </c>
      <c r="E1441" s="5" t="s">
        <v>117</v>
      </c>
    </row>
    <row r="1442" customFormat="false" ht="15" hidden="false" customHeight="true" outlineLevel="0" collapsed="false">
      <c r="A1442" s="5" t="n">
        <v>4843000</v>
      </c>
      <c r="B1442" s="5" t="s">
        <v>1484</v>
      </c>
      <c r="C1442" s="5" t="s">
        <v>142</v>
      </c>
      <c r="D1442" s="5" t="s">
        <v>143</v>
      </c>
      <c r="E1442" s="5" t="s">
        <v>117</v>
      </c>
    </row>
    <row r="1443" customFormat="false" ht="15" hidden="false" customHeight="true" outlineLevel="0" collapsed="false">
      <c r="A1443" s="5" t="n">
        <v>4843100</v>
      </c>
      <c r="B1443" s="5" t="s">
        <v>1485</v>
      </c>
      <c r="C1443" s="5" t="s">
        <v>142</v>
      </c>
      <c r="D1443" s="5" t="s">
        <v>143</v>
      </c>
      <c r="E1443" s="5" t="s">
        <v>117</v>
      </c>
    </row>
    <row r="1444" customFormat="false" ht="15" hidden="false" customHeight="true" outlineLevel="0" collapsed="false">
      <c r="A1444" s="5" t="n">
        <v>4843600</v>
      </c>
      <c r="B1444" s="5" t="s">
        <v>1486</v>
      </c>
      <c r="C1444" s="5" t="s">
        <v>142</v>
      </c>
      <c r="D1444" s="5" t="s">
        <v>143</v>
      </c>
      <c r="E1444" s="5" t="s">
        <v>194</v>
      </c>
    </row>
    <row r="1445" customFormat="false" ht="15" hidden="false" customHeight="true" outlineLevel="0" collapsed="false">
      <c r="A1445" s="5" t="n">
        <v>4848700</v>
      </c>
      <c r="B1445" s="5" t="s">
        <v>1487</v>
      </c>
      <c r="C1445" s="5" t="s">
        <v>142</v>
      </c>
      <c r="D1445" s="5" t="s">
        <v>143</v>
      </c>
      <c r="E1445" s="5" t="s">
        <v>264</v>
      </c>
    </row>
    <row r="1446" customFormat="false" ht="15" hidden="false" customHeight="true" outlineLevel="0" collapsed="false">
      <c r="A1446" s="5" t="n">
        <v>4848800</v>
      </c>
      <c r="B1446" s="5" t="s">
        <v>1488</v>
      </c>
      <c r="C1446" s="5" t="s">
        <v>142</v>
      </c>
      <c r="D1446" s="5" t="s">
        <v>143</v>
      </c>
      <c r="E1446" s="5" t="s">
        <v>172</v>
      </c>
    </row>
    <row r="1447" customFormat="false" ht="15" hidden="false" customHeight="true" outlineLevel="0" collapsed="false">
      <c r="A1447" s="5" t="n">
        <v>4848900</v>
      </c>
      <c r="B1447" s="5" t="s">
        <v>1489</v>
      </c>
      <c r="C1447" s="5" t="s">
        <v>142</v>
      </c>
      <c r="D1447" s="5" t="s">
        <v>143</v>
      </c>
      <c r="E1447" s="5" t="s">
        <v>194</v>
      </c>
    </row>
    <row r="1448" customFormat="false" ht="15" hidden="false" customHeight="true" outlineLevel="0" collapsed="false">
      <c r="A1448" s="5" t="n">
        <v>4849000</v>
      </c>
      <c r="B1448" s="5" t="s">
        <v>1490</v>
      </c>
      <c r="C1448" s="5" t="s">
        <v>142</v>
      </c>
      <c r="D1448" s="5" t="s">
        <v>143</v>
      </c>
      <c r="E1448" s="5" t="s">
        <v>194</v>
      </c>
    </row>
    <row r="1449" customFormat="false" ht="15" hidden="false" customHeight="true" outlineLevel="0" collapsed="false">
      <c r="A1449" s="5" t="n">
        <v>4851000</v>
      </c>
      <c r="B1449" s="5" t="s">
        <v>1491</v>
      </c>
      <c r="C1449" s="5" t="s">
        <v>142</v>
      </c>
      <c r="D1449" s="5" t="s">
        <v>143</v>
      </c>
      <c r="E1449" s="5" t="s">
        <v>194</v>
      </c>
    </row>
    <row r="1450" customFormat="false" ht="15" hidden="false" customHeight="true" outlineLevel="0" collapsed="false">
      <c r="A1450" s="5" t="n">
        <v>4851100</v>
      </c>
      <c r="B1450" s="5" t="s">
        <v>1492</v>
      </c>
      <c r="C1450" s="5" t="s">
        <v>142</v>
      </c>
      <c r="D1450" s="5" t="s">
        <v>143</v>
      </c>
      <c r="E1450" s="5" t="s">
        <v>172</v>
      </c>
    </row>
    <row r="1451" customFormat="false" ht="15" hidden="false" customHeight="true" outlineLevel="0" collapsed="false">
      <c r="A1451" s="5" t="n">
        <v>4851200</v>
      </c>
      <c r="B1451" s="5" t="s">
        <v>1493</v>
      </c>
      <c r="C1451" s="5" t="s">
        <v>142</v>
      </c>
      <c r="D1451" s="5" t="s">
        <v>143</v>
      </c>
      <c r="E1451" s="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11"/>
  </cols>
  <sheetData>
    <row r="1" customFormat="false" ht="15" hidden="false" customHeight="true" outlineLevel="0" collapsed="false">
      <c r="A1" s="4" t="s">
        <v>1494</v>
      </c>
      <c r="B1" s="4" t="s">
        <v>29</v>
      </c>
      <c r="C1" s="4" t="s">
        <v>1495</v>
      </c>
      <c r="D1" s="4" t="s">
        <v>1496</v>
      </c>
      <c r="E1" s="4" t="s">
        <v>1497</v>
      </c>
      <c r="F1" s="4" t="s">
        <v>94</v>
      </c>
      <c r="G1" s="4" t="s">
        <v>1498</v>
      </c>
      <c r="H1" s="4" t="s">
        <v>1499</v>
      </c>
    </row>
    <row r="2" customFormat="false" ht="15" hidden="false" customHeight="true" outlineLevel="0" collapsed="false">
      <c r="A2" s="6" t="n">
        <v>7530016455</v>
      </c>
      <c r="B2" s="6" t="s">
        <v>43</v>
      </c>
      <c r="C2" s="6" t="s">
        <v>1500</v>
      </c>
      <c r="D2" s="6" t="n">
        <v>19</v>
      </c>
      <c r="E2" s="6" t="n">
        <v>1342900</v>
      </c>
      <c r="F2" s="6" t="s">
        <v>153</v>
      </c>
      <c r="G2" s="6" t="n">
        <v>11386369</v>
      </c>
      <c r="H2" s="6" t="n">
        <v>38.34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1"/>
    <col collapsed="false" customWidth="true" hidden="false" outlineLevel="0" max="10" min="10" style="1" width="13"/>
  </cols>
  <sheetData>
    <row r="1" customFormat="false" ht="26.25" hidden="false" customHeight="true" outlineLevel="0" collapsed="false">
      <c r="A1" s="4" t="s">
        <v>1501</v>
      </c>
      <c r="B1" s="4" t="s">
        <v>1502</v>
      </c>
      <c r="C1" s="4" t="s">
        <v>1503</v>
      </c>
      <c r="D1" s="4" t="s">
        <v>93</v>
      </c>
      <c r="E1" s="4" t="s">
        <v>94</v>
      </c>
      <c r="F1" s="4" t="s">
        <v>1504</v>
      </c>
      <c r="G1" s="4" t="s">
        <v>1505</v>
      </c>
      <c r="H1" s="4" t="s">
        <v>1506</v>
      </c>
      <c r="I1" s="4" t="s">
        <v>1507</v>
      </c>
      <c r="J1" s="4" t="s">
        <v>1508</v>
      </c>
    </row>
    <row r="2" customFormat="false" ht="15" hidden="false" customHeight="true" outlineLevel="0" collapsed="false">
      <c r="A2" s="6" t="s">
        <v>1509</v>
      </c>
      <c r="B2" s="6" t="str">
        <f aca="false">IF(A2="","",IFERROR(INDEX(Mercados!$A$2:$A$32,MATCH(A2,Mercados!$B$2:$B$32,0)),"Revisar alias"))</f>
        <v>TS02472</v>
      </c>
      <c r="C2" s="6" t="n">
        <v>1730134137</v>
      </c>
      <c r="D2" s="6" t="n">
        <v>2283700</v>
      </c>
      <c r="E2" s="6" t="s">
        <v>285</v>
      </c>
      <c r="F2" s="6" t="s">
        <v>1510</v>
      </c>
      <c r="G2" s="6" t="n">
        <v>3</v>
      </c>
      <c r="H2" s="6" t="n">
        <v>102</v>
      </c>
      <c r="I2" s="6" t="n">
        <v>327.3</v>
      </c>
      <c r="J2" s="6" t="s">
        <v>1511</v>
      </c>
    </row>
    <row r="3" customFormat="false" ht="15" hidden="false" customHeight="true" outlineLevel="0" collapsed="false">
      <c r="B3" s="1" t="str">
        <f aca="false">IF(A3="","",IFERROR(INDEX(Mercados!$A$2:$A$32,MATCH(A3,Mercados!$B$2:$B$32,0)),"Revisar alias"))</f>
        <v/>
      </c>
    </row>
    <row r="4" customFormat="false" ht="15" hidden="false" customHeight="true" outlineLevel="0" collapsed="false">
      <c r="B4" s="1" t="str">
        <f aca="false">IF(A4="","",IFERROR(INDEX(Mercados!$A$2:$A$32,MATCH(A4,Mercados!$B$2:$B$32,0)),"Revisar alias"))</f>
        <v/>
      </c>
    </row>
    <row r="5" customFormat="false" ht="15" hidden="false" customHeight="true" outlineLevel="0" collapsed="false">
      <c r="B5" s="1" t="str">
        <f aca="false">IF(A5="","",IFERROR(INDEX(Mercados!$A$2:$A$32,MATCH(A5,Mercados!$B$2:$B$32,0)),"Revisar alias"))</f>
        <v/>
      </c>
    </row>
    <row r="6" customFormat="false" ht="15" hidden="false" customHeight="true" outlineLevel="0" collapsed="false">
      <c r="B6" s="1" t="str">
        <f aca="false">IF(A6="","",IFERROR(INDEX(Mercados!$A$2:$A$32,MATCH(A6,Mercados!$B$2:$B$32,0)),"Revisar alias"))</f>
        <v/>
      </c>
    </row>
    <row r="7" customFormat="false" ht="15" hidden="false" customHeight="true" outlineLevel="0" collapsed="false">
      <c r="B7" s="1" t="str">
        <f aca="false">IF(A7="","",IFERROR(INDEX(Mercados!$A$2:$A$32,MATCH(A7,Mercados!$B$2:$B$32,0)),"Revisar alias"))</f>
        <v/>
      </c>
    </row>
    <row r="8" customFormat="false" ht="15" hidden="false" customHeight="true" outlineLevel="0" collapsed="false">
      <c r="B8" s="1" t="str">
        <f aca="false">IF(A8="","",IFERROR(INDEX(Mercados!$A$2:$A$32,MATCH(A8,Mercados!$B$2:$B$32,0)),"Revisar alias"))</f>
        <v/>
      </c>
    </row>
    <row r="9" customFormat="false" ht="15" hidden="false" customHeight="true" outlineLevel="0" collapsed="false">
      <c r="B9" s="1" t="str">
        <f aca="false">IF(A9="","",IFERROR(INDEX(Mercados!$A$2:$A$32,MATCH(A9,Mercados!$B$2:$B$32,0)),"Revisar alias"))</f>
        <v/>
      </c>
    </row>
    <row r="10" customFormat="false" ht="15" hidden="false" customHeight="true" outlineLevel="0" collapsed="false">
      <c r="B10" s="1" t="str">
        <f aca="false">IF(A10="","",IFERROR(INDEX(Mercados!$A$2:$A$32,MATCH(A10,Mercados!$B$2:$B$32,0)),"Revisar alias"))</f>
        <v/>
      </c>
    </row>
    <row r="11" customFormat="false" ht="15" hidden="false" customHeight="true" outlineLevel="0" collapsed="false">
      <c r="B11" s="1" t="str">
        <f aca="false">IF(A11="","",IFERROR(INDEX(Mercados!$A$2:$A$32,MATCH(A11,Mercados!$B$2:$B$32,0)),"Revisar alias"))</f>
        <v/>
      </c>
    </row>
    <row r="12" customFormat="false" ht="15" hidden="false" customHeight="true" outlineLevel="0" collapsed="false">
      <c r="B12" s="1" t="str">
        <f aca="false">IF(A12="","",IFERROR(INDEX(Mercados!$A$2:$A$32,MATCH(A12,Mercados!$B$2:$B$32,0)),"Revisar alias"))</f>
        <v/>
      </c>
    </row>
    <row r="13" customFormat="false" ht="15" hidden="false" customHeight="true" outlineLevel="0" collapsed="false">
      <c r="B13" s="1" t="str">
        <f aca="false">IF(A13="","",IFERROR(INDEX(Mercados!$A$2:$A$32,MATCH(A13,Mercados!$B$2:$B$32,0)),"Revisar alias"))</f>
        <v/>
      </c>
    </row>
    <row r="14" customFormat="false" ht="15" hidden="false" customHeight="true" outlineLevel="0" collapsed="false">
      <c r="B14" s="1" t="str">
        <f aca="false">IF(A14="","",IFERROR(INDEX(Mercados!$A$2:$A$32,MATCH(A14,Mercados!$B$2:$B$32,0)),"Revisar alias"))</f>
        <v/>
      </c>
    </row>
    <row r="15" customFormat="false" ht="15" hidden="false" customHeight="true" outlineLevel="0" collapsed="false">
      <c r="B15" s="1" t="str">
        <f aca="false">IF(A15="","",IFERROR(INDEX(Mercados!$A$2:$A$32,MATCH(A15,Mercados!$B$2:$B$32,0)),"Revisar alias"))</f>
        <v/>
      </c>
    </row>
    <row r="16" customFormat="false" ht="15" hidden="false" customHeight="true" outlineLevel="0" collapsed="false">
      <c r="B16" s="1" t="str">
        <f aca="false">IF(A16="","",IFERROR(INDEX(Mercados!$A$2:$A$32,MATCH(A16,Mercados!$B$2:$B$32,0)),"Revisar alias"))</f>
        <v/>
      </c>
    </row>
    <row r="17" customFormat="false" ht="15" hidden="false" customHeight="true" outlineLevel="0" collapsed="false">
      <c r="B17" s="1" t="str">
        <f aca="false">IF(A17="","",IFERROR(INDEX(Mercados!$A$2:$A$32,MATCH(A17,Mercados!$B$2:$B$32,0)),"Revisar alias"))</f>
        <v/>
      </c>
    </row>
    <row r="18" customFormat="false" ht="15" hidden="false" customHeight="true" outlineLevel="0" collapsed="false">
      <c r="B18" s="1" t="str">
        <f aca="false">IF(A18="","",IFERROR(INDEX(Mercados!$A$2:$A$32,MATCH(A18,Mercados!$B$2:$B$32,0)),"Revisar alias"))</f>
        <v/>
      </c>
    </row>
    <row r="19" customFormat="false" ht="15" hidden="false" customHeight="true" outlineLevel="0" collapsed="false">
      <c r="B19" s="1" t="str">
        <f aca="false">IF(A19="","",IFERROR(INDEX(Mercados!$A$2:$A$32,MATCH(A19,Mercados!$B$2:$B$32,0)),"Revisar alias"))</f>
        <v/>
      </c>
    </row>
    <row r="20" customFormat="false" ht="15" hidden="false" customHeight="true" outlineLevel="0" collapsed="false">
      <c r="B20" s="1" t="str">
        <f aca="false">IF(A20="","",IFERROR(INDEX(Mercados!$A$2:$A$32,MATCH(A20,Mercados!$B$2:$B$32,0)),"Revisar alias"))</f>
        <v/>
      </c>
    </row>
    <row r="21" customFormat="false" ht="15" hidden="false" customHeight="true" outlineLevel="0" collapsed="false">
      <c r="B21" s="1" t="str">
        <f aca="false">IF(A21="","",IFERROR(INDEX(Mercados!$A$2:$A$32,MATCH(A21,Mercados!$B$2:$B$32,0)),"Revisar alias"))</f>
        <v/>
      </c>
    </row>
    <row r="22" customFormat="false" ht="15" hidden="false" customHeight="true" outlineLevel="0" collapsed="false">
      <c r="B22" s="1" t="str">
        <f aca="false">IF(A22="","",IFERROR(INDEX(Mercados!$A$2:$A$32,MATCH(A22,Mercados!$B$2:$B$32,0)),"Revisar alias"))</f>
        <v/>
      </c>
    </row>
    <row r="23" customFormat="false" ht="15" hidden="false" customHeight="true" outlineLevel="0" collapsed="false">
      <c r="B23" s="1" t="str">
        <f aca="false">IF(A23="","",IFERROR(INDEX(Mercados!$A$2:$A$32,MATCH(A23,Mercados!$B$2:$B$32,0)),"Revisar alias"))</f>
        <v/>
      </c>
    </row>
    <row r="24" customFormat="false" ht="15" hidden="false" customHeight="true" outlineLevel="0" collapsed="false">
      <c r="B24" s="1" t="str">
        <f aca="false">IF(A24="","",IFERROR(INDEX(Mercados!$A$2:$A$32,MATCH(A24,Mercados!$B$2:$B$32,0)),"Revisar alias"))</f>
        <v/>
      </c>
    </row>
    <row r="25" customFormat="false" ht="15" hidden="false" customHeight="true" outlineLevel="0" collapsed="false">
      <c r="B25" s="1" t="str">
        <f aca="false">IF(A25="","",IFERROR(INDEX(Mercados!$A$2:$A$32,MATCH(A25,Mercados!$B$2:$B$32,0)),"Revisar alias"))</f>
        <v/>
      </c>
    </row>
    <row r="26" customFormat="false" ht="15" hidden="false" customHeight="true" outlineLevel="0" collapsed="false">
      <c r="B26" s="1" t="str">
        <f aca="false">IF(A26="","",IFERROR(INDEX(Mercados!$A$2:$A$32,MATCH(A26,Mercados!$B$2:$B$32,0)),"Revisar alias"))</f>
        <v/>
      </c>
    </row>
    <row r="27" customFormat="false" ht="15" hidden="false" customHeight="true" outlineLevel="0" collapsed="false">
      <c r="B27" s="1" t="str">
        <f aca="false">IF(A27="","",IFERROR(INDEX(Mercados!$A$2:$A$32,MATCH(A27,Mercados!$B$2:$B$32,0)),"Revisar alias"))</f>
        <v/>
      </c>
    </row>
    <row r="28" customFormat="false" ht="15" hidden="false" customHeight="true" outlineLevel="0" collapsed="false">
      <c r="B28" s="1" t="str">
        <f aca="false">IF(A28="","",IFERROR(INDEX(Mercados!$A$2:$A$32,MATCH(A28,Mercados!$B$2:$B$32,0)),"Revisar alias"))</f>
        <v/>
      </c>
    </row>
    <row r="29" customFormat="false" ht="15" hidden="false" customHeight="true" outlineLevel="0" collapsed="false">
      <c r="B29" s="1" t="str">
        <f aca="false">IF(A29="","",IFERROR(INDEX(Mercados!$A$2:$A$32,MATCH(A29,Mercados!$B$2:$B$32,0)),"Revisar alias"))</f>
        <v/>
      </c>
    </row>
    <row r="30" customFormat="false" ht="15" hidden="false" customHeight="true" outlineLevel="0" collapsed="false">
      <c r="B30" s="1" t="str">
        <f aca="false">IF(A30="","",IFERROR(INDEX(Mercados!$A$2:$A$32,MATCH(A30,Mercados!$B$2:$B$32,0)),"Revisar alias"))</f>
        <v/>
      </c>
    </row>
    <row r="31" customFormat="false" ht="15" hidden="false" customHeight="true" outlineLevel="0" collapsed="false">
      <c r="B31" s="1" t="str">
        <f aca="false">IF(A31="","",IFERROR(INDEX(Mercados!$A$2:$A$32,MATCH(A31,Mercados!$B$2:$B$32,0)),"Revisar alias"))</f>
        <v/>
      </c>
    </row>
    <row r="32" customFormat="false" ht="15" hidden="false" customHeight="true" outlineLevel="0" collapsed="false">
      <c r="B32" s="1" t="str">
        <f aca="false">IF(A32="","",IFERROR(INDEX(Mercados!$A$2:$A$32,MATCH(A32,Mercados!$B$2:$B$32,0)),"Revisar alias"))</f>
        <v/>
      </c>
    </row>
    <row r="33" customFormat="false" ht="15" hidden="false" customHeight="true" outlineLevel="0" collapsed="false">
      <c r="B33" s="1" t="str">
        <f aca="false">IF(A33="","",IFERROR(INDEX(Mercados!$A$2:$A$32,MATCH(A33,Mercados!$B$2:$B$32,0)),"Revisar alias"))</f>
        <v/>
      </c>
    </row>
    <row r="34" customFormat="false" ht="15" hidden="false" customHeight="true" outlineLevel="0" collapsed="false">
      <c r="B34" s="1" t="str">
        <f aca="false">IF(A34="","",IFERROR(INDEX(Mercados!$A$2:$A$32,MATCH(A34,Mercados!$B$2:$B$32,0)),"Revisar alias"))</f>
        <v/>
      </c>
    </row>
    <row r="35" customFormat="false" ht="15" hidden="false" customHeight="true" outlineLevel="0" collapsed="false">
      <c r="B35" s="1" t="str">
        <f aca="false">IF(A35="","",IFERROR(INDEX(Mercados!$A$2:$A$32,MATCH(A35,Mercados!$B$2:$B$32,0)),"Revisar alias"))</f>
        <v/>
      </c>
    </row>
    <row r="36" customFormat="false" ht="15" hidden="false" customHeight="true" outlineLevel="0" collapsed="false">
      <c r="B36" s="1" t="str">
        <f aca="false">IF(A36="","",IFERROR(INDEX(Mercados!$A$2:$A$32,MATCH(A36,Mercados!$B$2:$B$32,0)),"Revisar alias"))</f>
        <v/>
      </c>
    </row>
    <row r="37" customFormat="false" ht="15" hidden="false" customHeight="true" outlineLevel="0" collapsed="false">
      <c r="B37" s="1" t="str">
        <f aca="false">IF(A37="","",IFERROR(INDEX(Mercados!$A$2:$A$32,MATCH(A37,Mercados!$B$2:$B$32,0)),"Revisar alias"))</f>
        <v/>
      </c>
    </row>
    <row r="38" customFormat="false" ht="15" hidden="false" customHeight="true" outlineLevel="0" collapsed="false">
      <c r="B38" s="1" t="str">
        <f aca="false">IF(A38="","",IFERROR(INDEX(Mercados!$A$2:$A$32,MATCH(A38,Mercados!$B$2:$B$32,0)),"Revisar alias"))</f>
        <v/>
      </c>
    </row>
    <row r="39" customFormat="false" ht="15" hidden="false" customHeight="true" outlineLevel="0" collapsed="false">
      <c r="B39" s="1" t="str">
        <f aca="false">IF(A39="","",IFERROR(INDEX(Mercados!$A$2:$A$32,MATCH(A39,Mercados!$B$2:$B$32,0)),"Revisar alias"))</f>
        <v/>
      </c>
    </row>
    <row r="40" customFormat="false" ht="15" hidden="false" customHeight="true" outlineLevel="0" collapsed="false">
      <c r="B40" s="1" t="str">
        <f aca="false">IF(A40="","",IFERROR(INDEX(Mercados!$A$2:$A$32,MATCH(A40,Mercados!$B$2:$B$32,0)),"Revisar alias"))</f>
        <v/>
      </c>
    </row>
    <row r="41" customFormat="false" ht="15" hidden="false" customHeight="true" outlineLevel="0" collapsed="false">
      <c r="B41" s="1" t="str">
        <f aca="false">IF(A41="","",IFERROR(INDEX(Mercados!$A$2:$A$32,MATCH(A41,Mercados!$B$2:$B$32,0)),"Revisar alias"))</f>
        <v/>
      </c>
    </row>
    <row r="42" customFormat="false" ht="15" hidden="false" customHeight="true" outlineLevel="0" collapsed="false">
      <c r="B42" s="1" t="str">
        <f aca="false">IF(A42="","",IFERROR(INDEX(Mercados!$A$2:$A$32,MATCH(A42,Mercados!$B$2:$B$32,0)),"Revisar alias"))</f>
        <v/>
      </c>
    </row>
    <row r="43" customFormat="false" ht="15" hidden="false" customHeight="true" outlineLevel="0" collapsed="false">
      <c r="B43" s="1" t="str">
        <f aca="false">IF(A43="","",IFERROR(INDEX(Mercados!$A$2:$A$32,MATCH(A43,Mercados!$B$2:$B$32,0)),"Revisar alias"))</f>
        <v/>
      </c>
    </row>
    <row r="44" customFormat="false" ht="15" hidden="false" customHeight="true" outlineLevel="0" collapsed="false">
      <c r="B44" s="1" t="str">
        <f aca="false">IF(A44="","",IFERROR(INDEX(Mercados!$A$2:$A$32,MATCH(A44,Mercados!$B$2:$B$32,0)),"Revisar alias"))</f>
        <v/>
      </c>
    </row>
    <row r="45" customFormat="false" ht="15" hidden="false" customHeight="true" outlineLevel="0" collapsed="false">
      <c r="B45" s="1" t="str">
        <f aca="false">IF(A45="","",IFERROR(INDEX(Mercados!$A$2:$A$32,MATCH(A45,Mercados!$B$2:$B$32,0)),"Revisar alias"))</f>
        <v/>
      </c>
    </row>
    <row r="46" customFormat="false" ht="15" hidden="false" customHeight="true" outlineLevel="0" collapsed="false">
      <c r="B46" s="1" t="str">
        <f aca="false">IF(A46="","",IFERROR(INDEX(Mercados!$A$2:$A$32,MATCH(A46,Mercados!$B$2:$B$32,0)),"Revisar alias"))</f>
        <v/>
      </c>
    </row>
    <row r="47" customFormat="false" ht="15" hidden="false" customHeight="true" outlineLevel="0" collapsed="false">
      <c r="B47" s="1" t="str">
        <f aca="false">IF(A47="","",IFERROR(INDEX(Mercados!$A$2:$A$32,MATCH(A47,Mercados!$B$2:$B$32,0)),"Revisar alias"))</f>
        <v/>
      </c>
    </row>
    <row r="48" customFormat="false" ht="15" hidden="false" customHeight="true" outlineLevel="0" collapsed="false">
      <c r="B48" s="1" t="str">
        <f aca="false">IF(A48="","",IFERROR(INDEX(Mercados!$A$2:$A$32,MATCH(A48,Mercados!$B$2:$B$32,0)),"Revisar alias"))</f>
        <v/>
      </c>
    </row>
    <row r="49" customFormat="false" ht="15" hidden="false" customHeight="true" outlineLevel="0" collapsed="false">
      <c r="B49" s="1" t="str">
        <f aca="false">IF(A49="","",IFERROR(INDEX(Mercados!$A$2:$A$32,MATCH(A49,Mercados!$B$2:$B$32,0)),"Revisar alias"))</f>
        <v/>
      </c>
    </row>
    <row r="50" customFormat="false" ht="15" hidden="false" customHeight="true" outlineLevel="0" collapsed="false">
      <c r="B50" s="1" t="str">
        <f aca="false">IF(A50="","",IFERROR(INDEX(Mercados!$A$2:$A$32,MATCH(A50,Mercados!$B$2:$B$32,0)),"Revisar alias"))</f>
        <v/>
      </c>
    </row>
    <row r="51" customFormat="false" ht="15" hidden="false" customHeight="true" outlineLevel="0" collapsed="false">
      <c r="B51" s="1" t="str">
        <f aca="false">IF(A51="","",IFERROR(INDEX(Mercados!$A$2:$A$32,MATCH(A51,Mercados!$B$2:$B$32,0)),"Revisar alias"))</f>
        <v/>
      </c>
    </row>
    <row r="52" customFormat="false" ht="15" hidden="false" customHeight="true" outlineLevel="0" collapsed="false">
      <c r="B52" s="1" t="str">
        <f aca="false">IF(A52="","",IFERROR(INDEX(Mercados!$A$2:$A$32,MATCH(A52,Mercados!$B$2:$B$32,0)),"Revisar alias"))</f>
        <v/>
      </c>
    </row>
    <row r="53" customFormat="false" ht="15" hidden="false" customHeight="true" outlineLevel="0" collapsed="false">
      <c r="B53" s="1" t="str">
        <f aca="false">IF(A53="","",IFERROR(INDEX(Mercados!$A$2:$A$32,MATCH(A53,Mercados!$B$2:$B$32,0)),"Revisar alias"))</f>
        <v/>
      </c>
    </row>
    <row r="54" customFormat="false" ht="15" hidden="false" customHeight="true" outlineLevel="0" collapsed="false">
      <c r="B54" s="1" t="str">
        <f aca="false">IF(A54="","",IFERROR(INDEX(Mercados!$A$2:$A$32,MATCH(A54,Mercados!$B$2:$B$32,0)),"Revisar alias"))</f>
        <v/>
      </c>
    </row>
    <row r="55" customFormat="false" ht="15" hidden="false" customHeight="true" outlineLevel="0" collapsed="false">
      <c r="B55" s="1" t="str">
        <f aca="false">IF(A55="","",IFERROR(INDEX(Mercados!$A$2:$A$32,MATCH(A55,Mercados!$B$2:$B$32,0)),"Revisar alias"))</f>
        <v/>
      </c>
    </row>
    <row r="56" customFormat="false" ht="15" hidden="false" customHeight="true" outlineLevel="0" collapsed="false">
      <c r="B56" s="1" t="str">
        <f aca="false">IF(A56="","",IFERROR(INDEX(Mercados!$A$2:$A$32,MATCH(A56,Mercados!$B$2:$B$32,0)),"Revisar alias"))</f>
        <v/>
      </c>
    </row>
    <row r="57" customFormat="false" ht="15" hidden="false" customHeight="true" outlineLevel="0" collapsed="false">
      <c r="B57" s="1" t="str">
        <f aca="false">IF(A57="","",IFERROR(INDEX(Mercados!$A$2:$A$32,MATCH(A57,Mercados!$B$2:$B$32,0)),"Revisar alias"))</f>
        <v/>
      </c>
    </row>
    <row r="58" customFormat="false" ht="15" hidden="false" customHeight="true" outlineLevel="0" collapsed="false">
      <c r="B58" s="1" t="str">
        <f aca="false">IF(A58="","",IFERROR(INDEX(Mercados!$A$2:$A$32,MATCH(A58,Mercados!$B$2:$B$32,0)),"Revisar alias"))</f>
        <v/>
      </c>
    </row>
    <row r="59" customFormat="false" ht="15" hidden="false" customHeight="true" outlineLevel="0" collapsed="false">
      <c r="B59" s="1" t="str">
        <f aca="false">IF(A59="","",IFERROR(INDEX(Mercados!$A$2:$A$32,MATCH(A59,Mercados!$B$2:$B$32,0)),"Revisar alias"))</f>
        <v/>
      </c>
    </row>
    <row r="60" customFormat="false" ht="15" hidden="false" customHeight="true" outlineLevel="0" collapsed="false">
      <c r="B60" s="1" t="str">
        <f aca="false">IF(A60="","",IFERROR(INDEX(Mercados!$A$2:$A$32,MATCH(A60,Mercados!$B$2:$B$32,0)),"Revisar alias"))</f>
        <v/>
      </c>
    </row>
    <row r="61" customFormat="false" ht="15" hidden="false" customHeight="true" outlineLevel="0" collapsed="false">
      <c r="B61" s="1" t="str">
        <f aca="false">IF(A61="","",IFERROR(INDEX(Mercados!$A$2:$A$32,MATCH(A61,Mercados!$B$2:$B$32,0)),"Revisar alias"))</f>
        <v/>
      </c>
    </row>
    <row r="62" customFormat="false" ht="15" hidden="false" customHeight="true" outlineLevel="0" collapsed="false">
      <c r="B62" s="1" t="str">
        <f aca="false">IF(A62="","",IFERROR(INDEX(Mercados!$A$2:$A$32,MATCH(A62,Mercados!$B$2:$B$32,0)),"Revisar alias"))</f>
        <v/>
      </c>
    </row>
    <row r="63" customFormat="false" ht="15" hidden="false" customHeight="true" outlineLevel="0" collapsed="false">
      <c r="B63" s="1" t="str">
        <f aca="false">IF(A63="","",IFERROR(INDEX(Mercados!$A$2:$A$32,MATCH(A63,Mercados!$B$2:$B$32,0)),"Revisar alias"))</f>
        <v/>
      </c>
    </row>
    <row r="64" customFormat="false" ht="15" hidden="false" customHeight="true" outlineLevel="0" collapsed="false">
      <c r="B64" s="1" t="str">
        <f aca="false">IF(A64="","",IFERROR(INDEX(Mercados!$A$2:$A$32,MATCH(A64,Mercados!$B$2:$B$32,0)),"Revisar alias"))</f>
        <v/>
      </c>
    </row>
    <row r="65" customFormat="false" ht="15" hidden="false" customHeight="true" outlineLevel="0" collapsed="false">
      <c r="B65" s="1" t="str">
        <f aca="false">IF(A65="","",IFERROR(INDEX(Mercados!$A$2:$A$32,MATCH(A65,Mercados!$B$2:$B$32,0)),"Revisar alias"))</f>
        <v/>
      </c>
    </row>
    <row r="66" customFormat="false" ht="15" hidden="false" customHeight="true" outlineLevel="0" collapsed="false">
      <c r="B66" s="1" t="str">
        <f aca="false">IF(A66="","",IFERROR(INDEX(Mercados!$A$2:$A$32,MATCH(A66,Mercados!$B$2:$B$32,0)),"Revisar alias"))</f>
        <v/>
      </c>
    </row>
    <row r="67" customFormat="false" ht="15" hidden="false" customHeight="true" outlineLevel="0" collapsed="false">
      <c r="B67" s="1" t="str">
        <f aca="false">IF(A67="","",IFERROR(INDEX(Mercados!$A$2:$A$32,MATCH(A67,Mercados!$B$2:$B$32,0)),"Revisar alias"))</f>
        <v/>
      </c>
    </row>
    <row r="68" customFormat="false" ht="15" hidden="false" customHeight="true" outlineLevel="0" collapsed="false">
      <c r="B68" s="1" t="str">
        <f aca="false">IF(A68="","",IFERROR(INDEX(Mercados!$A$2:$A$32,MATCH(A68,Mercados!$B$2:$B$32,0)),"Revisar alias"))</f>
        <v/>
      </c>
    </row>
    <row r="69" customFormat="false" ht="15" hidden="false" customHeight="true" outlineLevel="0" collapsed="false">
      <c r="B69" s="1" t="str">
        <f aca="false">IF(A69="","",IFERROR(INDEX(Mercados!$A$2:$A$32,MATCH(A69,Mercados!$B$2:$B$32,0)),"Revisar alias"))</f>
        <v/>
      </c>
    </row>
    <row r="70" customFormat="false" ht="15" hidden="false" customHeight="true" outlineLevel="0" collapsed="false">
      <c r="B70" s="1" t="str">
        <f aca="false">IF(A70="","",IFERROR(INDEX(Mercados!$A$2:$A$32,MATCH(A70,Mercados!$B$2:$B$32,0)),"Revisar alias"))</f>
        <v/>
      </c>
    </row>
    <row r="71" customFormat="false" ht="15" hidden="false" customHeight="true" outlineLevel="0" collapsed="false">
      <c r="B71" s="1" t="str">
        <f aca="false">IF(A71="","",IFERROR(INDEX(Mercados!$A$2:$A$32,MATCH(A71,Mercados!$B$2:$B$32,0)),"Revisar alias"))</f>
        <v/>
      </c>
    </row>
    <row r="72" customFormat="false" ht="15" hidden="false" customHeight="true" outlineLevel="0" collapsed="false">
      <c r="B72" s="1" t="str">
        <f aca="false">IF(A72="","",IFERROR(INDEX(Mercados!$A$2:$A$32,MATCH(A72,Mercados!$B$2:$B$32,0)),"Revisar alias"))</f>
        <v/>
      </c>
    </row>
    <row r="73" customFormat="false" ht="15" hidden="false" customHeight="true" outlineLevel="0" collapsed="false">
      <c r="B73" s="1" t="str">
        <f aca="false">IF(A73="","",IFERROR(INDEX(Mercados!$A$2:$A$32,MATCH(A73,Mercados!$B$2:$B$32,0)),"Revisar alias"))</f>
        <v/>
      </c>
    </row>
    <row r="74" customFormat="false" ht="15" hidden="false" customHeight="true" outlineLevel="0" collapsed="false">
      <c r="B74" s="1" t="str">
        <f aca="false">IF(A74="","",IFERROR(INDEX(Mercados!$A$2:$A$32,MATCH(A74,Mercados!$B$2:$B$32,0)),"Revisar alias"))</f>
        <v/>
      </c>
    </row>
    <row r="75" customFormat="false" ht="15" hidden="false" customHeight="true" outlineLevel="0" collapsed="false">
      <c r="B75" s="1" t="str">
        <f aca="false">IF(A75="","",IFERROR(INDEX(Mercados!$A$2:$A$32,MATCH(A75,Mercados!$B$2:$B$32,0)),"Revisar alias"))</f>
        <v/>
      </c>
    </row>
    <row r="76" customFormat="false" ht="15" hidden="false" customHeight="true" outlineLevel="0" collapsed="false">
      <c r="B76" s="1" t="str">
        <f aca="false">IF(A76="","",IFERROR(INDEX(Mercados!$A$2:$A$32,MATCH(A76,Mercados!$B$2:$B$32,0)),"Revisar alias"))</f>
        <v/>
      </c>
    </row>
    <row r="77" customFormat="false" ht="15" hidden="false" customHeight="true" outlineLevel="0" collapsed="false">
      <c r="B77" s="1" t="str">
        <f aca="false">IF(A77="","",IFERROR(INDEX(Mercados!$A$2:$A$32,MATCH(A77,Mercados!$B$2:$B$32,0)),"Revisar alias"))</f>
        <v/>
      </c>
    </row>
    <row r="78" customFormat="false" ht="15" hidden="false" customHeight="true" outlineLevel="0" collapsed="false">
      <c r="B78" s="1" t="str">
        <f aca="false">IF(A78="","",IFERROR(INDEX(Mercados!$A$2:$A$32,MATCH(A78,Mercados!$B$2:$B$32,0)),"Revisar alias"))</f>
        <v/>
      </c>
    </row>
    <row r="79" customFormat="false" ht="15" hidden="false" customHeight="true" outlineLevel="0" collapsed="false">
      <c r="B79" s="1" t="str">
        <f aca="false">IF(A79="","",IFERROR(INDEX(Mercados!$A$2:$A$32,MATCH(A79,Mercados!$B$2:$B$32,0)),"Revisar alias"))</f>
        <v/>
      </c>
    </row>
    <row r="80" customFormat="false" ht="15" hidden="false" customHeight="true" outlineLevel="0" collapsed="false">
      <c r="B80" s="1" t="str">
        <f aca="false">IF(A80="","",IFERROR(INDEX(Mercados!$A$2:$A$32,MATCH(A80,Mercados!$B$2:$B$32,0)),"Revisar alias"))</f>
        <v/>
      </c>
    </row>
    <row r="81" customFormat="false" ht="15" hidden="false" customHeight="true" outlineLevel="0" collapsed="false">
      <c r="B81" s="1" t="str">
        <f aca="false">IF(A81="","",IFERROR(INDEX(Mercados!$A$2:$A$32,MATCH(A81,Mercados!$B$2:$B$32,0)),"Revisar alias"))</f>
        <v/>
      </c>
    </row>
    <row r="82" customFormat="false" ht="15" hidden="false" customHeight="true" outlineLevel="0" collapsed="false">
      <c r="B82" s="1" t="str">
        <f aca="false">IF(A82="","",IFERROR(INDEX(Mercados!$A$2:$A$32,MATCH(A82,Mercados!$B$2:$B$32,0)),"Revisar alias"))</f>
        <v/>
      </c>
    </row>
    <row r="83" customFormat="false" ht="15" hidden="false" customHeight="true" outlineLevel="0" collapsed="false">
      <c r="B83" s="1" t="str">
        <f aca="false">IF(A83="","",IFERROR(INDEX(Mercados!$A$2:$A$32,MATCH(A83,Mercados!$B$2:$B$32,0)),"Revisar alias"))</f>
        <v/>
      </c>
    </row>
    <row r="84" customFormat="false" ht="15" hidden="false" customHeight="true" outlineLevel="0" collapsed="false">
      <c r="B84" s="1" t="str">
        <f aca="false">IF(A84="","",IFERROR(INDEX(Mercados!$A$2:$A$32,MATCH(A84,Mercados!$B$2:$B$32,0)),"Revisar alias"))</f>
        <v/>
      </c>
    </row>
    <row r="85" customFormat="false" ht="15" hidden="false" customHeight="true" outlineLevel="0" collapsed="false">
      <c r="B85" s="1" t="str">
        <f aca="false">IF(A85="","",IFERROR(INDEX(Mercados!$A$2:$A$32,MATCH(A85,Mercados!$B$2:$B$32,0)),"Revisar alias"))</f>
        <v/>
      </c>
    </row>
    <row r="86" customFormat="false" ht="15" hidden="false" customHeight="true" outlineLevel="0" collapsed="false">
      <c r="B86" s="1" t="str">
        <f aca="false">IF(A86="","",IFERROR(INDEX(Mercados!$A$2:$A$32,MATCH(A86,Mercados!$B$2:$B$32,0)),"Revisar alias"))</f>
        <v/>
      </c>
    </row>
    <row r="87" customFormat="false" ht="15" hidden="false" customHeight="true" outlineLevel="0" collapsed="false">
      <c r="B87" s="1" t="str">
        <f aca="false">IF(A87="","",IFERROR(INDEX(Mercados!$A$2:$A$32,MATCH(A87,Mercados!$B$2:$B$32,0)),"Revisar alias"))</f>
        <v/>
      </c>
    </row>
    <row r="88" customFormat="false" ht="15" hidden="false" customHeight="true" outlineLevel="0" collapsed="false">
      <c r="B88" s="1" t="str">
        <f aca="false">IF(A88="","",IFERROR(INDEX(Mercados!$A$2:$A$32,MATCH(A88,Mercados!$B$2:$B$32,0)),"Revisar alias"))</f>
        <v/>
      </c>
    </row>
    <row r="89" customFormat="false" ht="15" hidden="false" customHeight="true" outlineLevel="0" collapsed="false">
      <c r="B89" s="1" t="str">
        <f aca="false">IF(A89="","",IFERROR(INDEX(Mercados!$A$2:$A$32,MATCH(A89,Mercados!$B$2:$B$32,0)),"Revisar alias"))</f>
        <v/>
      </c>
    </row>
    <row r="90" customFormat="false" ht="15" hidden="false" customHeight="true" outlineLevel="0" collapsed="false">
      <c r="B90" s="1" t="str">
        <f aca="false">IF(A90="","",IFERROR(INDEX(Mercados!$A$2:$A$32,MATCH(A90,Mercados!$B$2:$B$32,0)),"Revisar alias"))</f>
        <v/>
      </c>
    </row>
    <row r="91" customFormat="false" ht="15" hidden="false" customHeight="true" outlineLevel="0" collapsed="false">
      <c r="B91" s="1" t="str">
        <f aca="false">IF(A91="","",IFERROR(INDEX(Mercados!$A$2:$A$32,MATCH(A91,Mercados!$B$2:$B$32,0)),"Revisar alias"))</f>
        <v/>
      </c>
    </row>
    <row r="92" customFormat="false" ht="15" hidden="false" customHeight="true" outlineLevel="0" collapsed="false">
      <c r="B92" s="1" t="str">
        <f aca="false">IF(A92="","",IFERROR(INDEX(Mercados!$A$2:$A$32,MATCH(A92,Mercados!$B$2:$B$32,0)),"Revisar alias"))</f>
        <v/>
      </c>
    </row>
    <row r="93" customFormat="false" ht="15" hidden="false" customHeight="true" outlineLevel="0" collapsed="false">
      <c r="B93" s="1" t="str">
        <f aca="false">IF(A93="","",IFERROR(INDEX(Mercados!$A$2:$A$32,MATCH(A93,Mercados!$B$2:$B$32,0)),"Revisar alias"))</f>
        <v/>
      </c>
    </row>
    <row r="94" customFormat="false" ht="15" hidden="false" customHeight="true" outlineLevel="0" collapsed="false">
      <c r="B94" s="1" t="str">
        <f aca="false">IF(A94="","",IFERROR(INDEX(Mercados!$A$2:$A$32,MATCH(A94,Mercados!$B$2:$B$32,0)),"Revisar alias"))</f>
        <v/>
      </c>
    </row>
    <row r="95" customFormat="false" ht="15" hidden="false" customHeight="true" outlineLevel="0" collapsed="false">
      <c r="B95" s="1" t="str">
        <f aca="false">IF(A95="","",IFERROR(INDEX(Mercados!$A$2:$A$32,MATCH(A95,Mercados!$B$2:$B$32,0)),"Revisar alias"))</f>
        <v/>
      </c>
    </row>
    <row r="96" customFormat="false" ht="15" hidden="false" customHeight="true" outlineLevel="0" collapsed="false">
      <c r="B96" s="1" t="str">
        <f aca="false">IF(A96="","",IFERROR(INDEX(Mercados!$A$2:$A$32,MATCH(A96,Mercados!$B$2:$B$32,0)),"Revisar alias"))</f>
        <v/>
      </c>
    </row>
    <row r="97" customFormat="false" ht="15" hidden="false" customHeight="true" outlineLevel="0" collapsed="false">
      <c r="B97" s="1" t="str">
        <f aca="false">IF(A97="","",IFERROR(INDEX(Mercados!$A$2:$A$32,MATCH(A97,Mercados!$B$2:$B$32,0)),"Revisar alias"))</f>
        <v/>
      </c>
    </row>
    <row r="98" customFormat="false" ht="15" hidden="false" customHeight="true" outlineLevel="0" collapsed="false">
      <c r="B98" s="1" t="str">
        <f aca="false">IF(A98="","",IFERROR(INDEX(Mercados!$A$2:$A$32,MATCH(A98,Mercados!$B$2:$B$32,0)),"Revisar alias"))</f>
        <v/>
      </c>
    </row>
    <row r="99" customFormat="false" ht="15" hidden="false" customHeight="true" outlineLevel="0" collapsed="false">
      <c r="B99" s="1" t="str">
        <f aca="false">IF(A99="","",IFERROR(INDEX(Mercados!$A$2:$A$32,MATCH(A99,Mercados!$B$2:$B$32,0)),"Revisar alias"))</f>
        <v/>
      </c>
    </row>
    <row r="100" customFormat="false" ht="15" hidden="false" customHeight="true" outlineLevel="0" collapsed="false">
      <c r="B100" s="1" t="str">
        <f aca="false">IF(A100="","",IFERROR(INDEX(Mercados!$A$2:$A$32,MATCH(A100,Mercados!$B$2:$B$32,0)),"Revisar alias"))</f>
        <v/>
      </c>
    </row>
    <row r="101" customFormat="false" ht="15" hidden="false" customHeight="true" outlineLevel="0" collapsed="false">
      <c r="B101" s="1" t="str">
        <f aca="false">IF(A101="","",IFERROR(INDEX(Mercados!$A$2:$A$32,MATCH(A101,Mercados!$B$2:$B$32,0)),"Revisar alias"))</f>
        <v/>
      </c>
    </row>
    <row r="102" customFormat="false" ht="15" hidden="false" customHeight="true" outlineLevel="0" collapsed="false">
      <c r="B102" s="1" t="str">
        <f aca="false">IF(A102="","",IFERROR(INDEX(Mercados!$A$2:$A$32,MATCH(A102,Mercados!$B$2:$B$32,0)),"Revisar alias"))</f>
        <v/>
      </c>
    </row>
    <row r="103" customFormat="false" ht="15" hidden="false" customHeight="true" outlineLevel="0" collapsed="false">
      <c r="B103" s="1" t="str">
        <f aca="false">IF(A103="","",IFERROR(INDEX(Mercados!$A$2:$A$32,MATCH(A103,Mercados!$B$2:$B$32,0)),"Revisar alias"))</f>
        <v/>
      </c>
    </row>
    <row r="104" customFormat="false" ht="15" hidden="false" customHeight="true" outlineLevel="0" collapsed="false">
      <c r="B104" s="1" t="str">
        <f aca="false">IF(A104="","",IFERROR(INDEX(Mercados!$A$2:$A$32,MATCH(A104,Mercados!$B$2:$B$32,0)),"Revisar alias"))</f>
        <v/>
      </c>
    </row>
    <row r="105" customFormat="false" ht="15" hidden="false" customHeight="true" outlineLevel="0" collapsed="false">
      <c r="B105" s="1" t="str">
        <f aca="false">IF(A105="","",IFERROR(INDEX(Mercados!$A$2:$A$32,MATCH(A105,Mercados!$B$2:$B$32,0)),"Revisar alias"))</f>
        <v/>
      </c>
    </row>
    <row r="106" customFormat="false" ht="15" hidden="false" customHeight="true" outlineLevel="0" collapsed="false">
      <c r="B106" s="1" t="str">
        <f aca="false">IF(A106="","",IFERROR(INDEX(Mercados!$A$2:$A$32,MATCH(A106,Mercados!$B$2:$B$32,0)),"Revisar alias"))</f>
        <v/>
      </c>
    </row>
    <row r="107" customFormat="false" ht="15" hidden="false" customHeight="true" outlineLevel="0" collapsed="false">
      <c r="B107" s="1" t="str">
        <f aca="false">IF(A107="","",IFERROR(INDEX(Mercados!$A$2:$A$32,MATCH(A107,Mercados!$B$2:$B$32,0)),"Revisar alias"))</f>
        <v/>
      </c>
    </row>
    <row r="108" customFormat="false" ht="15" hidden="false" customHeight="true" outlineLevel="0" collapsed="false">
      <c r="B108" s="1" t="str">
        <f aca="false">IF(A108="","",IFERROR(INDEX(Mercados!$A$2:$A$32,MATCH(A108,Mercados!$B$2:$B$32,0)),"Revisar alias"))</f>
        <v/>
      </c>
    </row>
    <row r="109" customFormat="false" ht="15" hidden="false" customHeight="true" outlineLevel="0" collapsed="false">
      <c r="B109" s="1" t="str">
        <f aca="false">IF(A109="","",IFERROR(INDEX(Mercados!$A$2:$A$32,MATCH(A109,Mercados!$B$2:$B$32,0)),"Revisar alias"))</f>
        <v/>
      </c>
    </row>
    <row r="110" customFormat="false" ht="15" hidden="false" customHeight="true" outlineLevel="0" collapsed="false">
      <c r="B110" s="1" t="str">
        <f aca="false">IF(A110="","",IFERROR(INDEX(Mercados!$A$2:$A$32,MATCH(A110,Mercados!$B$2:$B$32,0)),"Revisar alias"))</f>
        <v/>
      </c>
    </row>
    <row r="111" customFormat="false" ht="15" hidden="false" customHeight="true" outlineLevel="0" collapsed="false">
      <c r="B111" s="1" t="str">
        <f aca="false">IF(A111="","",IFERROR(INDEX(Mercados!$A$2:$A$32,MATCH(A111,Mercados!$B$2:$B$32,0)),"Revisar alias"))</f>
        <v/>
      </c>
    </row>
    <row r="112" customFormat="false" ht="15" hidden="false" customHeight="true" outlineLevel="0" collapsed="false">
      <c r="B112" s="1" t="str">
        <f aca="false">IF(A112="","",IFERROR(INDEX(Mercados!$A$2:$A$32,MATCH(A112,Mercados!$B$2:$B$32,0)),"Revisar alias"))</f>
        <v/>
      </c>
    </row>
    <row r="113" customFormat="false" ht="15" hidden="false" customHeight="true" outlineLevel="0" collapsed="false">
      <c r="B113" s="1" t="str">
        <f aca="false">IF(A113="","",IFERROR(INDEX(Mercados!$A$2:$A$32,MATCH(A113,Mercados!$B$2:$B$32,0)),"Revisar alias"))</f>
        <v/>
      </c>
    </row>
    <row r="114" customFormat="false" ht="15" hidden="false" customHeight="true" outlineLevel="0" collapsed="false">
      <c r="B114" s="1" t="str">
        <f aca="false">IF(A114="","",IFERROR(INDEX(Mercados!$A$2:$A$32,MATCH(A114,Mercados!$B$2:$B$32,0)),"Revisar alias"))</f>
        <v/>
      </c>
    </row>
    <row r="115" customFormat="false" ht="15" hidden="false" customHeight="true" outlineLevel="0" collapsed="false">
      <c r="B115" s="1" t="str">
        <f aca="false">IF(A115="","",IFERROR(INDEX(Mercados!$A$2:$A$32,MATCH(A115,Mercados!$B$2:$B$32,0)),"Revisar alias"))</f>
        <v/>
      </c>
    </row>
    <row r="116" customFormat="false" ht="15" hidden="false" customHeight="true" outlineLevel="0" collapsed="false">
      <c r="B116" s="1" t="str">
        <f aca="false">IF(A116="","",IFERROR(INDEX(Mercados!$A$2:$A$32,MATCH(A116,Mercados!$B$2:$B$32,0)),"Revisar alias"))</f>
        <v/>
      </c>
    </row>
    <row r="117" customFormat="false" ht="15" hidden="false" customHeight="true" outlineLevel="0" collapsed="false">
      <c r="B117" s="1" t="str">
        <f aca="false">IF(A117="","",IFERROR(INDEX(Mercados!$A$2:$A$32,MATCH(A117,Mercados!$B$2:$B$32,0)),"Revisar alias"))</f>
        <v/>
      </c>
    </row>
    <row r="118" customFormat="false" ht="15" hidden="false" customHeight="true" outlineLevel="0" collapsed="false">
      <c r="B118" s="1" t="str">
        <f aca="false">IF(A118="","",IFERROR(INDEX(Mercados!$A$2:$A$32,MATCH(A118,Mercados!$B$2:$B$32,0)),"Revisar alias"))</f>
        <v/>
      </c>
    </row>
    <row r="119" customFormat="false" ht="15" hidden="false" customHeight="true" outlineLevel="0" collapsed="false">
      <c r="B119" s="1" t="str">
        <f aca="false">IF(A119="","",IFERROR(INDEX(Mercados!$A$2:$A$32,MATCH(A119,Mercados!$B$2:$B$32,0)),"Revisar alias"))</f>
        <v/>
      </c>
    </row>
    <row r="120" customFormat="false" ht="15" hidden="false" customHeight="true" outlineLevel="0" collapsed="false">
      <c r="B120" s="1" t="str">
        <f aca="false">IF(A120="","",IFERROR(INDEX(Mercados!$A$2:$A$32,MATCH(A120,Mercados!$B$2:$B$32,0)),"Revisar alias"))</f>
        <v/>
      </c>
    </row>
    <row r="121" customFormat="false" ht="15" hidden="false" customHeight="true" outlineLevel="0" collapsed="false">
      <c r="B121" s="1" t="str">
        <f aca="false">IF(A121="","",IFERROR(INDEX(Mercados!$A$2:$A$32,MATCH(A121,Mercados!$B$2:$B$32,0)),"Revisar alias"))</f>
        <v/>
      </c>
    </row>
    <row r="122" customFormat="false" ht="15" hidden="false" customHeight="true" outlineLevel="0" collapsed="false">
      <c r="B122" s="1" t="str">
        <f aca="false">IF(A122="","",IFERROR(INDEX(Mercados!$A$2:$A$32,MATCH(A122,Mercados!$B$2:$B$32,0)),"Revisar alias"))</f>
        <v/>
      </c>
    </row>
    <row r="123" customFormat="false" ht="15" hidden="false" customHeight="true" outlineLevel="0" collapsed="false">
      <c r="B123" s="1" t="str">
        <f aca="false">IF(A123="","",IFERROR(INDEX(Mercados!$A$2:$A$32,MATCH(A123,Mercados!$B$2:$B$32,0)),"Revisar alias"))</f>
        <v/>
      </c>
    </row>
    <row r="124" customFormat="false" ht="15" hidden="false" customHeight="true" outlineLevel="0" collapsed="false">
      <c r="B124" s="1" t="str">
        <f aca="false">IF(A124="","",IFERROR(INDEX(Mercados!$A$2:$A$32,MATCH(A124,Mercados!$B$2:$B$32,0)),"Revisar alias"))</f>
        <v/>
      </c>
    </row>
    <row r="125" customFormat="false" ht="15" hidden="false" customHeight="true" outlineLevel="0" collapsed="false">
      <c r="B125" s="1" t="str">
        <f aca="false">IF(A125="","",IFERROR(INDEX(Mercados!$A$2:$A$32,MATCH(A125,Mercados!$B$2:$B$32,0)),"Revisar alias"))</f>
        <v/>
      </c>
    </row>
    <row r="126" customFormat="false" ht="15" hidden="false" customHeight="true" outlineLevel="0" collapsed="false">
      <c r="B126" s="1" t="str">
        <f aca="false">IF(A126="","",IFERROR(INDEX(Mercados!$A$2:$A$32,MATCH(A126,Mercados!$B$2:$B$32,0)),"Revisar alias"))</f>
        <v/>
      </c>
    </row>
    <row r="127" customFormat="false" ht="15" hidden="false" customHeight="true" outlineLevel="0" collapsed="false">
      <c r="B127" s="1" t="str">
        <f aca="false">IF(A127="","",IFERROR(INDEX(Mercados!$A$2:$A$32,MATCH(A127,Mercados!$B$2:$B$32,0)),"Revisar alias"))</f>
        <v/>
      </c>
    </row>
    <row r="128" customFormat="false" ht="15" hidden="false" customHeight="true" outlineLevel="0" collapsed="false">
      <c r="B128" s="1" t="str">
        <f aca="false">IF(A128="","",IFERROR(INDEX(Mercados!$A$2:$A$32,MATCH(A128,Mercados!$B$2:$B$32,0)),"Revisar alias"))</f>
        <v/>
      </c>
    </row>
    <row r="129" customFormat="false" ht="15" hidden="false" customHeight="true" outlineLevel="0" collapsed="false">
      <c r="B129" s="1" t="str">
        <f aca="false">IF(A129="","",IFERROR(INDEX(Mercados!$A$2:$A$32,MATCH(A129,Mercados!$B$2:$B$32,0)),"Revisar alias"))</f>
        <v/>
      </c>
    </row>
    <row r="130" customFormat="false" ht="15" hidden="false" customHeight="true" outlineLevel="0" collapsed="false">
      <c r="B130" s="1" t="str">
        <f aca="false">IF(A130="","",IFERROR(INDEX(Mercados!$A$2:$A$32,MATCH(A130,Mercados!$B$2:$B$32,0)),"Revisar alias"))</f>
        <v/>
      </c>
    </row>
    <row r="131" customFormat="false" ht="15" hidden="false" customHeight="true" outlineLevel="0" collapsed="false">
      <c r="B131" s="1" t="str">
        <f aca="false">IF(A131="","",IFERROR(INDEX(Mercados!$A$2:$A$32,MATCH(A131,Mercados!$B$2:$B$32,0)),"Revisar alias"))</f>
        <v/>
      </c>
    </row>
    <row r="132" customFormat="false" ht="15" hidden="false" customHeight="true" outlineLevel="0" collapsed="false">
      <c r="B132" s="1" t="str">
        <f aca="false">IF(A132="","",IFERROR(INDEX(Mercados!$A$2:$A$32,MATCH(A132,Mercados!$B$2:$B$32,0)),"Revisar alias"))</f>
        <v/>
      </c>
    </row>
    <row r="133" customFormat="false" ht="15" hidden="false" customHeight="true" outlineLevel="0" collapsed="false">
      <c r="B133" s="1" t="str">
        <f aca="false">IF(A133="","",IFERROR(INDEX(Mercados!$A$2:$A$32,MATCH(A133,Mercados!$B$2:$B$32,0)),"Revisar alias"))</f>
        <v/>
      </c>
    </row>
    <row r="134" customFormat="false" ht="15" hidden="false" customHeight="true" outlineLevel="0" collapsed="false">
      <c r="B134" s="1" t="str">
        <f aca="false">IF(A134="","",IFERROR(INDEX(Mercados!$A$2:$A$32,MATCH(A134,Mercados!$B$2:$B$32,0)),"Revisar alias"))</f>
        <v/>
      </c>
    </row>
    <row r="135" customFormat="false" ht="15" hidden="false" customHeight="true" outlineLevel="0" collapsed="false">
      <c r="B135" s="1" t="str">
        <f aca="false">IF(A135="","",IFERROR(INDEX(Mercados!$A$2:$A$32,MATCH(A135,Mercados!$B$2:$B$32,0)),"Revisar alias"))</f>
        <v/>
      </c>
    </row>
    <row r="136" customFormat="false" ht="15" hidden="false" customHeight="true" outlineLevel="0" collapsed="false">
      <c r="B136" s="1" t="str">
        <f aca="false">IF(A136="","",IFERROR(INDEX(Mercados!$A$2:$A$32,MATCH(A136,Mercados!$B$2:$B$32,0)),"Revisar alias"))</f>
        <v/>
      </c>
    </row>
    <row r="137" customFormat="false" ht="15" hidden="false" customHeight="true" outlineLevel="0" collapsed="false">
      <c r="B137" s="1" t="str">
        <f aca="false">IF(A137="","",IFERROR(INDEX(Mercados!$A$2:$A$32,MATCH(A137,Mercados!$B$2:$B$32,0)),"Revisar alias"))</f>
        <v/>
      </c>
    </row>
    <row r="138" customFormat="false" ht="15" hidden="false" customHeight="true" outlineLevel="0" collapsed="false">
      <c r="B138" s="1" t="str">
        <f aca="false">IF(A138="","",IFERROR(INDEX(Mercados!$A$2:$A$32,MATCH(A138,Mercados!$B$2:$B$32,0)),"Revisar alias"))</f>
        <v/>
      </c>
    </row>
    <row r="139" customFormat="false" ht="15" hidden="false" customHeight="true" outlineLevel="0" collapsed="false">
      <c r="B139" s="1" t="str">
        <f aca="false">IF(A139="","",IFERROR(INDEX(Mercados!$A$2:$A$32,MATCH(A139,Mercados!$B$2:$B$32,0)),"Revisar alias"))</f>
        <v/>
      </c>
    </row>
    <row r="140" customFormat="false" ht="15" hidden="false" customHeight="true" outlineLevel="0" collapsed="false">
      <c r="B140" s="1" t="str">
        <f aca="false">IF(A140="","",IFERROR(INDEX(Mercados!$A$2:$A$32,MATCH(A140,Mercados!$B$2:$B$32,0)),"Revisar alias"))</f>
        <v/>
      </c>
    </row>
    <row r="141" customFormat="false" ht="15" hidden="false" customHeight="true" outlineLevel="0" collapsed="false">
      <c r="B141" s="1" t="str">
        <f aca="false">IF(A141="","",IFERROR(INDEX(Mercados!$A$2:$A$32,MATCH(A141,Mercados!$B$2:$B$32,0)),"Revisar alias"))</f>
        <v/>
      </c>
    </row>
    <row r="142" customFormat="false" ht="15" hidden="false" customHeight="true" outlineLevel="0" collapsed="false">
      <c r="B142" s="1" t="str">
        <f aca="false">IF(A142="","",IFERROR(INDEX(Mercados!$A$2:$A$32,MATCH(A142,Mercados!$B$2:$B$32,0)),"Revisar alias"))</f>
        <v/>
      </c>
    </row>
    <row r="143" customFormat="false" ht="15" hidden="false" customHeight="true" outlineLevel="0" collapsed="false">
      <c r="B143" s="1" t="str">
        <f aca="false">IF(A143="","",IFERROR(INDEX(Mercados!$A$2:$A$32,MATCH(A143,Mercados!$B$2:$B$32,0)),"Revisar alias"))</f>
        <v/>
      </c>
    </row>
    <row r="144" customFormat="false" ht="15" hidden="false" customHeight="true" outlineLevel="0" collapsed="false">
      <c r="B144" s="1" t="str">
        <f aca="false">IF(A144="","",IFERROR(INDEX(Mercados!$A$2:$A$32,MATCH(A144,Mercados!$B$2:$B$32,0)),"Revisar alias"))</f>
        <v/>
      </c>
    </row>
    <row r="145" customFormat="false" ht="15" hidden="false" customHeight="true" outlineLevel="0" collapsed="false">
      <c r="B145" s="1" t="str">
        <f aca="false">IF(A145="","",IFERROR(INDEX(Mercados!$A$2:$A$32,MATCH(A145,Mercados!$B$2:$B$32,0)),"Revisar alias"))</f>
        <v/>
      </c>
    </row>
    <row r="146" customFormat="false" ht="15" hidden="false" customHeight="true" outlineLevel="0" collapsed="false">
      <c r="B146" s="1" t="str">
        <f aca="false">IF(A146="","",IFERROR(INDEX(Mercados!$A$2:$A$32,MATCH(A146,Mercados!$B$2:$B$32,0)),"Revisar alias"))</f>
        <v/>
      </c>
    </row>
    <row r="147" customFormat="false" ht="15" hidden="false" customHeight="true" outlineLevel="0" collapsed="false">
      <c r="B147" s="1" t="str">
        <f aca="false">IF(A147="","",IFERROR(INDEX(Mercados!$A$2:$A$32,MATCH(A147,Mercados!$B$2:$B$32,0)),"Revisar alias"))</f>
        <v/>
      </c>
    </row>
    <row r="148" customFormat="false" ht="15" hidden="false" customHeight="true" outlineLevel="0" collapsed="false">
      <c r="B148" s="1" t="str">
        <f aca="false">IF(A148="","",IFERROR(INDEX(Mercados!$A$2:$A$32,MATCH(A148,Mercados!$B$2:$B$32,0)),"Revisar alias"))</f>
        <v/>
      </c>
    </row>
    <row r="149" customFormat="false" ht="15" hidden="false" customHeight="true" outlineLevel="0" collapsed="false">
      <c r="B149" s="1" t="str">
        <f aca="false">IF(A149="","",IFERROR(INDEX(Mercados!$A$2:$A$32,MATCH(A149,Mercados!$B$2:$B$32,0)),"Revisar alias"))</f>
        <v/>
      </c>
    </row>
    <row r="150" customFormat="false" ht="15" hidden="false" customHeight="true" outlineLevel="0" collapsed="false">
      <c r="B150" s="1" t="str">
        <f aca="false">IF(A150="","",IFERROR(INDEX(Mercados!$A$2:$A$32,MATCH(A150,Mercados!$B$2:$B$32,0)),"Revisar alias"))</f>
        <v/>
      </c>
    </row>
    <row r="151" customFormat="false" ht="15" hidden="false" customHeight="true" outlineLevel="0" collapsed="false">
      <c r="B151" s="1" t="str">
        <f aca="false">IF(A151="","",IFERROR(INDEX(Mercados!$A$2:$A$32,MATCH(A151,Mercados!$B$2:$B$32,0)),"Revisar alias"))</f>
        <v/>
      </c>
    </row>
    <row r="152" customFormat="false" ht="15" hidden="false" customHeight="true" outlineLevel="0" collapsed="false">
      <c r="B152" s="1" t="str">
        <f aca="false">IF(A152="","",IFERROR(INDEX(Mercados!$A$2:$A$32,MATCH(A152,Mercados!$B$2:$B$32,0)),"Revisar alias"))</f>
        <v/>
      </c>
    </row>
    <row r="153" customFormat="false" ht="15" hidden="false" customHeight="true" outlineLevel="0" collapsed="false">
      <c r="B153" s="1" t="str">
        <f aca="false">IF(A153="","",IFERROR(INDEX(Mercados!$A$2:$A$32,MATCH(A153,Mercados!$B$2:$B$32,0)),"Revisar alias"))</f>
        <v/>
      </c>
    </row>
    <row r="154" customFormat="false" ht="15" hidden="false" customHeight="true" outlineLevel="0" collapsed="false">
      <c r="B154" s="1" t="str">
        <f aca="false">IF(A154="","",IFERROR(INDEX(Mercados!$A$2:$A$32,MATCH(A154,Mercados!$B$2:$B$32,0)),"Revisar alias"))</f>
        <v/>
      </c>
    </row>
    <row r="155" customFormat="false" ht="15" hidden="false" customHeight="true" outlineLevel="0" collapsed="false">
      <c r="B155" s="1" t="str">
        <f aca="false">IF(A155="","",IFERROR(INDEX(Mercados!$A$2:$A$32,MATCH(A155,Mercados!$B$2:$B$32,0)),"Revisar alias"))</f>
        <v/>
      </c>
    </row>
    <row r="156" customFormat="false" ht="15" hidden="false" customHeight="true" outlineLevel="0" collapsed="false">
      <c r="B156" s="1" t="str">
        <f aca="false">IF(A156="","",IFERROR(INDEX(Mercados!$A$2:$A$32,MATCH(A156,Mercados!$B$2:$B$32,0)),"Revisar alias"))</f>
        <v/>
      </c>
    </row>
    <row r="157" customFormat="false" ht="15" hidden="false" customHeight="true" outlineLevel="0" collapsed="false">
      <c r="B157" s="1" t="str">
        <f aca="false">IF(A157="","",IFERROR(INDEX(Mercados!$A$2:$A$32,MATCH(A157,Mercados!$B$2:$B$32,0)),"Revisar alias"))</f>
        <v/>
      </c>
    </row>
    <row r="158" customFormat="false" ht="15" hidden="false" customHeight="true" outlineLevel="0" collapsed="false">
      <c r="B158" s="1" t="str">
        <f aca="false">IF(A158="","",IFERROR(INDEX(Mercados!$A$2:$A$32,MATCH(A158,Mercados!$B$2:$B$32,0)),"Revisar alias"))</f>
        <v/>
      </c>
    </row>
    <row r="159" customFormat="false" ht="15" hidden="false" customHeight="true" outlineLevel="0" collapsed="false">
      <c r="B159" s="1" t="str">
        <f aca="false">IF(A159="","",IFERROR(INDEX(Mercados!$A$2:$A$32,MATCH(A159,Mercados!$B$2:$B$32,0)),"Revisar alias"))</f>
        <v/>
      </c>
    </row>
    <row r="160" customFormat="false" ht="15" hidden="false" customHeight="true" outlineLevel="0" collapsed="false">
      <c r="B160" s="1" t="str">
        <f aca="false">IF(A160="","",IFERROR(INDEX(Mercados!$A$2:$A$32,MATCH(A160,Mercados!$B$2:$B$32,0)),"Revisar alias"))</f>
        <v/>
      </c>
    </row>
    <row r="161" customFormat="false" ht="15" hidden="false" customHeight="true" outlineLevel="0" collapsed="false">
      <c r="B161" s="1" t="str">
        <f aca="false">IF(A161="","",IFERROR(INDEX(Mercados!$A$2:$A$32,MATCH(A161,Mercados!$B$2:$B$32,0)),"Revisar alias"))</f>
        <v/>
      </c>
    </row>
    <row r="162" customFormat="false" ht="15" hidden="false" customHeight="true" outlineLevel="0" collapsed="false">
      <c r="B162" s="1" t="str">
        <f aca="false">IF(A162="","",IFERROR(INDEX(Mercados!$A$2:$A$32,MATCH(A162,Mercados!$B$2:$B$32,0)),"Revisar alias"))</f>
        <v/>
      </c>
    </row>
    <row r="163" customFormat="false" ht="15" hidden="false" customHeight="true" outlineLevel="0" collapsed="false">
      <c r="B163" s="1" t="str">
        <f aca="false">IF(A163="","",IFERROR(INDEX(Mercados!$A$2:$A$32,MATCH(A163,Mercados!$B$2:$B$32,0)),"Revisar alias"))</f>
        <v/>
      </c>
    </row>
    <row r="164" customFormat="false" ht="15" hidden="false" customHeight="true" outlineLevel="0" collapsed="false">
      <c r="B164" s="1" t="str">
        <f aca="false">IF(A164="","",IFERROR(INDEX(Mercados!$A$2:$A$32,MATCH(A164,Mercados!$B$2:$B$32,0)),"Revisar alias"))</f>
        <v/>
      </c>
    </row>
    <row r="165" customFormat="false" ht="15" hidden="false" customHeight="true" outlineLevel="0" collapsed="false">
      <c r="B165" s="1" t="str">
        <f aca="false">IF(A165="","",IFERROR(INDEX(Mercados!$A$2:$A$32,MATCH(A165,Mercados!$B$2:$B$32,0)),"Revisar alias"))</f>
        <v/>
      </c>
    </row>
    <row r="166" customFormat="false" ht="15" hidden="false" customHeight="true" outlineLevel="0" collapsed="false">
      <c r="B166" s="1" t="str">
        <f aca="false">IF(A166="","",IFERROR(INDEX(Mercados!$A$2:$A$32,MATCH(A166,Mercados!$B$2:$B$32,0)),"Revisar alias"))</f>
        <v/>
      </c>
    </row>
    <row r="167" customFormat="false" ht="15" hidden="false" customHeight="true" outlineLevel="0" collapsed="false">
      <c r="B167" s="1" t="str">
        <f aca="false">IF(A167="","",IFERROR(INDEX(Mercados!$A$2:$A$32,MATCH(A167,Mercados!$B$2:$B$32,0)),"Revisar alias"))</f>
        <v/>
      </c>
    </row>
    <row r="168" customFormat="false" ht="15" hidden="false" customHeight="true" outlineLevel="0" collapsed="false">
      <c r="B168" s="1" t="str">
        <f aca="false">IF(A168="","",IFERROR(INDEX(Mercados!$A$2:$A$32,MATCH(A168,Mercados!$B$2:$B$32,0)),"Revisar alias"))</f>
        <v/>
      </c>
    </row>
    <row r="169" customFormat="false" ht="15" hidden="false" customHeight="true" outlineLevel="0" collapsed="false">
      <c r="B169" s="1" t="str">
        <f aca="false">IF(A169="","",IFERROR(INDEX(Mercados!$A$2:$A$32,MATCH(A169,Mercados!$B$2:$B$32,0)),"Revisar alias"))</f>
        <v/>
      </c>
    </row>
    <row r="170" customFormat="false" ht="15" hidden="false" customHeight="true" outlineLevel="0" collapsed="false">
      <c r="B170" s="1" t="str">
        <f aca="false">IF(A170="","",IFERROR(INDEX(Mercados!$A$2:$A$32,MATCH(A170,Mercados!$B$2:$B$32,0)),"Revisar alias"))</f>
        <v/>
      </c>
    </row>
    <row r="171" customFormat="false" ht="15" hidden="false" customHeight="true" outlineLevel="0" collapsed="false">
      <c r="B171" s="1" t="str">
        <f aca="false">IF(A171="","",IFERROR(INDEX(Mercados!$A$2:$A$32,MATCH(A171,Mercados!$B$2:$B$32,0)),"Revisar alias"))</f>
        <v/>
      </c>
    </row>
    <row r="172" customFormat="false" ht="15" hidden="false" customHeight="true" outlineLevel="0" collapsed="false">
      <c r="B172" s="1" t="str">
        <f aca="false">IF(A172="","",IFERROR(INDEX(Mercados!$A$2:$A$32,MATCH(A172,Mercados!$B$2:$B$32,0)),"Revisar alias"))</f>
        <v/>
      </c>
    </row>
    <row r="173" customFormat="false" ht="15" hidden="false" customHeight="true" outlineLevel="0" collapsed="false">
      <c r="B173" s="1" t="str">
        <f aca="false">IF(A173="","",IFERROR(INDEX(Mercados!$A$2:$A$32,MATCH(A173,Mercados!$B$2:$B$32,0)),"Revisar alias"))</f>
        <v/>
      </c>
    </row>
    <row r="174" customFormat="false" ht="15" hidden="false" customHeight="true" outlineLevel="0" collapsed="false">
      <c r="B174" s="1" t="str">
        <f aca="false">IF(A174="","",IFERROR(INDEX(Mercados!$A$2:$A$32,MATCH(A174,Mercados!$B$2:$B$32,0)),"Revisar alias"))</f>
        <v/>
      </c>
    </row>
    <row r="175" customFormat="false" ht="15" hidden="false" customHeight="true" outlineLevel="0" collapsed="false">
      <c r="B175" s="1" t="str">
        <f aca="false">IF(A175="","",IFERROR(INDEX(Mercados!$A$2:$A$32,MATCH(A175,Mercados!$B$2:$B$32,0)),"Revisar alias"))</f>
        <v/>
      </c>
    </row>
    <row r="176" customFormat="false" ht="15" hidden="false" customHeight="true" outlineLevel="0" collapsed="false">
      <c r="B176" s="1" t="str">
        <f aca="false">IF(A176="","",IFERROR(INDEX(Mercados!$A$2:$A$32,MATCH(A176,Mercados!$B$2:$B$32,0)),"Revisar alias"))</f>
        <v/>
      </c>
    </row>
    <row r="177" customFormat="false" ht="15" hidden="false" customHeight="true" outlineLevel="0" collapsed="false">
      <c r="B177" s="1" t="str">
        <f aca="false">IF(A177="","",IFERROR(INDEX(Mercados!$A$2:$A$32,MATCH(A177,Mercados!$B$2:$B$32,0)),"Revisar alias"))</f>
        <v/>
      </c>
    </row>
    <row r="178" customFormat="false" ht="15" hidden="false" customHeight="true" outlineLevel="0" collapsed="false">
      <c r="B178" s="1" t="str">
        <f aca="false">IF(A178="","",IFERROR(INDEX(Mercados!$A$2:$A$32,MATCH(A178,Mercados!$B$2:$B$32,0)),"Revisar alias"))</f>
        <v/>
      </c>
    </row>
    <row r="179" customFormat="false" ht="15" hidden="false" customHeight="true" outlineLevel="0" collapsed="false">
      <c r="B179" s="1" t="str">
        <f aca="false">IF(A179="","",IFERROR(INDEX(Mercados!$A$2:$A$32,MATCH(A179,Mercados!$B$2:$B$32,0)),"Revisar alias"))</f>
        <v/>
      </c>
    </row>
    <row r="180" customFormat="false" ht="15" hidden="false" customHeight="true" outlineLevel="0" collapsed="false">
      <c r="B180" s="1" t="str">
        <f aca="false">IF(A180="","",IFERROR(INDEX(Mercados!$A$2:$A$32,MATCH(A180,Mercados!$B$2:$B$32,0)),"Revisar alias"))</f>
        <v/>
      </c>
    </row>
    <row r="181" customFormat="false" ht="15" hidden="false" customHeight="true" outlineLevel="0" collapsed="false">
      <c r="B181" s="1" t="str">
        <f aca="false">IF(A181="","",IFERROR(INDEX(Mercados!$A$2:$A$32,MATCH(A181,Mercados!$B$2:$B$32,0)),"Revisar alias"))</f>
        <v/>
      </c>
    </row>
    <row r="182" customFormat="false" ht="15" hidden="false" customHeight="true" outlineLevel="0" collapsed="false">
      <c r="B182" s="1" t="str">
        <f aca="false">IF(A182="","",IFERROR(INDEX(Mercados!$A$2:$A$32,MATCH(A182,Mercados!$B$2:$B$32,0)),"Revisar alias"))</f>
        <v/>
      </c>
    </row>
    <row r="183" customFormat="false" ht="15" hidden="false" customHeight="true" outlineLevel="0" collapsed="false">
      <c r="B183" s="1" t="str">
        <f aca="false">IF(A183="","",IFERROR(INDEX(Mercados!$A$2:$A$32,MATCH(A183,Mercados!$B$2:$B$32,0)),"Revisar alias"))</f>
        <v/>
      </c>
    </row>
    <row r="184" customFormat="false" ht="15" hidden="false" customHeight="true" outlineLevel="0" collapsed="false">
      <c r="B184" s="1" t="str">
        <f aca="false">IF(A184="","",IFERROR(INDEX(Mercados!$A$2:$A$32,MATCH(A184,Mercados!$B$2:$B$32,0)),"Revisar alias"))</f>
        <v/>
      </c>
    </row>
    <row r="185" customFormat="false" ht="15" hidden="false" customHeight="true" outlineLevel="0" collapsed="false">
      <c r="B185" s="1" t="str">
        <f aca="false">IF(A185="","",IFERROR(INDEX(Mercados!$A$2:$A$32,MATCH(A185,Mercados!$B$2:$B$32,0)),"Revisar alias"))</f>
        <v/>
      </c>
    </row>
    <row r="186" customFormat="false" ht="15" hidden="false" customHeight="true" outlineLevel="0" collapsed="false">
      <c r="B186" s="1" t="str">
        <f aca="false">IF(A186="","",IFERROR(INDEX(Mercados!$A$2:$A$32,MATCH(A186,Mercados!$B$2:$B$32,0)),"Revisar alias"))</f>
        <v/>
      </c>
    </row>
    <row r="187" customFormat="false" ht="15" hidden="false" customHeight="true" outlineLevel="0" collapsed="false">
      <c r="B187" s="1" t="str">
        <f aca="false">IF(A187="","",IFERROR(INDEX(Mercados!$A$2:$A$32,MATCH(A187,Mercados!$B$2:$B$32,0)),"Revisar alias"))</f>
        <v/>
      </c>
    </row>
    <row r="188" customFormat="false" ht="15" hidden="false" customHeight="true" outlineLevel="0" collapsed="false">
      <c r="B188" s="1" t="str">
        <f aca="false">IF(A188="","",IFERROR(INDEX(Mercados!$A$2:$A$32,MATCH(A188,Mercados!$B$2:$B$32,0)),"Revisar alias"))</f>
        <v/>
      </c>
    </row>
    <row r="189" customFormat="false" ht="15" hidden="false" customHeight="true" outlineLevel="0" collapsed="false">
      <c r="B189" s="1" t="str">
        <f aca="false">IF(A189="","",IFERROR(INDEX(Mercados!$A$2:$A$32,MATCH(A189,Mercados!$B$2:$B$32,0)),"Revisar alias"))</f>
        <v/>
      </c>
    </row>
    <row r="190" customFormat="false" ht="15" hidden="false" customHeight="true" outlineLevel="0" collapsed="false">
      <c r="B190" s="1" t="str">
        <f aca="false">IF(A190="","",IFERROR(INDEX(Mercados!$A$2:$A$32,MATCH(A190,Mercados!$B$2:$B$32,0)),"Revisar alias"))</f>
        <v/>
      </c>
    </row>
    <row r="191" customFormat="false" ht="15" hidden="false" customHeight="true" outlineLevel="0" collapsed="false">
      <c r="B191" s="1" t="str">
        <f aca="false">IF(A191="","",IFERROR(INDEX(Mercados!$A$2:$A$32,MATCH(A191,Mercados!$B$2:$B$32,0)),"Revisar alias"))</f>
        <v/>
      </c>
    </row>
    <row r="192" customFormat="false" ht="15" hidden="false" customHeight="true" outlineLevel="0" collapsed="false">
      <c r="B192" s="1" t="str">
        <f aca="false">IF(A192="","",IFERROR(INDEX(Mercados!$A$2:$A$32,MATCH(A192,Mercados!$B$2:$B$32,0)),"Revisar alias"))</f>
        <v/>
      </c>
    </row>
    <row r="193" customFormat="false" ht="15" hidden="false" customHeight="true" outlineLevel="0" collapsed="false">
      <c r="B193" s="1" t="str">
        <f aca="false">IF(A193="","",IFERROR(INDEX(Mercados!$A$2:$A$32,MATCH(A193,Mercados!$B$2:$B$32,0)),"Revisar alias"))</f>
        <v/>
      </c>
    </row>
    <row r="194" customFormat="false" ht="15" hidden="false" customHeight="true" outlineLevel="0" collapsed="false">
      <c r="B194" s="1" t="str">
        <f aca="false">IF(A194="","",IFERROR(INDEX(Mercados!$A$2:$A$32,MATCH(A194,Mercados!$B$2:$B$32,0)),"Revisar alias"))</f>
        <v/>
      </c>
    </row>
    <row r="195" customFormat="false" ht="15" hidden="false" customHeight="true" outlineLevel="0" collapsed="false">
      <c r="B195" s="1" t="str">
        <f aca="false">IF(A195="","",IFERROR(INDEX(Mercados!$A$2:$A$32,MATCH(A195,Mercados!$B$2:$B$32,0)),"Revisar alias"))</f>
        <v/>
      </c>
    </row>
    <row r="196" customFormat="false" ht="15" hidden="false" customHeight="true" outlineLevel="0" collapsed="false">
      <c r="B196" s="1" t="str">
        <f aca="false">IF(A196="","",IFERROR(INDEX(Mercados!$A$2:$A$32,MATCH(A196,Mercados!$B$2:$B$32,0)),"Revisar alias"))</f>
        <v/>
      </c>
    </row>
    <row r="197" customFormat="false" ht="15" hidden="false" customHeight="true" outlineLevel="0" collapsed="false">
      <c r="B197" s="1" t="str">
        <f aca="false">IF(A197="","",IFERROR(INDEX(Mercados!$A$2:$A$32,MATCH(A197,Mercados!$B$2:$B$32,0)),"Revisar alias"))</f>
        <v/>
      </c>
    </row>
    <row r="198" customFormat="false" ht="15" hidden="false" customHeight="true" outlineLevel="0" collapsed="false">
      <c r="B198" s="1" t="str">
        <f aca="false">IF(A198="","",IFERROR(INDEX(Mercados!$A$2:$A$32,MATCH(A198,Mercados!$B$2:$B$32,0)),"Revisar alias"))</f>
        <v/>
      </c>
    </row>
    <row r="199" customFormat="false" ht="15" hidden="false" customHeight="true" outlineLevel="0" collapsed="false">
      <c r="B199" s="1" t="str">
        <f aca="false">IF(A199="","",IFERROR(INDEX(Mercados!$A$2:$A$32,MATCH(A199,Mercados!$B$2:$B$32,0)),"Revisar alias"))</f>
        <v/>
      </c>
    </row>
    <row r="200" customFormat="false" ht="15" hidden="false" customHeight="true" outlineLevel="0" collapsed="false">
      <c r="B200" s="1" t="str">
        <f aca="false">IF(A200="","",IFERROR(INDEX(Mercados!$A$2:$A$32,MATCH(A200,Mercados!$B$2:$B$32,0)),"Revisar alias"))</f>
        <v/>
      </c>
    </row>
    <row r="201" customFormat="false" ht="15" hidden="false" customHeight="true" outlineLevel="0" collapsed="false">
      <c r="B201" s="1" t="str">
        <f aca="false">IF(A201="","",IFERROR(INDEX(Mercados!$A$2:$A$32,MATCH(A201,Mercados!$B$2:$B$32,0)),"Revisar alias"))</f>
        <v/>
      </c>
    </row>
    <row r="202" customFormat="false" ht="15" hidden="false" customHeight="true" outlineLevel="0" collapsed="false">
      <c r="B202" s="1" t="str">
        <f aca="false">IF(A202="","",IFERROR(INDEX(Mercados!$A$2:$A$32,MATCH(A202,Mercados!$B$2:$B$32,0)),"Revisar alias"))</f>
        <v/>
      </c>
    </row>
    <row r="203" customFormat="false" ht="15" hidden="false" customHeight="true" outlineLevel="0" collapsed="false">
      <c r="B203" s="1" t="str">
        <f aca="false">IF(A203="","",IFERROR(INDEX(Mercados!$A$2:$A$32,MATCH(A203,Mercados!$B$2:$B$32,0)),"Revisar alias"))</f>
        <v/>
      </c>
    </row>
    <row r="204" customFormat="false" ht="15" hidden="false" customHeight="true" outlineLevel="0" collapsed="false">
      <c r="B204" s="1" t="str">
        <f aca="false">IF(A204="","",IFERROR(INDEX(Mercados!$A$2:$A$32,MATCH(A204,Mercados!$B$2:$B$32,0)),"Revisar alias"))</f>
        <v/>
      </c>
    </row>
    <row r="205" customFormat="false" ht="15" hidden="false" customHeight="true" outlineLevel="0" collapsed="false">
      <c r="B205" s="1" t="str">
        <f aca="false">IF(A205="","",IFERROR(INDEX(Mercados!$A$2:$A$32,MATCH(A205,Mercados!$B$2:$B$32,0)),"Revisar alias"))</f>
        <v/>
      </c>
    </row>
    <row r="206" customFormat="false" ht="15" hidden="false" customHeight="true" outlineLevel="0" collapsed="false">
      <c r="B206" s="1" t="str">
        <f aca="false">IF(A206="","",IFERROR(INDEX(Mercados!$A$2:$A$32,MATCH(A206,Mercados!$B$2:$B$32,0)),"Revisar alias"))</f>
        <v/>
      </c>
    </row>
    <row r="207" customFormat="false" ht="15" hidden="false" customHeight="true" outlineLevel="0" collapsed="false">
      <c r="B207" s="1" t="str">
        <f aca="false">IF(A207="","",IFERROR(INDEX(Mercados!$A$2:$A$32,MATCH(A207,Mercados!$B$2:$B$32,0)),"Revisar alias"))</f>
        <v/>
      </c>
    </row>
    <row r="208" customFormat="false" ht="15" hidden="false" customHeight="true" outlineLevel="0" collapsed="false">
      <c r="B208" s="1" t="str">
        <f aca="false">IF(A208="","",IFERROR(INDEX(Mercados!$A$2:$A$32,MATCH(A208,Mercados!$B$2:$B$32,0)),"Revisar alias"))</f>
        <v/>
      </c>
    </row>
    <row r="209" customFormat="false" ht="15" hidden="false" customHeight="true" outlineLevel="0" collapsed="false">
      <c r="B209" s="1" t="str">
        <f aca="false">IF(A209="","",IFERROR(INDEX(Mercados!$A$2:$A$32,MATCH(A209,Mercados!$B$2:$B$32,0)),"Revisar alias"))</f>
        <v/>
      </c>
    </row>
    <row r="210" customFormat="false" ht="15" hidden="false" customHeight="true" outlineLevel="0" collapsed="false">
      <c r="B210" s="1" t="str">
        <f aca="false">IF(A210="","",IFERROR(INDEX(Mercados!$A$2:$A$32,MATCH(A210,Mercados!$B$2:$B$32,0)),"Revisar alias"))</f>
        <v/>
      </c>
    </row>
    <row r="211" customFormat="false" ht="15" hidden="false" customHeight="true" outlineLevel="0" collapsed="false">
      <c r="B211" s="1" t="str">
        <f aca="false">IF(A211="","",IFERROR(INDEX(Mercados!$A$2:$A$32,MATCH(A211,Mercados!$B$2:$B$32,0)),"Revisar alias"))</f>
        <v/>
      </c>
    </row>
    <row r="212" customFormat="false" ht="15" hidden="false" customHeight="true" outlineLevel="0" collapsed="false">
      <c r="B212" s="1" t="str">
        <f aca="false">IF(A212="","",IFERROR(INDEX(Mercados!$A$2:$A$32,MATCH(A212,Mercados!$B$2:$B$32,0)),"Revisar alias"))</f>
        <v/>
      </c>
    </row>
    <row r="213" customFormat="false" ht="15" hidden="false" customHeight="true" outlineLevel="0" collapsed="false">
      <c r="B213" s="1" t="str">
        <f aca="false">IF(A213="","",IFERROR(INDEX(Mercados!$A$2:$A$32,MATCH(A213,Mercados!$B$2:$B$32,0)),"Revisar alias"))</f>
        <v/>
      </c>
    </row>
    <row r="214" customFormat="false" ht="15" hidden="false" customHeight="true" outlineLevel="0" collapsed="false">
      <c r="B214" s="1" t="str">
        <f aca="false">IF(A214="","",IFERROR(INDEX(Mercados!$A$2:$A$32,MATCH(A214,Mercados!$B$2:$B$32,0)),"Revisar alias"))</f>
        <v/>
      </c>
    </row>
    <row r="215" customFormat="false" ht="15" hidden="false" customHeight="true" outlineLevel="0" collapsed="false">
      <c r="B215" s="1" t="str">
        <f aca="false">IF(A215="","",IFERROR(INDEX(Mercados!$A$2:$A$32,MATCH(A215,Mercados!$B$2:$B$32,0)),"Revisar alias"))</f>
        <v/>
      </c>
    </row>
    <row r="216" customFormat="false" ht="15" hidden="false" customHeight="true" outlineLevel="0" collapsed="false">
      <c r="B216" s="1" t="str">
        <f aca="false">IF(A216="","",IFERROR(INDEX(Mercados!$A$2:$A$32,MATCH(A216,Mercados!$B$2:$B$32,0)),"Revisar alias"))</f>
        <v/>
      </c>
    </row>
    <row r="217" customFormat="false" ht="15" hidden="false" customHeight="true" outlineLevel="0" collapsed="false">
      <c r="B217" s="1" t="str">
        <f aca="false">IF(A217="","",IFERROR(INDEX(Mercados!$A$2:$A$32,MATCH(A217,Mercados!$B$2:$B$32,0)),"Revisar alias"))</f>
        <v/>
      </c>
    </row>
    <row r="218" customFormat="false" ht="15" hidden="false" customHeight="true" outlineLevel="0" collapsed="false">
      <c r="B218" s="1" t="str">
        <f aca="false">IF(A218="","",IFERROR(INDEX(Mercados!$A$2:$A$32,MATCH(A218,Mercados!$B$2:$B$32,0)),"Revisar alias"))</f>
        <v/>
      </c>
    </row>
    <row r="219" customFormat="false" ht="15" hidden="false" customHeight="true" outlineLevel="0" collapsed="false">
      <c r="B219" s="1" t="str">
        <f aca="false">IF(A219="","",IFERROR(INDEX(Mercados!$A$2:$A$32,MATCH(A219,Mercados!$B$2:$B$32,0)),"Revisar alias"))</f>
        <v/>
      </c>
    </row>
    <row r="220" customFormat="false" ht="15" hidden="false" customHeight="true" outlineLevel="0" collapsed="false">
      <c r="B220" s="1" t="str">
        <f aca="false">IF(A220="","",IFERROR(INDEX(Mercados!$A$2:$A$32,MATCH(A220,Mercados!$B$2:$B$32,0)),"Revisar alias"))</f>
        <v/>
      </c>
    </row>
    <row r="221" customFormat="false" ht="15" hidden="false" customHeight="true" outlineLevel="0" collapsed="false">
      <c r="B221" s="1" t="str">
        <f aca="false">IF(A221="","",IFERROR(INDEX(Mercados!$A$2:$A$32,MATCH(A221,Mercados!$B$2:$B$32,0)),"Revisar alias"))</f>
        <v/>
      </c>
    </row>
    <row r="222" customFormat="false" ht="15" hidden="false" customHeight="true" outlineLevel="0" collapsed="false">
      <c r="B222" s="1" t="str">
        <f aca="false">IF(A222="","",IFERROR(INDEX(Mercados!$A$2:$A$32,MATCH(A222,Mercados!$B$2:$B$32,0)),"Revisar alias"))</f>
        <v/>
      </c>
    </row>
    <row r="223" customFormat="false" ht="15" hidden="false" customHeight="true" outlineLevel="0" collapsed="false">
      <c r="B223" s="1" t="str">
        <f aca="false">IF(A223="","",IFERROR(INDEX(Mercados!$A$2:$A$32,MATCH(A223,Mercados!$B$2:$B$32,0)),"Revisar alias"))</f>
        <v/>
      </c>
    </row>
    <row r="224" customFormat="false" ht="15" hidden="false" customHeight="true" outlineLevel="0" collapsed="false">
      <c r="B224" s="1" t="str">
        <f aca="false">IF(A224="","",IFERROR(INDEX(Mercados!$A$2:$A$32,MATCH(A224,Mercados!$B$2:$B$32,0)),"Revisar alias"))</f>
        <v/>
      </c>
    </row>
    <row r="225" customFormat="false" ht="15" hidden="false" customHeight="true" outlineLevel="0" collapsed="false">
      <c r="B225" s="1" t="str">
        <f aca="false">IF(A225="","",IFERROR(INDEX(Mercados!$A$2:$A$32,MATCH(A225,Mercados!$B$2:$B$32,0)),"Revisar alias"))</f>
        <v/>
      </c>
    </row>
    <row r="226" customFormat="false" ht="15" hidden="false" customHeight="true" outlineLevel="0" collapsed="false">
      <c r="B226" s="1" t="str">
        <f aca="false">IF(A226="","",IFERROR(INDEX(Mercados!$A$2:$A$32,MATCH(A226,Mercados!$B$2:$B$32,0)),"Revisar alias"))</f>
        <v/>
      </c>
    </row>
    <row r="227" customFormat="false" ht="15" hidden="false" customHeight="true" outlineLevel="0" collapsed="false">
      <c r="B227" s="1" t="str">
        <f aca="false">IF(A227="","",IFERROR(INDEX(Mercados!$A$2:$A$32,MATCH(A227,Mercados!$B$2:$B$32,0)),"Revisar alias"))</f>
        <v/>
      </c>
    </row>
    <row r="228" customFormat="false" ht="15" hidden="false" customHeight="true" outlineLevel="0" collapsed="false">
      <c r="B228" s="1" t="str">
        <f aca="false">IF(A228="","",IFERROR(INDEX(Mercados!$A$2:$A$32,MATCH(A228,Mercados!$B$2:$B$32,0)),"Revisar alias"))</f>
        <v/>
      </c>
    </row>
    <row r="229" customFormat="false" ht="15" hidden="false" customHeight="true" outlineLevel="0" collapsed="false">
      <c r="B229" s="1" t="str">
        <f aca="false">IF(A229="","",IFERROR(INDEX(Mercados!$A$2:$A$32,MATCH(A229,Mercados!$B$2:$B$32,0)),"Revisar alias"))</f>
        <v/>
      </c>
    </row>
    <row r="230" customFormat="false" ht="15" hidden="false" customHeight="true" outlineLevel="0" collapsed="false">
      <c r="B230" s="1" t="str">
        <f aca="false">IF(A230="","",IFERROR(INDEX(Mercados!$A$2:$A$32,MATCH(A230,Mercados!$B$2:$B$32,0)),"Revisar alias"))</f>
        <v/>
      </c>
    </row>
    <row r="231" customFormat="false" ht="15" hidden="false" customHeight="true" outlineLevel="0" collapsed="false">
      <c r="B231" s="1" t="str">
        <f aca="false">IF(A231="","",IFERROR(INDEX(Mercados!$A$2:$A$32,MATCH(A231,Mercados!$B$2:$B$32,0)),"Revisar alias"))</f>
        <v/>
      </c>
    </row>
    <row r="232" customFormat="false" ht="15" hidden="false" customHeight="true" outlineLevel="0" collapsed="false">
      <c r="B232" s="1" t="str">
        <f aca="false">IF(A232="","",IFERROR(INDEX(Mercados!$A$2:$A$32,MATCH(A232,Mercados!$B$2:$B$32,0)),"Revisar alias"))</f>
        <v/>
      </c>
    </row>
    <row r="233" customFormat="false" ht="15" hidden="false" customHeight="true" outlineLevel="0" collapsed="false">
      <c r="B233" s="1" t="str">
        <f aca="false">IF(A233="","",IFERROR(INDEX(Mercados!$A$2:$A$32,MATCH(A233,Mercados!$B$2:$B$32,0)),"Revisar alias"))</f>
        <v/>
      </c>
    </row>
    <row r="234" customFormat="false" ht="15" hidden="false" customHeight="true" outlineLevel="0" collapsed="false">
      <c r="B234" s="1" t="str">
        <f aca="false">IF(A234="","",IFERROR(INDEX(Mercados!$A$2:$A$32,MATCH(A234,Mercados!$B$2:$B$32,0)),"Revisar alias"))</f>
        <v/>
      </c>
    </row>
    <row r="235" customFormat="false" ht="15" hidden="false" customHeight="true" outlineLevel="0" collapsed="false">
      <c r="B235" s="1" t="str">
        <f aca="false">IF(A235="","",IFERROR(INDEX(Mercados!$A$2:$A$32,MATCH(A235,Mercados!$B$2:$B$32,0)),"Revisar alias"))</f>
        <v/>
      </c>
    </row>
    <row r="236" customFormat="false" ht="15" hidden="false" customHeight="true" outlineLevel="0" collapsed="false">
      <c r="B236" s="1" t="str">
        <f aca="false">IF(A236="","",IFERROR(INDEX(Mercados!$A$2:$A$32,MATCH(A236,Mercados!$B$2:$B$32,0)),"Revisar alias"))</f>
        <v/>
      </c>
    </row>
    <row r="237" customFormat="false" ht="15" hidden="false" customHeight="true" outlineLevel="0" collapsed="false">
      <c r="B237" s="1" t="str">
        <f aca="false">IF(A237="","",IFERROR(INDEX(Mercados!$A$2:$A$32,MATCH(A237,Mercados!$B$2:$B$32,0)),"Revisar alias"))</f>
        <v/>
      </c>
    </row>
    <row r="238" customFormat="false" ht="15" hidden="false" customHeight="true" outlineLevel="0" collapsed="false">
      <c r="B238" s="1" t="str">
        <f aca="false">IF(A238="","",IFERROR(INDEX(Mercados!$A$2:$A$32,MATCH(A238,Mercados!$B$2:$B$32,0)),"Revisar alias"))</f>
        <v/>
      </c>
    </row>
    <row r="239" customFormat="false" ht="15" hidden="false" customHeight="true" outlineLevel="0" collapsed="false">
      <c r="B239" s="1" t="str">
        <f aca="false">IF(A239="","",IFERROR(INDEX(Mercados!$A$2:$A$32,MATCH(A239,Mercados!$B$2:$B$32,0)),"Revisar alias"))</f>
        <v/>
      </c>
    </row>
    <row r="240" customFormat="false" ht="15" hidden="false" customHeight="true" outlineLevel="0" collapsed="false">
      <c r="B240" s="1" t="str">
        <f aca="false">IF(A240="","",IFERROR(INDEX(Mercados!$A$2:$A$32,MATCH(A240,Mercados!$B$2:$B$32,0)),"Revisar alias"))</f>
        <v/>
      </c>
    </row>
    <row r="241" customFormat="false" ht="15" hidden="false" customHeight="true" outlineLevel="0" collapsed="false">
      <c r="B241" s="1" t="str">
        <f aca="false">IF(A241="","",IFERROR(INDEX(Mercados!$A$2:$A$32,MATCH(A241,Mercados!$B$2:$B$32,0)),"Revisar alias"))</f>
        <v/>
      </c>
    </row>
    <row r="242" customFormat="false" ht="15" hidden="false" customHeight="true" outlineLevel="0" collapsed="false">
      <c r="B242" s="1" t="str">
        <f aca="false">IF(A242="","",IFERROR(INDEX(Mercados!$A$2:$A$32,MATCH(A242,Mercados!$B$2:$B$32,0)),"Revisar alias"))</f>
        <v/>
      </c>
    </row>
    <row r="243" customFormat="false" ht="15" hidden="false" customHeight="true" outlineLevel="0" collapsed="false">
      <c r="B243" s="1" t="str">
        <f aca="false">IF(A243="","",IFERROR(INDEX(Mercados!$A$2:$A$32,MATCH(A243,Mercados!$B$2:$B$32,0)),"Revisar alias"))</f>
        <v/>
      </c>
    </row>
    <row r="244" customFormat="false" ht="15" hidden="false" customHeight="true" outlineLevel="0" collapsed="false">
      <c r="B244" s="1" t="str">
        <f aca="false">IF(A244="","",IFERROR(INDEX(Mercados!$A$2:$A$32,MATCH(A244,Mercados!$B$2:$B$32,0)),"Revisar alias"))</f>
        <v/>
      </c>
    </row>
    <row r="245" customFormat="false" ht="15" hidden="false" customHeight="true" outlineLevel="0" collapsed="false">
      <c r="B245" s="1" t="str">
        <f aca="false">IF(A245="","",IFERROR(INDEX(Mercados!$A$2:$A$32,MATCH(A245,Mercados!$B$2:$B$32,0)),"Revisar alias"))</f>
        <v/>
      </c>
    </row>
    <row r="246" customFormat="false" ht="15" hidden="false" customHeight="true" outlineLevel="0" collapsed="false">
      <c r="B246" s="1" t="str">
        <f aca="false">IF(A246="","",IFERROR(INDEX(Mercados!$A$2:$A$32,MATCH(A246,Mercados!$B$2:$B$32,0)),"Revisar alias"))</f>
        <v/>
      </c>
    </row>
    <row r="247" customFormat="false" ht="15" hidden="false" customHeight="true" outlineLevel="0" collapsed="false">
      <c r="B247" s="1" t="str">
        <f aca="false">IF(A247="","",IFERROR(INDEX(Mercados!$A$2:$A$32,MATCH(A247,Mercados!$B$2:$B$32,0)),"Revisar alias"))</f>
        <v/>
      </c>
    </row>
    <row r="248" customFormat="false" ht="15" hidden="false" customHeight="true" outlineLevel="0" collapsed="false">
      <c r="B248" s="1" t="str">
        <f aca="false">IF(A248="","",IFERROR(INDEX(Mercados!$A$2:$A$32,MATCH(A248,Mercados!$B$2:$B$32,0)),"Revisar alias"))</f>
        <v/>
      </c>
    </row>
    <row r="249" customFormat="false" ht="15" hidden="false" customHeight="true" outlineLevel="0" collapsed="false">
      <c r="B249" s="1" t="str">
        <f aca="false">IF(A249="","",IFERROR(INDEX(Mercados!$A$2:$A$32,MATCH(A249,Mercados!$B$2:$B$32,0)),"Revisar alias"))</f>
        <v/>
      </c>
    </row>
    <row r="250" customFormat="false" ht="15" hidden="false" customHeight="true" outlineLevel="0" collapsed="false">
      <c r="B250" s="1" t="str">
        <f aca="false">IF(A250="","",IFERROR(INDEX(Mercados!$A$2:$A$32,MATCH(A250,Mercados!$B$2:$B$32,0)),"Revisar alias"))</f>
        <v/>
      </c>
    </row>
    <row r="251" customFormat="false" ht="15" hidden="false" customHeight="true" outlineLevel="0" collapsed="false">
      <c r="B251" s="1" t="str">
        <f aca="false">IF(A251="","",IFERROR(INDEX(Mercados!$A$2:$A$32,MATCH(A251,Mercados!$B$2:$B$32,0)),"Revisar alias"))</f>
        <v/>
      </c>
    </row>
    <row r="252" customFormat="false" ht="15" hidden="false" customHeight="true" outlineLevel="0" collapsed="false">
      <c r="B252" s="1" t="str">
        <f aca="false">IF(A252="","",IFERROR(INDEX(Mercados!$A$2:$A$32,MATCH(A252,Mercados!$B$2:$B$32,0)),"Revisar alias"))</f>
        <v/>
      </c>
    </row>
    <row r="253" customFormat="false" ht="15" hidden="false" customHeight="true" outlineLevel="0" collapsed="false">
      <c r="B253" s="1" t="str">
        <f aca="false">IF(A253="","",IFERROR(INDEX(Mercados!$A$2:$A$32,MATCH(A253,Mercados!$B$2:$B$32,0)),"Revisar alias"))</f>
        <v/>
      </c>
    </row>
    <row r="254" customFormat="false" ht="15" hidden="false" customHeight="true" outlineLevel="0" collapsed="false">
      <c r="B254" s="1" t="str">
        <f aca="false">IF(A254="","",IFERROR(INDEX(Mercados!$A$2:$A$32,MATCH(A254,Mercados!$B$2:$B$32,0)),"Revisar alias"))</f>
        <v/>
      </c>
    </row>
    <row r="255" customFormat="false" ht="15" hidden="false" customHeight="true" outlineLevel="0" collapsed="false">
      <c r="B255" s="1" t="str">
        <f aca="false">IF(A255="","",IFERROR(INDEX(Mercados!$A$2:$A$32,MATCH(A255,Mercados!$B$2:$B$32,0)),"Revisar alias"))</f>
        <v/>
      </c>
    </row>
    <row r="256" customFormat="false" ht="15" hidden="false" customHeight="true" outlineLevel="0" collapsed="false">
      <c r="B256" s="1" t="str">
        <f aca="false">IF(A256="","",IFERROR(INDEX(Mercados!$A$2:$A$32,MATCH(A256,Mercados!$B$2:$B$32,0)),"Revisar alias"))</f>
        <v/>
      </c>
    </row>
    <row r="257" customFormat="false" ht="15" hidden="false" customHeight="true" outlineLevel="0" collapsed="false">
      <c r="B257" s="1" t="str">
        <f aca="false">IF(A257="","",IFERROR(INDEX(Mercados!$A$2:$A$32,MATCH(A257,Mercados!$B$2:$B$32,0)),"Revisar alias"))</f>
        <v/>
      </c>
    </row>
    <row r="258" customFormat="false" ht="15" hidden="false" customHeight="true" outlineLevel="0" collapsed="false">
      <c r="B258" s="1" t="str">
        <f aca="false">IF(A258="","",IFERROR(INDEX(Mercados!$A$2:$A$32,MATCH(A258,Mercados!$B$2:$B$32,0)),"Revisar alias"))</f>
        <v/>
      </c>
    </row>
    <row r="259" customFormat="false" ht="15" hidden="false" customHeight="true" outlineLevel="0" collapsed="false">
      <c r="B259" s="1" t="str">
        <f aca="false">IF(A259="","",IFERROR(INDEX(Mercados!$A$2:$A$32,MATCH(A259,Mercados!$B$2:$B$32,0)),"Revisar alias"))</f>
        <v/>
      </c>
    </row>
    <row r="260" customFormat="false" ht="15" hidden="false" customHeight="true" outlineLevel="0" collapsed="false">
      <c r="B260" s="1" t="str">
        <f aca="false">IF(A260="","",IFERROR(INDEX(Mercados!$A$2:$A$32,MATCH(A260,Mercados!$B$2:$B$32,0)),"Revisar alias"))</f>
        <v/>
      </c>
    </row>
    <row r="261" customFormat="false" ht="15" hidden="false" customHeight="true" outlineLevel="0" collapsed="false">
      <c r="B261" s="1" t="str">
        <f aca="false">IF(A261="","",IFERROR(INDEX(Mercados!$A$2:$A$32,MATCH(A261,Mercados!$B$2:$B$32,0)),"Revisar alias"))</f>
        <v/>
      </c>
    </row>
    <row r="262" customFormat="false" ht="15" hidden="false" customHeight="true" outlineLevel="0" collapsed="false">
      <c r="B262" s="1" t="str">
        <f aca="false">IF(A262="","",IFERROR(INDEX(Mercados!$A$2:$A$32,MATCH(A262,Mercados!$B$2:$B$32,0)),"Revisar alias"))</f>
        <v/>
      </c>
    </row>
    <row r="263" customFormat="false" ht="15" hidden="false" customHeight="true" outlineLevel="0" collapsed="false">
      <c r="B263" s="1" t="str">
        <f aca="false">IF(A263="","",IFERROR(INDEX(Mercados!$A$2:$A$32,MATCH(A263,Mercados!$B$2:$B$32,0)),"Revisar alias"))</f>
        <v/>
      </c>
    </row>
    <row r="264" customFormat="false" ht="15" hidden="false" customHeight="true" outlineLevel="0" collapsed="false">
      <c r="B264" s="1" t="str">
        <f aca="false">IF(A264="","",IFERROR(INDEX(Mercados!$A$2:$A$32,MATCH(A264,Mercados!$B$2:$B$32,0)),"Revisar alias"))</f>
        <v/>
      </c>
    </row>
    <row r="265" customFormat="false" ht="15" hidden="false" customHeight="true" outlineLevel="0" collapsed="false">
      <c r="B265" s="1" t="str">
        <f aca="false">IF(A265="","",IFERROR(INDEX(Mercados!$A$2:$A$32,MATCH(A265,Mercados!$B$2:$B$32,0)),"Revisar alias"))</f>
        <v/>
      </c>
    </row>
    <row r="266" customFormat="false" ht="15" hidden="false" customHeight="true" outlineLevel="0" collapsed="false">
      <c r="B266" s="1" t="str">
        <f aca="false">IF(A266="","",IFERROR(INDEX(Mercados!$A$2:$A$32,MATCH(A266,Mercados!$B$2:$B$32,0)),"Revisar alias"))</f>
        <v/>
      </c>
    </row>
    <row r="267" customFormat="false" ht="15" hidden="false" customHeight="true" outlineLevel="0" collapsed="false">
      <c r="B267" s="1" t="str">
        <f aca="false">IF(A267="","",IFERROR(INDEX(Mercados!$A$2:$A$32,MATCH(A267,Mercados!$B$2:$B$32,0)),"Revisar alias"))</f>
        <v/>
      </c>
    </row>
    <row r="268" customFormat="false" ht="15" hidden="false" customHeight="true" outlineLevel="0" collapsed="false">
      <c r="B268" s="1" t="str">
        <f aca="false">IF(A268="","",IFERROR(INDEX(Mercados!$A$2:$A$32,MATCH(A268,Mercados!$B$2:$B$32,0)),"Revisar alias"))</f>
        <v/>
      </c>
    </row>
    <row r="269" customFormat="false" ht="15" hidden="false" customHeight="true" outlineLevel="0" collapsed="false">
      <c r="B269" s="1" t="str">
        <f aca="false">IF(A269="","",IFERROR(INDEX(Mercados!$A$2:$A$32,MATCH(A269,Mercados!$B$2:$B$32,0)),"Revisar alias"))</f>
        <v/>
      </c>
    </row>
    <row r="270" customFormat="false" ht="15" hidden="false" customHeight="true" outlineLevel="0" collapsed="false">
      <c r="B270" s="1" t="str">
        <f aca="false">IF(A270="","",IFERROR(INDEX(Mercados!$A$2:$A$32,MATCH(A270,Mercados!$B$2:$B$32,0)),"Revisar alias"))</f>
        <v/>
      </c>
    </row>
    <row r="271" customFormat="false" ht="15" hidden="false" customHeight="true" outlineLevel="0" collapsed="false">
      <c r="B271" s="1" t="str">
        <f aca="false">IF(A271="","",IFERROR(INDEX(Mercados!$A$2:$A$32,MATCH(A271,Mercados!$B$2:$B$32,0)),"Revisar alias"))</f>
        <v/>
      </c>
    </row>
    <row r="272" customFormat="false" ht="15" hidden="false" customHeight="true" outlineLevel="0" collapsed="false">
      <c r="B272" s="1" t="str">
        <f aca="false">IF(A272="","",IFERROR(INDEX(Mercados!$A$2:$A$32,MATCH(A272,Mercados!$B$2:$B$32,0)),"Revisar alias"))</f>
        <v/>
      </c>
    </row>
    <row r="273" customFormat="false" ht="15" hidden="false" customHeight="true" outlineLevel="0" collapsed="false">
      <c r="B273" s="1" t="str">
        <f aca="false">IF(A273="","",IFERROR(INDEX(Mercados!$A$2:$A$32,MATCH(A273,Mercados!$B$2:$B$32,0)),"Revisar alias"))</f>
        <v/>
      </c>
    </row>
    <row r="274" customFormat="false" ht="15" hidden="false" customHeight="true" outlineLevel="0" collapsed="false">
      <c r="B274" s="1" t="str">
        <f aca="false">IF(A274="","",IFERROR(INDEX(Mercados!$A$2:$A$32,MATCH(A274,Mercados!$B$2:$B$32,0)),"Revisar alias"))</f>
        <v/>
      </c>
    </row>
    <row r="275" customFormat="false" ht="15" hidden="false" customHeight="true" outlineLevel="0" collapsed="false">
      <c r="B275" s="1" t="str">
        <f aca="false">IF(A275="","",IFERROR(INDEX(Mercados!$A$2:$A$32,MATCH(A275,Mercados!$B$2:$B$32,0)),"Revisar alias"))</f>
        <v/>
      </c>
    </row>
    <row r="276" customFormat="false" ht="15" hidden="false" customHeight="true" outlineLevel="0" collapsed="false">
      <c r="B276" s="1" t="str">
        <f aca="false">IF(A276="","",IFERROR(INDEX(Mercados!$A$2:$A$32,MATCH(A276,Mercados!$B$2:$B$32,0)),"Revisar alias"))</f>
        <v/>
      </c>
    </row>
    <row r="277" customFormat="false" ht="15" hidden="false" customHeight="true" outlineLevel="0" collapsed="false">
      <c r="B277" s="1" t="str">
        <f aca="false">IF(A277="","",IFERROR(INDEX(Mercados!$A$2:$A$32,MATCH(A277,Mercados!$B$2:$B$32,0)),"Revisar alias"))</f>
        <v/>
      </c>
    </row>
    <row r="278" customFormat="false" ht="15" hidden="false" customHeight="true" outlineLevel="0" collapsed="false">
      <c r="B278" s="1" t="str">
        <f aca="false">IF(A278="","",IFERROR(INDEX(Mercados!$A$2:$A$32,MATCH(A278,Mercados!$B$2:$B$32,0)),"Revisar alias"))</f>
        <v/>
      </c>
    </row>
    <row r="279" customFormat="false" ht="15" hidden="false" customHeight="true" outlineLevel="0" collapsed="false">
      <c r="B279" s="1" t="str">
        <f aca="false">IF(A279="","",IFERROR(INDEX(Mercados!$A$2:$A$32,MATCH(A279,Mercados!$B$2:$B$32,0)),"Revisar alias"))</f>
        <v/>
      </c>
    </row>
    <row r="280" customFormat="false" ht="15" hidden="false" customHeight="true" outlineLevel="0" collapsed="false">
      <c r="B280" s="1" t="str">
        <f aca="false">IF(A280="","",IFERROR(INDEX(Mercados!$A$2:$A$32,MATCH(A280,Mercados!$B$2:$B$32,0)),"Revisar alias"))</f>
        <v/>
      </c>
    </row>
    <row r="281" customFormat="false" ht="15" hidden="false" customHeight="true" outlineLevel="0" collapsed="false">
      <c r="B281" s="1" t="str">
        <f aca="false">IF(A281="","",IFERROR(INDEX(Mercados!$A$2:$A$32,MATCH(A281,Mercados!$B$2:$B$32,0)),"Revisar alias"))</f>
        <v/>
      </c>
    </row>
    <row r="282" customFormat="false" ht="15" hidden="false" customHeight="true" outlineLevel="0" collapsed="false">
      <c r="B282" s="1" t="str">
        <f aca="false">IF(A282="","",IFERROR(INDEX(Mercados!$A$2:$A$32,MATCH(A282,Mercados!$B$2:$B$32,0)),"Revisar alias"))</f>
        <v/>
      </c>
    </row>
    <row r="283" customFormat="false" ht="15" hidden="false" customHeight="true" outlineLevel="0" collapsed="false">
      <c r="B283" s="1" t="str">
        <f aca="false">IF(A283="","",IFERROR(INDEX(Mercados!$A$2:$A$32,MATCH(A283,Mercados!$B$2:$B$32,0)),"Revisar alias"))</f>
        <v/>
      </c>
    </row>
    <row r="284" customFormat="false" ht="15" hidden="false" customHeight="true" outlineLevel="0" collapsed="false">
      <c r="B284" s="1" t="str">
        <f aca="false">IF(A284="","",IFERROR(INDEX(Mercados!$A$2:$A$32,MATCH(A284,Mercados!$B$2:$B$32,0)),"Revisar alias"))</f>
        <v/>
      </c>
    </row>
    <row r="285" customFormat="false" ht="15" hidden="false" customHeight="true" outlineLevel="0" collapsed="false">
      <c r="B285" s="1" t="str">
        <f aca="false">IF(A285="","",IFERROR(INDEX(Mercados!$A$2:$A$32,MATCH(A285,Mercados!$B$2:$B$32,0)),"Revisar alias"))</f>
        <v/>
      </c>
    </row>
    <row r="286" customFormat="false" ht="15" hidden="false" customHeight="true" outlineLevel="0" collapsed="false">
      <c r="B286" s="1" t="str">
        <f aca="false">IF(A286="","",IFERROR(INDEX(Mercados!$A$2:$A$32,MATCH(A286,Mercados!$B$2:$B$32,0)),"Revisar alias"))</f>
        <v/>
      </c>
    </row>
    <row r="287" customFormat="false" ht="15" hidden="false" customHeight="true" outlineLevel="0" collapsed="false">
      <c r="B287" s="1" t="str">
        <f aca="false">IF(A287="","",IFERROR(INDEX(Mercados!$A$2:$A$32,MATCH(A287,Mercados!$B$2:$B$32,0)),"Revisar alias"))</f>
        <v/>
      </c>
    </row>
    <row r="288" customFormat="false" ht="15" hidden="false" customHeight="true" outlineLevel="0" collapsed="false">
      <c r="B288" s="1" t="str">
        <f aca="false">IF(A288="","",IFERROR(INDEX(Mercados!$A$2:$A$32,MATCH(A288,Mercados!$B$2:$B$32,0)),"Revisar alias"))</f>
        <v/>
      </c>
    </row>
    <row r="289" customFormat="false" ht="15" hidden="false" customHeight="true" outlineLevel="0" collapsed="false">
      <c r="B289" s="1" t="str">
        <f aca="false">IF(A289="","",IFERROR(INDEX(Mercados!$A$2:$A$32,MATCH(A289,Mercados!$B$2:$B$32,0)),"Revisar alias"))</f>
        <v/>
      </c>
    </row>
    <row r="290" customFormat="false" ht="15" hidden="false" customHeight="true" outlineLevel="0" collapsed="false">
      <c r="B290" s="1" t="str">
        <f aca="false">IF(A290="","",IFERROR(INDEX(Mercados!$A$2:$A$32,MATCH(A290,Mercados!$B$2:$B$32,0)),"Revisar alias"))</f>
        <v/>
      </c>
    </row>
    <row r="291" customFormat="false" ht="15" hidden="false" customHeight="true" outlineLevel="0" collapsed="false">
      <c r="B291" s="1" t="str">
        <f aca="false">IF(A291="","",IFERROR(INDEX(Mercados!$A$2:$A$32,MATCH(A291,Mercados!$B$2:$B$32,0)),"Revisar alias"))</f>
        <v/>
      </c>
    </row>
    <row r="292" customFormat="false" ht="15" hidden="false" customHeight="true" outlineLevel="0" collapsed="false">
      <c r="B292" s="1" t="str">
        <f aca="false">IF(A292="","",IFERROR(INDEX(Mercados!$A$2:$A$32,MATCH(A292,Mercados!$B$2:$B$32,0)),"Revisar alias"))</f>
        <v/>
      </c>
    </row>
    <row r="293" customFormat="false" ht="15" hidden="false" customHeight="true" outlineLevel="0" collapsed="false">
      <c r="B293" s="1" t="str">
        <f aca="false">IF(A293="","",IFERROR(INDEX(Mercados!$A$2:$A$32,MATCH(A293,Mercados!$B$2:$B$32,0)),"Revisar alias"))</f>
        <v/>
      </c>
    </row>
    <row r="294" customFormat="false" ht="15" hidden="false" customHeight="true" outlineLevel="0" collapsed="false">
      <c r="B294" s="1" t="str">
        <f aca="false">IF(A294="","",IFERROR(INDEX(Mercados!$A$2:$A$32,MATCH(A294,Mercados!$B$2:$B$32,0)),"Revisar alias"))</f>
        <v/>
      </c>
    </row>
    <row r="295" customFormat="false" ht="15" hidden="false" customHeight="true" outlineLevel="0" collapsed="false">
      <c r="B295" s="1" t="str">
        <f aca="false">IF(A295="","",IFERROR(INDEX(Mercados!$A$2:$A$32,MATCH(A295,Mercados!$B$2:$B$32,0)),"Revisar alias"))</f>
        <v/>
      </c>
    </row>
    <row r="296" customFormat="false" ht="15" hidden="false" customHeight="true" outlineLevel="0" collapsed="false">
      <c r="B296" s="1" t="str">
        <f aca="false">IF(A296="","",IFERROR(INDEX(Mercados!$A$2:$A$32,MATCH(A296,Mercados!$B$2:$B$32,0)),"Revisar alias"))</f>
        <v/>
      </c>
    </row>
    <row r="297" customFormat="false" ht="15" hidden="false" customHeight="true" outlineLevel="0" collapsed="false">
      <c r="B297" s="1" t="str">
        <f aca="false">IF(A297="","",IFERROR(INDEX(Mercados!$A$2:$A$32,MATCH(A297,Mercados!$B$2:$B$32,0)),"Revisar alias"))</f>
        <v/>
      </c>
    </row>
    <row r="298" customFormat="false" ht="15" hidden="false" customHeight="true" outlineLevel="0" collapsed="false">
      <c r="B298" s="1" t="str">
        <f aca="false">IF(A298="","",IFERROR(INDEX(Mercados!$A$2:$A$32,MATCH(A298,Mercados!$B$2:$B$32,0)),"Revisar alias"))</f>
        <v/>
      </c>
    </row>
    <row r="299" customFormat="false" ht="15" hidden="false" customHeight="true" outlineLevel="0" collapsed="false">
      <c r="B299" s="1" t="str">
        <f aca="false">IF(A299="","",IFERROR(INDEX(Mercados!$A$2:$A$32,MATCH(A299,Mercados!$B$2:$B$32,0)),"Revisar alias"))</f>
        <v/>
      </c>
    </row>
    <row r="300" customFormat="false" ht="15" hidden="false" customHeight="true" outlineLevel="0" collapsed="false">
      <c r="B300" s="1" t="str">
        <f aca="false">IF(A300="","",IFERROR(INDEX(Mercados!$A$2:$A$32,MATCH(A300,Mercados!$B$2:$B$32,0)),"Revisar alias"))</f>
        <v/>
      </c>
    </row>
    <row r="301" customFormat="false" ht="15" hidden="false" customHeight="true" outlineLevel="0" collapsed="false">
      <c r="B301" s="1" t="str">
        <f aca="false">IF(A301="","",IFERROR(INDEX(Mercados!$A$2:$A$32,MATCH(A301,Mercados!$B$2:$B$32,0)),"Revisar alias"))</f>
        <v/>
      </c>
    </row>
    <row r="302" customFormat="false" ht="15" hidden="false" customHeight="true" outlineLevel="0" collapsed="false">
      <c r="B302" s="1" t="str">
        <f aca="false">IF(A302="","",IFERROR(INDEX(Mercados!$A$2:$A$32,MATCH(A302,Mercados!$B$2:$B$32,0)),"Revisar alias"))</f>
        <v/>
      </c>
    </row>
    <row r="303" customFormat="false" ht="15" hidden="false" customHeight="true" outlineLevel="0" collapsed="false">
      <c r="B303" s="1" t="str">
        <f aca="false">IF(A303="","",IFERROR(INDEX(Mercados!$A$2:$A$32,MATCH(A303,Mercados!$B$2:$B$32,0)),"Revisar alias"))</f>
        <v/>
      </c>
    </row>
    <row r="304" customFormat="false" ht="15" hidden="false" customHeight="true" outlineLevel="0" collapsed="false">
      <c r="B304" s="1" t="str">
        <f aca="false">IF(A304="","",IFERROR(INDEX(Mercados!$A$2:$A$32,MATCH(A304,Mercados!$B$2:$B$32,0)),"Revisar alias"))</f>
        <v/>
      </c>
    </row>
    <row r="305" customFormat="false" ht="15" hidden="false" customHeight="true" outlineLevel="0" collapsed="false">
      <c r="B305" s="1" t="str">
        <f aca="false">IF(A305="","",IFERROR(INDEX(Mercados!$A$2:$A$32,MATCH(A305,Mercados!$B$2:$B$32,0)),"Revisar alias"))</f>
        <v/>
      </c>
    </row>
    <row r="306" customFormat="false" ht="15" hidden="false" customHeight="true" outlineLevel="0" collapsed="false">
      <c r="B306" s="1" t="str">
        <f aca="false">IF(A306="","",IFERROR(INDEX(Mercados!$A$2:$A$32,MATCH(A306,Mercados!$B$2:$B$32,0)),"Revisar alias"))</f>
        <v/>
      </c>
    </row>
    <row r="307" customFormat="false" ht="15" hidden="false" customHeight="true" outlineLevel="0" collapsed="false">
      <c r="B307" s="1" t="str">
        <f aca="false">IF(A307="","",IFERROR(INDEX(Mercados!$A$2:$A$32,MATCH(A307,Mercados!$B$2:$B$32,0)),"Revisar alias"))</f>
        <v/>
      </c>
    </row>
    <row r="308" customFormat="false" ht="15" hidden="false" customHeight="true" outlineLevel="0" collapsed="false">
      <c r="B308" s="1" t="str">
        <f aca="false">IF(A308="","",IFERROR(INDEX(Mercados!$A$2:$A$32,MATCH(A308,Mercados!$B$2:$B$32,0)),"Revisar alias"))</f>
        <v/>
      </c>
    </row>
    <row r="309" customFormat="false" ht="15" hidden="false" customHeight="true" outlineLevel="0" collapsed="false">
      <c r="B309" s="1" t="str">
        <f aca="false">IF(A309="","",IFERROR(INDEX(Mercados!$A$2:$A$32,MATCH(A309,Mercados!$B$2:$B$32,0)),"Revisar alias"))</f>
        <v/>
      </c>
    </row>
    <row r="310" customFormat="false" ht="15" hidden="false" customHeight="true" outlineLevel="0" collapsed="false">
      <c r="B310" s="1" t="str">
        <f aca="false">IF(A310="","",IFERROR(INDEX(Mercados!$A$2:$A$32,MATCH(A310,Mercados!$B$2:$B$32,0)),"Revisar alias"))</f>
        <v/>
      </c>
    </row>
    <row r="311" customFormat="false" ht="15" hidden="false" customHeight="true" outlineLevel="0" collapsed="false">
      <c r="B311" s="1" t="str">
        <f aca="false">IF(A311="","",IFERROR(INDEX(Mercados!$A$2:$A$32,MATCH(A311,Mercados!$B$2:$B$32,0)),"Revisar alias"))</f>
        <v/>
      </c>
    </row>
    <row r="312" customFormat="false" ht="15" hidden="false" customHeight="true" outlineLevel="0" collapsed="false">
      <c r="B312" s="1" t="str">
        <f aca="false">IF(A312="","",IFERROR(INDEX(Mercados!$A$2:$A$32,MATCH(A312,Mercados!$B$2:$B$32,0)),"Revisar alias"))</f>
        <v/>
      </c>
    </row>
    <row r="313" customFormat="false" ht="15" hidden="false" customHeight="true" outlineLevel="0" collapsed="false">
      <c r="B313" s="1" t="str">
        <f aca="false">IF(A313="","",IFERROR(INDEX(Mercados!$A$2:$A$32,MATCH(A313,Mercados!$B$2:$B$32,0)),"Revisar alias"))</f>
        <v/>
      </c>
    </row>
    <row r="314" customFormat="false" ht="15" hidden="false" customHeight="true" outlineLevel="0" collapsed="false">
      <c r="B314" s="1" t="str">
        <f aca="false">IF(A314="","",IFERROR(INDEX(Mercados!$A$2:$A$32,MATCH(A314,Mercados!$B$2:$B$32,0)),"Revisar alias"))</f>
        <v/>
      </c>
    </row>
    <row r="315" customFormat="false" ht="15" hidden="false" customHeight="true" outlineLevel="0" collapsed="false">
      <c r="B315" s="1" t="str">
        <f aca="false">IF(A315="","",IFERROR(INDEX(Mercados!$A$2:$A$32,MATCH(A315,Mercados!$B$2:$B$32,0)),"Revisar alias"))</f>
        <v/>
      </c>
    </row>
    <row r="316" customFormat="false" ht="15" hidden="false" customHeight="true" outlineLevel="0" collapsed="false">
      <c r="B316" s="1" t="str">
        <f aca="false">IF(A316="","",IFERROR(INDEX(Mercados!$A$2:$A$32,MATCH(A316,Mercados!$B$2:$B$32,0)),"Revisar alias"))</f>
        <v/>
      </c>
    </row>
    <row r="317" customFormat="false" ht="15" hidden="false" customHeight="true" outlineLevel="0" collapsed="false">
      <c r="B317" s="1" t="str">
        <f aca="false">IF(A317="","",IFERROR(INDEX(Mercados!$A$2:$A$32,MATCH(A317,Mercados!$B$2:$B$32,0)),"Revisar alias"))</f>
        <v/>
      </c>
    </row>
    <row r="318" customFormat="false" ht="15" hidden="false" customHeight="true" outlineLevel="0" collapsed="false">
      <c r="B318" s="1" t="str">
        <f aca="false">IF(A318="","",IFERROR(INDEX(Mercados!$A$2:$A$32,MATCH(A318,Mercados!$B$2:$B$32,0)),"Revisar alias"))</f>
        <v/>
      </c>
    </row>
    <row r="319" customFormat="false" ht="15" hidden="false" customHeight="true" outlineLevel="0" collapsed="false">
      <c r="B319" s="1" t="str">
        <f aca="false">IF(A319="","",IFERROR(INDEX(Mercados!$A$2:$A$32,MATCH(A319,Mercados!$B$2:$B$32,0)),"Revisar alias"))</f>
        <v/>
      </c>
    </row>
    <row r="320" customFormat="false" ht="15" hidden="false" customHeight="true" outlineLevel="0" collapsed="false">
      <c r="B320" s="1" t="str">
        <f aca="false">IF(A320="","",IFERROR(INDEX(Mercados!$A$2:$A$32,MATCH(A320,Mercados!$B$2:$B$32,0)),"Revisar alias"))</f>
        <v/>
      </c>
    </row>
    <row r="321" customFormat="false" ht="15" hidden="false" customHeight="true" outlineLevel="0" collapsed="false">
      <c r="B321" s="1" t="str">
        <f aca="false">IF(A321="","",IFERROR(INDEX(Mercados!$A$2:$A$32,MATCH(A321,Mercados!$B$2:$B$32,0)),"Revisar alias"))</f>
        <v/>
      </c>
    </row>
    <row r="322" customFormat="false" ht="15" hidden="false" customHeight="true" outlineLevel="0" collapsed="false">
      <c r="B322" s="1" t="str">
        <f aca="false">IF(A322="","",IFERROR(INDEX(Mercados!$A$2:$A$32,MATCH(A322,Mercados!$B$2:$B$32,0)),"Revisar alias"))</f>
        <v/>
      </c>
    </row>
    <row r="323" customFormat="false" ht="15" hidden="false" customHeight="true" outlineLevel="0" collapsed="false">
      <c r="B323" s="1" t="str">
        <f aca="false">IF(A323="","",IFERROR(INDEX(Mercados!$A$2:$A$32,MATCH(A323,Mercados!$B$2:$B$32,0)),"Revisar alias"))</f>
        <v/>
      </c>
    </row>
    <row r="324" customFormat="false" ht="15" hidden="false" customHeight="true" outlineLevel="0" collapsed="false">
      <c r="B324" s="1" t="str">
        <f aca="false">IF(A324="","",IFERROR(INDEX(Mercados!$A$2:$A$32,MATCH(A324,Mercados!$B$2:$B$32,0)),"Revisar alias"))</f>
        <v/>
      </c>
    </row>
    <row r="325" customFormat="false" ht="15" hidden="false" customHeight="true" outlineLevel="0" collapsed="false">
      <c r="B325" s="1" t="str">
        <f aca="false">IF(A325="","",IFERROR(INDEX(Mercados!$A$2:$A$32,MATCH(A325,Mercados!$B$2:$B$32,0)),"Revisar alias"))</f>
        <v/>
      </c>
    </row>
    <row r="326" customFormat="false" ht="15" hidden="false" customHeight="true" outlineLevel="0" collapsed="false">
      <c r="B326" s="1" t="str">
        <f aca="false">IF(A326="","",IFERROR(INDEX(Mercados!$A$2:$A$32,MATCH(A326,Mercados!$B$2:$B$32,0)),"Revisar alias"))</f>
        <v/>
      </c>
    </row>
    <row r="327" customFormat="false" ht="15" hidden="false" customHeight="true" outlineLevel="0" collapsed="false">
      <c r="B327" s="1" t="str">
        <f aca="false">IF(A327="","",IFERROR(INDEX(Mercados!$A$2:$A$32,MATCH(A327,Mercados!$B$2:$B$32,0)),"Revisar alias"))</f>
        <v/>
      </c>
    </row>
    <row r="328" customFormat="false" ht="15" hidden="false" customHeight="true" outlineLevel="0" collapsed="false">
      <c r="B328" s="1" t="str">
        <f aca="false">IF(A328="","",IFERROR(INDEX(Mercados!$A$2:$A$32,MATCH(A328,Mercados!$B$2:$B$32,0)),"Revisar alias"))</f>
        <v/>
      </c>
    </row>
    <row r="329" customFormat="false" ht="15" hidden="false" customHeight="true" outlineLevel="0" collapsed="false">
      <c r="B329" s="1" t="str">
        <f aca="false">IF(A329="","",IFERROR(INDEX(Mercados!$A$2:$A$32,MATCH(A329,Mercados!$B$2:$B$32,0)),"Revisar alias"))</f>
        <v/>
      </c>
    </row>
    <row r="330" customFormat="false" ht="15" hidden="false" customHeight="true" outlineLevel="0" collapsed="false">
      <c r="B330" s="1" t="str">
        <f aca="false">IF(A330="","",IFERROR(INDEX(Mercados!$A$2:$A$32,MATCH(A330,Mercados!$B$2:$B$32,0)),"Revisar alias"))</f>
        <v/>
      </c>
    </row>
    <row r="331" customFormat="false" ht="15" hidden="false" customHeight="true" outlineLevel="0" collapsed="false">
      <c r="B331" s="1" t="str">
        <f aca="false">IF(A331="","",IFERROR(INDEX(Mercados!$A$2:$A$32,MATCH(A331,Mercados!$B$2:$B$32,0)),"Revisar alias"))</f>
        <v/>
      </c>
    </row>
    <row r="332" customFormat="false" ht="15" hidden="false" customHeight="true" outlineLevel="0" collapsed="false">
      <c r="B332" s="1" t="str">
        <f aca="false">IF(A332="","",IFERROR(INDEX(Mercados!$A$2:$A$32,MATCH(A332,Mercados!$B$2:$B$32,0)),"Revisar alias"))</f>
        <v/>
      </c>
    </row>
    <row r="333" customFormat="false" ht="15" hidden="false" customHeight="true" outlineLevel="0" collapsed="false">
      <c r="B333" s="1" t="str">
        <f aca="false">IF(A333="","",IFERROR(INDEX(Mercados!$A$2:$A$32,MATCH(A333,Mercados!$B$2:$B$32,0)),"Revisar alias"))</f>
        <v/>
      </c>
    </row>
    <row r="334" customFormat="false" ht="15" hidden="false" customHeight="true" outlineLevel="0" collapsed="false">
      <c r="B334" s="1" t="str">
        <f aca="false">IF(A334="","",IFERROR(INDEX(Mercados!$A$2:$A$32,MATCH(A334,Mercados!$B$2:$B$32,0)),"Revisar alias"))</f>
        <v/>
      </c>
    </row>
    <row r="335" customFormat="false" ht="15" hidden="false" customHeight="true" outlineLevel="0" collapsed="false">
      <c r="B335" s="1" t="str">
        <f aca="false">IF(A335="","",IFERROR(INDEX(Mercados!$A$2:$A$32,MATCH(A335,Mercados!$B$2:$B$32,0)),"Revisar alias"))</f>
        <v/>
      </c>
    </row>
    <row r="336" customFormat="false" ht="15" hidden="false" customHeight="true" outlineLevel="0" collapsed="false">
      <c r="B336" s="1" t="str">
        <f aca="false">IF(A336="","",IFERROR(INDEX(Mercados!$A$2:$A$32,MATCH(A336,Mercados!$B$2:$B$32,0)),"Revisar alias"))</f>
        <v/>
      </c>
    </row>
    <row r="337" customFormat="false" ht="15" hidden="false" customHeight="true" outlineLevel="0" collapsed="false">
      <c r="B337" s="1" t="str">
        <f aca="false">IF(A337="","",IFERROR(INDEX(Mercados!$A$2:$A$32,MATCH(A337,Mercados!$B$2:$B$32,0)),"Revisar alias"))</f>
        <v/>
      </c>
    </row>
    <row r="338" customFormat="false" ht="15" hidden="false" customHeight="true" outlineLevel="0" collapsed="false">
      <c r="B338" s="1" t="str">
        <f aca="false">IF(A338="","",IFERROR(INDEX(Mercados!$A$2:$A$32,MATCH(A338,Mercados!$B$2:$B$32,0)),"Revisar alias"))</f>
        <v/>
      </c>
    </row>
    <row r="339" customFormat="false" ht="15" hidden="false" customHeight="true" outlineLevel="0" collapsed="false">
      <c r="B339" s="1" t="str">
        <f aca="false">IF(A339="","",IFERROR(INDEX(Mercados!$A$2:$A$32,MATCH(A339,Mercados!$B$2:$B$32,0)),"Revisar alias"))</f>
        <v/>
      </c>
    </row>
    <row r="340" customFormat="false" ht="15" hidden="false" customHeight="true" outlineLevel="0" collapsed="false">
      <c r="B340" s="1" t="str">
        <f aca="false">IF(A340="","",IFERROR(INDEX(Mercados!$A$2:$A$32,MATCH(A340,Mercados!$B$2:$B$32,0)),"Revisar alias"))</f>
        <v/>
      </c>
    </row>
    <row r="341" customFormat="false" ht="15" hidden="false" customHeight="true" outlineLevel="0" collapsed="false">
      <c r="B341" s="1" t="str">
        <f aca="false">IF(A341="","",IFERROR(INDEX(Mercados!$A$2:$A$32,MATCH(A341,Mercados!$B$2:$B$32,0)),"Revisar alias"))</f>
        <v/>
      </c>
    </row>
    <row r="342" customFormat="false" ht="15" hidden="false" customHeight="true" outlineLevel="0" collapsed="false">
      <c r="B342" s="1" t="str">
        <f aca="false">IF(A342="","",IFERROR(INDEX(Mercados!$A$2:$A$32,MATCH(A342,Mercados!$B$2:$B$32,0)),"Revisar alias"))</f>
        <v/>
      </c>
    </row>
    <row r="343" customFormat="false" ht="15" hidden="false" customHeight="true" outlineLevel="0" collapsed="false">
      <c r="B343" s="1" t="str">
        <f aca="false">IF(A343="","",IFERROR(INDEX(Mercados!$A$2:$A$32,MATCH(A343,Mercados!$B$2:$B$32,0)),"Revisar alias"))</f>
        <v/>
      </c>
    </row>
    <row r="344" customFormat="false" ht="15" hidden="false" customHeight="true" outlineLevel="0" collapsed="false">
      <c r="B344" s="1" t="str">
        <f aca="false">IF(A344="","",IFERROR(INDEX(Mercados!$A$2:$A$32,MATCH(A344,Mercados!$B$2:$B$32,0)),"Revisar alias"))</f>
        <v/>
      </c>
    </row>
    <row r="345" customFormat="false" ht="15" hidden="false" customHeight="true" outlineLevel="0" collapsed="false">
      <c r="B345" s="1" t="str">
        <f aca="false">IF(A345="","",IFERROR(INDEX(Mercados!$A$2:$A$32,MATCH(A345,Mercados!$B$2:$B$32,0)),"Revisar alias"))</f>
        <v/>
      </c>
    </row>
    <row r="346" customFormat="false" ht="15" hidden="false" customHeight="true" outlineLevel="0" collapsed="false">
      <c r="B346" s="1" t="str">
        <f aca="false">IF(A346="","",IFERROR(INDEX(Mercados!$A$2:$A$32,MATCH(A346,Mercados!$B$2:$B$32,0)),"Revisar alias"))</f>
        <v/>
      </c>
    </row>
    <row r="347" customFormat="false" ht="15" hidden="false" customHeight="true" outlineLevel="0" collapsed="false">
      <c r="B347" s="1" t="str">
        <f aca="false">IF(A347="","",IFERROR(INDEX(Mercados!$A$2:$A$32,MATCH(A347,Mercados!$B$2:$B$32,0)),"Revisar alias"))</f>
        <v/>
      </c>
    </row>
    <row r="348" customFormat="false" ht="15" hidden="false" customHeight="true" outlineLevel="0" collapsed="false">
      <c r="B348" s="1" t="str">
        <f aca="false">IF(A348="","",IFERROR(INDEX(Mercados!$A$2:$A$32,MATCH(A348,Mercados!$B$2:$B$32,0)),"Revisar alias"))</f>
        <v/>
      </c>
    </row>
    <row r="349" customFormat="false" ht="15" hidden="false" customHeight="true" outlineLevel="0" collapsed="false">
      <c r="B349" s="1" t="str">
        <f aca="false">IF(A349="","",IFERROR(INDEX(Mercados!$A$2:$A$32,MATCH(A349,Mercados!$B$2:$B$32,0)),"Revisar alias"))</f>
        <v/>
      </c>
    </row>
    <row r="350" customFormat="false" ht="15" hidden="false" customHeight="true" outlineLevel="0" collapsed="false">
      <c r="B350" s="1" t="str">
        <f aca="false">IF(A350="","",IFERROR(INDEX(Mercados!$A$2:$A$32,MATCH(A350,Mercados!$B$2:$B$32,0)),"Revisar alias"))</f>
        <v/>
      </c>
    </row>
    <row r="351" customFormat="false" ht="15" hidden="false" customHeight="true" outlineLevel="0" collapsed="false">
      <c r="B351" s="1" t="str">
        <f aca="false">IF(A351="","",IFERROR(INDEX(Mercados!$A$2:$A$32,MATCH(A351,Mercados!$B$2:$B$32,0)),"Revisar alias"))</f>
        <v/>
      </c>
    </row>
    <row r="352" customFormat="false" ht="15" hidden="false" customHeight="true" outlineLevel="0" collapsed="false">
      <c r="B352" s="1" t="str">
        <f aca="false">IF(A352="","",IFERROR(INDEX(Mercados!$A$2:$A$32,MATCH(A352,Mercados!$B$2:$B$32,0)),"Revisar alias"))</f>
        <v/>
      </c>
    </row>
    <row r="353" customFormat="false" ht="15" hidden="false" customHeight="true" outlineLevel="0" collapsed="false">
      <c r="B353" s="1" t="str">
        <f aca="false">IF(A353="","",IFERROR(INDEX(Mercados!$A$2:$A$32,MATCH(A353,Mercados!$B$2:$B$32,0)),"Revisar alias"))</f>
        <v/>
      </c>
    </row>
    <row r="354" customFormat="false" ht="15" hidden="false" customHeight="true" outlineLevel="0" collapsed="false">
      <c r="B354" s="1" t="str">
        <f aca="false">IF(A354="","",IFERROR(INDEX(Mercados!$A$2:$A$32,MATCH(A354,Mercados!$B$2:$B$32,0)),"Revisar alias"))</f>
        <v/>
      </c>
    </row>
    <row r="355" customFormat="false" ht="15" hidden="false" customHeight="true" outlineLevel="0" collapsed="false">
      <c r="B355" s="1" t="str">
        <f aca="false">IF(A355="","",IFERROR(INDEX(Mercados!$A$2:$A$32,MATCH(A355,Mercados!$B$2:$B$32,0)),"Revisar alias"))</f>
        <v/>
      </c>
    </row>
    <row r="356" customFormat="false" ht="15" hidden="false" customHeight="true" outlineLevel="0" collapsed="false">
      <c r="B356" s="1" t="str">
        <f aca="false">IF(A356="","",IFERROR(INDEX(Mercados!$A$2:$A$32,MATCH(A356,Mercados!$B$2:$B$32,0)),"Revisar alias"))</f>
        <v/>
      </c>
    </row>
    <row r="357" customFormat="false" ht="15" hidden="false" customHeight="true" outlineLevel="0" collapsed="false">
      <c r="B357" s="1" t="str">
        <f aca="false">IF(A357="","",IFERROR(INDEX(Mercados!$A$2:$A$32,MATCH(A357,Mercados!$B$2:$B$32,0)),"Revisar alias"))</f>
        <v/>
      </c>
    </row>
    <row r="358" customFormat="false" ht="15" hidden="false" customHeight="true" outlineLevel="0" collapsed="false">
      <c r="B358" s="1" t="str">
        <f aca="false">IF(A358="","",IFERROR(INDEX(Mercados!$A$2:$A$32,MATCH(A358,Mercados!$B$2:$B$32,0)),"Revisar alias"))</f>
        <v/>
      </c>
    </row>
    <row r="359" customFormat="false" ht="15" hidden="false" customHeight="true" outlineLevel="0" collapsed="false">
      <c r="B359" s="1" t="str">
        <f aca="false">IF(A359="","",IFERROR(INDEX(Mercados!$A$2:$A$32,MATCH(A359,Mercados!$B$2:$B$32,0)),"Revisar alias"))</f>
        <v/>
      </c>
    </row>
    <row r="360" customFormat="false" ht="15" hidden="false" customHeight="true" outlineLevel="0" collapsed="false">
      <c r="B360" s="1" t="str">
        <f aca="false">IF(A360="","",IFERROR(INDEX(Mercados!$A$2:$A$32,MATCH(A360,Mercados!$B$2:$B$32,0)),"Revisar alias"))</f>
        <v/>
      </c>
    </row>
    <row r="361" customFormat="false" ht="15" hidden="false" customHeight="true" outlineLevel="0" collapsed="false">
      <c r="B361" s="1" t="str">
        <f aca="false">IF(A361="","",IFERROR(INDEX(Mercados!$A$2:$A$32,MATCH(A361,Mercados!$B$2:$B$32,0)),"Revisar alias"))</f>
        <v/>
      </c>
    </row>
    <row r="362" customFormat="false" ht="15" hidden="false" customHeight="true" outlineLevel="0" collapsed="false">
      <c r="B362" s="1" t="str">
        <f aca="false">IF(A362="","",IFERROR(INDEX(Mercados!$A$2:$A$32,MATCH(A362,Mercados!$B$2:$B$32,0)),"Revisar alias"))</f>
        <v/>
      </c>
    </row>
    <row r="363" customFormat="false" ht="15" hidden="false" customHeight="true" outlineLevel="0" collapsed="false">
      <c r="B363" s="1" t="str">
        <f aca="false">IF(A363="","",IFERROR(INDEX(Mercados!$A$2:$A$32,MATCH(A363,Mercados!$B$2:$B$32,0)),"Revisar alias"))</f>
        <v/>
      </c>
    </row>
    <row r="364" customFormat="false" ht="15" hidden="false" customHeight="true" outlineLevel="0" collapsed="false">
      <c r="B364" s="1" t="str">
        <f aca="false">IF(A364="","",IFERROR(INDEX(Mercados!$A$2:$A$32,MATCH(A364,Mercados!$B$2:$B$32,0)),"Revisar alias"))</f>
        <v/>
      </c>
    </row>
    <row r="365" customFormat="false" ht="15" hidden="false" customHeight="true" outlineLevel="0" collapsed="false">
      <c r="B365" s="1" t="str">
        <f aca="false">IF(A365="","",IFERROR(INDEX(Mercados!$A$2:$A$32,MATCH(A365,Mercados!$B$2:$B$32,0)),"Revisar alias"))</f>
        <v/>
      </c>
    </row>
    <row r="366" customFormat="false" ht="15" hidden="false" customHeight="true" outlineLevel="0" collapsed="false">
      <c r="B366" s="1" t="str">
        <f aca="false">IF(A366="","",IFERROR(INDEX(Mercados!$A$2:$A$32,MATCH(A366,Mercados!$B$2:$B$32,0)),"Revisar alias"))</f>
        <v/>
      </c>
    </row>
    <row r="367" customFormat="false" ht="15" hidden="false" customHeight="true" outlineLevel="0" collapsed="false">
      <c r="B367" s="1" t="str">
        <f aca="false">IF(A367="","",IFERROR(INDEX(Mercados!$A$2:$A$32,MATCH(A367,Mercados!$B$2:$B$32,0)),"Revisar alias"))</f>
        <v/>
      </c>
    </row>
    <row r="368" customFormat="false" ht="15" hidden="false" customHeight="true" outlineLevel="0" collapsed="false">
      <c r="B368" s="1" t="str">
        <f aca="false">IF(A368="","",IFERROR(INDEX(Mercados!$A$2:$A$32,MATCH(A368,Mercados!$B$2:$B$32,0)),"Revisar alias"))</f>
        <v/>
      </c>
    </row>
    <row r="369" customFormat="false" ht="15" hidden="false" customHeight="true" outlineLevel="0" collapsed="false">
      <c r="B369" s="1" t="str">
        <f aca="false">IF(A369="","",IFERROR(INDEX(Mercados!$A$2:$A$32,MATCH(A369,Mercados!$B$2:$B$32,0)),"Revisar alias"))</f>
        <v/>
      </c>
    </row>
    <row r="370" customFormat="false" ht="15" hidden="false" customHeight="true" outlineLevel="0" collapsed="false">
      <c r="B370" s="1" t="str">
        <f aca="false">IF(A370="","",IFERROR(INDEX(Mercados!$A$2:$A$32,MATCH(A370,Mercados!$B$2:$B$32,0)),"Revisar alias"))</f>
        <v/>
      </c>
    </row>
    <row r="371" customFormat="false" ht="15" hidden="false" customHeight="true" outlineLevel="0" collapsed="false">
      <c r="B371" s="1" t="str">
        <f aca="false">IF(A371="","",IFERROR(INDEX(Mercados!$A$2:$A$32,MATCH(A371,Mercados!$B$2:$B$32,0)),"Revisar alias"))</f>
        <v/>
      </c>
    </row>
    <row r="372" customFormat="false" ht="15" hidden="false" customHeight="true" outlineLevel="0" collapsed="false">
      <c r="B372" s="1" t="str">
        <f aca="false">IF(A372="","",IFERROR(INDEX(Mercados!$A$2:$A$32,MATCH(A372,Mercados!$B$2:$B$32,0)),"Revisar alias"))</f>
        <v/>
      </c>
    </row>
    <row r="373" customFormat="false" ht="15" hidden="false" customHeight="true" outlineLevel="0" collapsed="false">
      <c r="B373" s="1" t="str">
        <f aca="false">IF(A373="","",IFERROR(INDEX(Mercados!$A$2:$A$32,MATCH(A373,Mercados!$B$2:$B$32,0)),"Revisar alias"))</f>
        <v/>
      </c>
    </row>
    <row r="374" customFormat="false" ht="15" hidden="false" customHeight="true" outlineLevel="0" collapsed="false">
      <c r="B374" s="1" t="str">
        <f aca="false">IF(A374="","",IFERROR(INDEX(Mercados!$A$2:$A$32,MATCH(A374,Mercados!$B$2:$B$32,0)),"Revisar alias"))</f>
        <v/>
      </c>
    </row>
    <row r="375" customFormat="false" ht="15" hidden="false" customHeight="true" outlineLevel="0" collapsed="false">
      <c r="B375" s="1" t="str">
        <f aca="false">IF(A375="","",IFERROR(INDEX(Mercados!$A$2:$A$32,MATCH(A375,Mercados!$B$2:$B$32,0)),"Revisar alias"))</f>
        <v/>
      </c>
    </row>
    <row r="376" customFormat="false" ht="15" hidden="false" customHeight="true" outlineLevel="0" collapsed="false">
      <c r="B376" s="1" t="str">
        <f aca="false">IF(A376="","",IFERROR(INDEX(Mercados!$A$2:$A$32,MATCH(A376,Mercados!$B$2:$B$32,0)),"Revisar alias"))</f>
        <v/>
      </c>
    </row>
    <row r="377" customFormat="false" ht="15" hidden="false" customHeight="true" outlineLevel="0" collapsed="false">
      <c r="B377" s="1" t="str">
        <f aca="false">IF(A377="","",IFERROR(INDEX(Mercados!$A$2:$A$32,MATCH(A377,Mercados!$B$2:$B$32,0)),"Revisar alias"))</f>
        <v/>
      </c>
    </row>
    <row r="378" customFormat="false" ht="15" hidden="false" customHeight="true" outlineLevel="0" collapsed="false">
      <c r="B378" s="1" t="str">
        <f aca="false">IF(A378="","",IFERROR(INDEX(Mercados!$A$2:$A$32,MATCH(A378,Mercados!$B$2:$B$32,0)),"Revisar alias"))</f>
        <v/>
      </c>
    </row>
    <row r="379" customFormat="false" ht="15" hidden="false" customHeight="true" outlineLevel="0" collapsed="false">
      <c r="B379" s="1" t="str">
        <f aca="false">IF(A379="","",IFERROR(INDEX(Mercados!$A$2:$A$32,MATCH(A379,Mercados!$B$2:$B$32,0)),"Revisar alias"))</f>
        <v/>
      </c>
    </row>
    <row r="380" customFormat="false" ht="15" hidden="false" customHeight="true" outlineLevel="0" collapsed="false">
      <c r="B380" s="1" t="str">
        <f aca="false">IF(A380="","",IFERROR(INDEX(Mercados!$A$2:$A$32,MATCH(A380,Mercados!$B$2:$B$32,0)),"Revisar alias"))</f>
        <v/>
      </c>
    </row>
    <row r="381" customFormat="false" ht="15" hidden="false" customHeight="true" outlineLevel="0" collapsed="false">
      <c r="B381" s="1" t="str">
        <f aca="false">IF(A381="","",IFERROR(INDEX(Mercados!$A$2:$A$32,MATCH(A381,Mercados!$B$2:$B$32,0)),"Revisar alias"))</f>
        <v/>
      </c>
    </row>
    <row r="382" customFormat="false" ht="15" hidden="false" customHeight="true" outlineLevel="0" collapsed="false">
      <c r="B382" s="1" t="str">
        <f aca="false">IF(A382="","",IFERROR(INDEX(Mercados!$A$2:$A$32,MATCH(A382,Mercados!$B$2:$B$32,0)),"Revisar alias"))</f>
        <v/>
      </c>
    </row>
    <row r="383" customFormat="false" ht="15" hidden="false" customHeight="true" outlineLevel="0" collapsed="false">
      <c r="B383" s="1" t="str">
        <f aca="false">IF(A383="","",IFERROR(INDEX(Mercados!$A$2:$A$32,MATCH(A383,Mercados!$B$2:$B$32,0)),"Revisar alias"))</f>
        <v/>
      </c>
    </row>
    <row r="384" customFormat="false" ht="15" hidden="false" customHeight="true" outlineLevel="0" collapsed="false">
      <c r="B384" s="1" t="str">
        <f aca="false">IF(A384="","",IFERROR(INDEX(Mercados!$A$2:$A$32,MATCH(A384,Mercados!$B$2:$B$32,0)),"Revisar alias"))</f>
        <v/>
      </c>
    </row>
    <row r="385" customFormat="false" ht="15" hidden="false" customHeight="true" outlineLevel="0" collapsed="false">
      <c r="B385" s="1" t="str">
        <f aca="false">IF(A385="","",IFERROR(INDEX(Mercados!$A$2:$A$32,MATCH(A385,Mercados!$B$2:$B$32,0)),"Revisar alias"))</f>
        <v/>
      </c>
    </row>
    <row r="386" customFormat="false" ht="15" hidden="false" customHeight="true" outlineLevel="0" collapsed="false">
      <c r="B386" s="1" t="str">
        <f aca="false">IF(A386="","",IFERROR(INDEX(Mercados!$A$2:$A$32,MATCH(A386,Mercados!$B$2:$B$32,0)),"Revisar alias"))</f>
        <v/>
      </c>
    </row>
    <row r="387" customFormat="false" ht="15" hidden="false" customHeight="true" outlineLevel="0" collapsed="false">
      <c r="B387" s="1" t="str">
        <f aca="false">IF(A387="","",IFERROR(INDEX(Mercados!$A$2:$A$32,MATCH(A387,Mercados!$B$2:$B$32,0)),"Revisar alias"))</f>
        <v/>
      </c>
    </row>
    <row r="388" customFormat="false" ht="15" hidden="false" customHeight="true" outlineLevel="0" collapsed="false">
      <c r="B388" s="1" t="str">
        <f aca="false">IF(A388="","",IFERROR(INDEX(Mercados!$A$2:$A$32,MATCH(A388,Mercados!$B$2:$B$32,0)),"Revisar alias"))</f>
        <v/>
      </c>
    </row>
    <row r="389" customFormat="false" ht="15" hidden="false" customHeight="true" outlineLevel="0" collapsed="false">
      <c r="B389" s="1" t="str">
        <f aca="false">IF(A389="","",IFERROR(INDEX(Mercados!$A$2:$A$32,MATCH(A389,Mercados!$B$2:$B$32,0)),"Revisar alias"))</f>
        <v/>
      </c>
    </row>
    <row r="390" customFormat="false" ht="15" hidden="false" customHeight="true" outlineLevel="0" collapsed="false">
      <c r="B390" s="1" t="str">
        <f aca="false">IF(A390="","",IFERROR(INDEX(Mercados!$A$2:$A$32,MATCH(A390,Mercados!$B$2:$B$32,0)),"Revisar alias"))</f>
        <v/>
      </c>
    </row>
    <row r="391" customFormat="false" ht="15" hidden="false" customHeight="true" outlineLevel="0" collapsed="false">
      <c r="B391" s="1" t="str">
        <f aca="false">IF(A391="","",IFERROR(INDEX(Mercados!$A$2:$A$32,MATCH(A391,Mercados!$B$2:$B$32,0)),"Revisar alias"))</f>
        <v/>
      </c>
    </row>
    <row r="392" customFormat="false" ht="15" hidden="false" customHeight="true" outlineLevel="0" collapsed="false">
      <c r="B392" s="1" t="str">
        <f aca="false">IF(A392="","",IFERROR(INDEX(Mercados!$A$2:$A$32,MATCH(A392,Mercados!$B$2:$B$32,0)),"Revisar alias"))</f>
        <v/>
      </c>
    </row>
    <row r="393" customFormat="false" ht="15" hidden="false" customHeight="true" outlineLevel="0" collapsed="false">
      <c r="B393" s="1" t="str">
        <f aca="false">IF(A393="","",IFERROR(INDEX(Mercados!$A$2:$A$32,MATCH(A393,Mercados!$B$2:$B$32,0)),"Revisar alias"))</f>
        <v/>
      </c>
    </row>
    <row r="394" customFormat="false" ht="15" hidden="false" customHeight="true" outlineLevel="0" collapsed="false">
      <c r="B394" s="1" t="str">
        <f aca="false">IF(A394="","",IFERROR(INDEX(Mercados!$A$2:$A$32,MATCH(A394,Mercados!$B$2:$B$32,0)),"Revisar alias"))</f>
        <v/>
      </c>
    </row>
    <row r="395" customFormat="false" ht="15" hidden="false" customHeight="true" outlineLevel="0" collapsed="false">
      <c r="B395" s="1" t="str">
        <f aca="false">IF(A395="","",IFERROR(INDEX(Mercados!$A$2:$A$32,MATCH(A395,Mercados!$B$2:$B$32,0)),"Revisar alias"))</f>
        <v/>
      </c>
    </row>
    <row r="396" customFormat="false" ht="15" hidden="false" customHeight="true" outlineLevel="0" collapsed="false">
      <c r="B396" s="1" t="str">
        <f aca="false">IF(A396="","",IFERROR(INDEX(Mercados!$A$2:$A$32,MATCH(A396,Mercados!$B$2:$B$32,0)),"Revisar alias"))</f>
        <v/>
      </c>
    </row>
    <row r="397" customFormat="false" ht="15" hidden="false" customHeight="true" outlineLevel="0" collapsed="false">
      <c r="B397" s="1" t="str">
        <f aca="false">IF(A397="","",IFERROR(INDEX(Mercados!$A$2:$A$32,MATCH(A397,Mercados!$B$2:$B$32,0)),"Revisar alias"))</f>
        <v/>
      </c>
    </row>
    <row r="398" customFormat="false" ht="15" hidden="false" customHeight="true" outlineLevel="0" collapsed="false">
      <c r="B398" s="1" t="str">
        <f aca="false">IF(A398="","",IFERROR(INDEX(Mercados!$A$2:$A$32,MATCH(A398,Mercados!$B$2:$B$32,0)),"Revisar alias"))</f>
        <v/>
      </c>
    </row>
    <row r="399" customFormat="false" ht="15" hidden="false" customHeight="true" outlineLevel="0" collapsed="false">
      <c r="B399" s="1" t="str">
        <f aca="false">IF(A399="","",IFERROR(INDEX(Mercados!$A$2:$A$32,MATCH(A399,Mercados!$B$2:$B$32,0)),"Revisar alias"))</f>
        <v/>
      </c>
    </row>
    <row r="400" customFormat="false" ht="15" hidden="false" customHeight="true" outlineLevel="0" collapsed="false">
      <c r="B400" s="1" t="str">
        <f aca="false">IF(A400="","",IFERROR(INDEX(Mercados!$A$2:$A$32,MATCH(A400,Mercados!$B$2:$B$32,0)),"Revisar alias"))</f>
        <v/>
      </c>
    </row>
    <row r="401" customFormat="false" ht="15" hidden="false" customHeight="true" outlineLevel="0" collapsed="false">
      <c r="B401" s="1" t="str">
        <f aca="false">IF(A401="","",IFERROR(INDEX(Mercados!$A$2:$A$32,MATCH(A401,Mercados!$B$2:$B$32,0)),"Revisar alias"))</f>
        <v/>
      </c>
    </row>
    <row r="402" customFormat="false" ht="15" hidden="false" customHeight="true" outlineLevel="0" collapsed="false">
      <c r="B402" s="1" t="str">
        <f aca="false">IF(A402="","",IFERROR(INDEX(Mercados!$A$2:$A$32,MATCH(A402,Mercados!$B$2:$B$32,0)),"Revisar alias"))</f>
        <v/>
      </c>
    </row>
    <row r="403" customFormat="false" ht="15" hidden="false" customHeight="true" outlineLevel="0" collapsed="false">
      <c r="B403" s="1" t="str">
        <f aca="false">IF(A403="","",IFERROR(INDEX(Mercados!$A$2:$A$32,MATCH(A403,Mercados!$B$2:$B$32,0)),"Revisar alias"))</f>
        <v/>
      </c>
    </row>
    <row r="404" customFormat="false" ht="15" hidden="false" customHeight="true" outlineLevel="0" collapsed="false">
      <c r="B404" s="1" t="str">
        <f aca="false">IF(A404="","",IFERROR(INDEX(Mercados!$A$2:$A$32,MATCH(A404,Mercados!$B$2:$B$32,0)),"Revisar alias"))</f>
        <v/>
      </c>
    </row>
    <row r="405" customFormat="false" ht="15" hidden="false" customHeight="true" outlineLevel="0" collapsed="false">
      <c r="B405" s="1" t="str">
        <f aca="false">IF(A405="","",IFERROR(INDEX(Mercados!$A$2:$A$32,MATCH(A405,Mercados!$B$2:$B$32,0)),"Revisar alias"))</f>
        <v/>
      </c>
    </row>
    <row r="406" customFormat="false" ht="15" hidden="false" customHeight="true" outlineLevel="0" collapsed="false">
      <c r="B406" s="1" t="str">
        <f aca="false">IF(A406="","",IFERROR(INDEX(Mercados!$A$2:$A$32,MATCH(A406,Mercados!$B$2:$B$32,0)),"Revisar alias"))</f>
        <v/>
      </c>
    </row>
    <row r="407" customFormat="false" ht="15" hidden="false" customHeight="true" outlineLevel="0" collapsed="false">
      <c r="B407" s="1" t="str">
        <f aca="false">IF(A407="","",IFERROR(INDEX(Mercados!$A$2:$A$32,MATCH(A407,Mercados!$B$2:$B$32,0)),"Revisar alias"))</f>
        <v/>
      </c>
    </row>
    <row r="408" customFormat="false" ht="15" hidden="false" customHeight="true" outlineLevel="0" collapsed="false">
      <c r="B408" s="1" t="str">
        <f aca="false">IF(A408="","",IFERROR(INDEX(Mercados!$A$2:$A$32,MATCH(A408,Mercados!$B$2:$B$32,0)),"Revisar alias"))</f>
        <v/>
      </c>
    </row>
    <row r="409" customFormat="false" ht="15" hidden="false" customHeight="true" outlineLevel="0" collapsed="false">
      <c r="B409" s="1" t="str">
        <f aca="false">IF(A409="","",IFERROR(INDEX(Mercados!$A$2:$A$32,MATCH(A409,Mercados!$B$2:$B$32,0)),"Revisar alias"))</f>
        <v/>
      </c>
    </row>
    <row r="410" customFormat="false" ht="15" hidden="false" customHeight="true" outlineLevel="0" collapsed="false">
      <c r="B410" s="1" t="str">
        <f aca="false">IF(A410="","",IFERROR(INDEX(Mercados!$A$2:$A$32,MATCH(A410,Mercados!$B$2:$B$32,0)),"Revisar alias"))</f>
        <v/>
      </c>
    </row>
    <row r="411" customFormat="false" ht="15" hidden="false" customHeight="true" outlineLevel="0" collapsed="false">
      <c r="B411" s="1" t="str">
        <f aca="false">IF(A411="","",IFERROR(INDEX(Mercados!$A$2:$A$32,MATCH(A411,Mercados!$B$2:$B$32,0)),"Revisar alias"))</f>
        <v/>
      </c>
    </row>
    <row r="412" customFormat="false" ht="15" hidden="false" customHeight="true" outlineLevel="0" collapsed="false">
      <c r="B412" s="1" t="str">
        <f aca="false">IF(A412="","",IFERROR(INDEX(Mercados!$A$2:$A$32,MATCH(A412,Mercados!$B$2:$B$32,0)),"Revisar alias"))</f>
        <v/>
      </c>
    </row>
    <row r="413" customFormat="false" ht="15" hidden="false" customHeight="true" outlineLevel="0" collapsed="false">
      <c r="B413" s="1" t="str">
        <f aca="false">IF(A413="","",IFERROR(INDEX(Mercados!$A$2:$A$32,MATCH(A413,Mercados!$B$2:$B$32,0)),"Revisar alias"))</f>
        <v/>
      </c>
    </row>
    <row r="414" customFormat="false" ht="15" hidden="false" customHeight="true" outlineLevel="0" collapsed="false">
      <c r="B414" s="1" t="str">
        <f aca="false">IF(A414="","",IFERROR(INDEX(Mercados!$A$2:$A$32,MATCH(A414,Mercados!$B$2:$B$32,0)),"Revisar alias"))</f>
        <v/>
      </c>
    </row>
    <row r="415" customFormat="false" ht="15" hidden="false" customHeight="true" outlineLevel="0" collapsed="false">
      <c r="B415" s="1" t="str">
        <f aca="false">IF(A415="","",IFERROR(INDEX(Mercados!$A$2:$A$32,MATCH(A415,Mercados!$B$2:$B$32,0)),"Revisar alias"))</f>
        <v/>
      </c>
    </row>
    <row r="416" customFormat="false" ht="15" hidden="false" customHeight="true" outlineLevel="0" collapsed="false">
      <c r="B416" s="1" t="str">
        <f aca="false">IF(A416="","",IFERROR(INDEX(Mercados!$A$2:$A$32,MATCH(A416,Mercados!$B$2:$B$32,0)),"Revisar alias"))</f>
        <v/>
      </c>
    </row>
    <row r="417" customFormat="false" ht="15" hidden="false" customHeight="true" outlineLevel="0" collapsed="false">
      <c r="B417" s="1" t="str">
        <f aca="false">IF(A417="","",IFERROR(INDEX(Mercados!$A$2:$A$32,MATCH(A417,Mercados!$B$2:$B$32,0)),"Revisar alias"))</f>
        <v/>
      </c>
    </row>
    <row r="418" customFormat="false" ht="15" hidden="false" customHeight="true" outlineLevel="0" collapsed="false">
      <c r="B418" s="1" t="str">
        <f aca="false">IF(A418="","",IFERROR(INDEX(Mercados!$A$2:$A$32,MATCH(A418,Mercados!$B$2:$B$32,0)),"Revisar alias"))</f>
        <v/>
      </c>
    </row>
    <row r="419" customFormat="false" ht="15" hidden="false" customHeight="true" outlineLevel="0" collapsed="false">
      <c r="B419" s="1" t="str">
        <f aca="false">IF(A419="","",IFERROR(INDEX(Mercados!$A$2:$A$32,MATCH(A419,Mercados!$B$2:$B$32,0)),"Revisar alias"))</f>
        <v/>
      </c>
    </row>
    <row r="420" customFormat="false" ht="15" hidden="false" customHeight="true" outlineLevel="0" collapsed="false">
      <c r="B420" s="1" t="str">
        <f aca="false">IF(A420="","",IFERROR(INDEX(Mercados!$A$2:$A$32,MATCH(A420,Mercados!$B$2:$B$32,0)),"Revisar alias"))</f>
        <v/>
      </c>
    </row>
    <row r="421" customFormat="false" ht="15" hidden="false" customHeight="true" outlineLevel="0" collapsed="false">
      <c r="B421" s="1" t="str">
        <f aca="false">IF(A421="","",IFERROR(INDEX(Mercados!$A$2:$A$32,MATCH(A421,Mercados!$B$2:$B$32,0)),"Revisar alias"))</f>
        <v/>
      </c>
    </row>
    <row r="422" customFormat="false" ht="15" hidden="false" customHeight="true" outlineLevel="0" collapsed="false">
      <c r="B422" s="1" t="str">
        <f aca="false">IF(A422="","",IFERROR(INDEX(Mercados!$A$2:$A$32,MATCH(A422,Mercados!$B$2:$B$32,0)),"Revisar alias"))</f>
        <v/>
      </c>
    </row>
    <row r="423" customFormat="false" ht="15" hidden="false" customHeight="true" outlineLevel="0" collapsed="false">
      <c r="B423" s="1" t="str">
        <f aca="false">IF(A423="","",IFERROR(INDEX(Mercados!$A$2:$A$32,MATCH(A423,Mercados!$B$2:$B$32,0)),"Revisar alias"))</f>
        <v/>
      </c>
    </row>
    <row r="424" customFormat="false" ht="15" hidden="false" customHeight="true" outlineLevel="0" collapsed="false">
      <c r="B424" s="1" t="str">
        <f aca="false">IF(A424="","",IFERROR(INDEX(Mercados!$A$2:$A$32,MATCH(A424,Mercados!$B$2:$B$32,0)),"Revisar alias"))</f>
        <v/>
      </c>
    </row>
    <row r="425" customFormat="false" ht="15" hidden="false" customHeight="true" outlineLevel="0" collapsed="false">
      <c r="B425" s="1" t="str">
        <f aca="false">IF(A425="","",IFERROR(INDEX(Mercados!$A$2:$A$32,MATCH(A425,Mercados!$B$2:$B$32,0)),"Revisar alias"))</f>
        <v/>
      </c>
    </row>
    <row r="426" customFormat="false" ht="15" hidden="false" customHeight="true" outlineLevel="0" collapsed="false">
      <c r="B426" s="1" t="str">
        <f aca="false">IF(A426="","",IFERROR(INDEX(Mercados!$A$2:$A$32,MATCH(A426,Mercados!$B$2:$B$32,0)),"Revisar alias"))</f>
        <v/>
      </c>
    </row>
    <row r="427" customFormat="false" ht="15" hidden="false" customHeight="true" outlineLevel="0" collapsed="false">
      <c r="B427" s="1" t="str">
        <f aca="false">IF(A427="","",IFERROR(INDEX(Mercados!$A$2:$A$32,MATCH(A427,Mercados!$B$2:$B$32,0)),"Revisar alias"))</f>
        <v/>
      </c>
    </row>
    <row r="428" customFormat="false" ht="15" hidden="false" customHeight="true" outlineLevel="0" collapsed="false">
      <c r="B428" s="1" t="str">
        <f aca="false">IF(A428="","",IFERROR(INDEX(Mercados!$A$2:$A$32,MATCH(A428,Mercados!$B$2:$B$32,0)),"Revisar alias"))</f>
        <v/>
      </c>
    </row>
    <row r="429" customFormat="false" ht="15" hidden="false" customHeight="true" outlineLevel="0" collapsed="false">
      <c r="B429" s="1" t="str">
        <f aca="false">IF(A429="","",IFERROR(INDEX(Mercados!$A$2:$A$32,MATCH(A429,Mercados!$B$2:$B$32,0)),"Revisar alias"))</f>
        <v/>
      </c>
    </row>
    <row r="430" customFormat="false" ht="15" hidden="false" customHeight="true" outlineLevel="0" collapsed="false">
      <c r="B430" s="1" t="str">
        <f aca="false">IF(A430="","",IFERROR(INDEX(Mercados!$A$2:$A$32,MATCH(A430,Mercados!$B$2:$B$32,0)),"Revisar alias"))</f>
        <v/>
      </c>
    </row>
    <row r="431" customFormat="false" ht="15" hidden="false" customHeight="true" outlineLevel="0" collapsed="false">
      <c r="B431" s="1" t="str">
        <f aca="false">IF(A431="","",IFERROR(INDEX(Mercados!$A$2:$A$32,MATCH(A431,Mercados!$B$2:$B$32,0)),"Revisar alias"))</f>
        <v/>
      </c>
    </row>
    <row r="432" customFormat="false" ht="15" hidden="false" customHeight="true" outlineLevel="0" collapsed="false">
      <c r="B432" s="1" t="str">
        <f aca="false">IF(A432="","",IFERROR(INDEX(Mercados!$A$2:$A$32,MATCH(A432,Mercados!$B$2:$B$32,0)),"Revisar alias"))</f>
        <v/>
      </c>
    </row>
    <row r="433" customFormat="false" ht="15" hidden="false" customHeight="true" outlineLevel="0" collapsed="false">
      <c r="B433" s="1" t="str">
        <f aca="false">IF(A433="","",IFERROR(INDEX(Mercados!$A$2:$A$32,MATCH(A433,Mercados!$B$2:$B$32,0)),"Revisar alias"))</f>
        <v/>
      </c>
    </row>
    <row r="434" customFormat="false" ht="15" hidden="false" customHeight="true" outlineLevel="0" collapsed="false">
      <c r="B434" s="1" t="str">
        <f aca="false">IF(A434="","",IFERROR(INDEX(Mercados!$A$2:$A$32,MATCH(A434,Mercados!$B$2:$B$32,0)),"Revisar alias"))</f>
        <v/>
      </c>
    </row>
    <row r="435" customFormat="false" ht="15" hidden="false" customHeight="true" outlineLevel="0" collapsed="false">
      <c r="B435" s="1" t="str">
        <f aca="false">IF(A435="","",IFERROR(INDEX(Mercados!$A$2:$A$32,MATCH(A435,Mercados!$B$2:$B$32,0)),"Revisar alias"))</f>
        <v/>
      </c>
    </row>
    <row r="436" customFormat="false" ht="15" hidden="false" customHeight="true" outlineLevel="0" collapsed="false">
      <c r="B436" s="1" t="str">
        <f aca="false">IF(A436="","",IFERROR(INDEX(Mercados!$A$2:$A$32,MATCH(A436,Mercados!$B$2:$B$32,0)),"Revisar alias"))</f>
        <v/>
      </c>
    </row>
    <row r="437" customFormat="false" ht="15" hidden="false" customHeight="true" outlineLevel="0" collapsed="false">
      <c r="B437" s="1" t="str">
        <f aca="false">IF(A437="","",IFERROR(INDEX(Mercados!$A$2:$A$32,MATCH(A437,Mercados!$B$2:$B$32,0)),"Revisar alias"))</f>
        <v/>
      </c>
    </row>
    <row r="438" customFormat="false" ht="15" hidden="false" customHeight="true" outlineLevel="0" collapsed="false">
      <c r="B438" s="1" t="str">
        <f aca="false">IF(A438="","",IFERROR(INDEX(Mercados!$A$2:$A$32,MATCH(A438,Mercados!$B$2:$B$32,0)),"Revisar alias"))</f>
        <v/>
      </c>
    </row>
    <row r="439" customFormat="false" ht="15" hidden="false" customHeight="true" outlineLevel="0" collapsed="false">
      <c r="B439" s="1" t="str">
        <f aca="false">IF(A439="","",IFERROR(INDEX(Mercados!$A$2:$A$32,MATCH(A439,Mercados!$B$2:$B$32,0)),"Revisar alias"))</f>
        <v/>
      </c>
    </row>
    <row r="440" customFormat="false" ht="15" hidden="false" customHeight="true" outlineLevel="0" collapsed="false">
      <c r="B440" s="1" t="str">
        <f aca="false">IF(A440="","",IFERROR(INDEX(Mercados!$A$2:$A$32,MATCH(A440,Mercados!$B$2:$B$32,0)),"Revisar alias"))</f>
        <v/>
      </c>
    </row>
    <row r="441" customFormat="false" ht="15" hidden="false" customHeight="true" outlineLevel="0" collapsed="false">
      <c r="B441" s="1" t="str">
        <f aca="false">IF(A441="","",IFERROR(INDEX(Mercados!$A$2:$A$32,MATCH(A441,Mercados!$B$2:$B$32,0)),"Revisar alias"))</f>
        <v/>
      </c>
    </row>
    <row r="442" customFormat="false" ht="15" hidden="false" customHeight="true" outlineLevel="0" collapsed="false">
      <c r="B442" s="1" t="str">
        <f aca="false">IF(A442="","",IFERROR(INDEX(Mercados!$A$2:$A$32,MATCH(A442,Mercados!$B$2:$B$32,0)),"Revisar alias"))</f>
        <v/>
      </c>
    </row>
    <row r="443" customFormat="false" ht="15" hidden="false" customHeight="true" outlineLevel="0" collapsed="false">
      <c r="B443" s="1" t="str">
        <f aca="false">IF(A443="","",IFERROR(INDEX(Mercados!$A$2:$A$32,MATCH(A443,Mercados!$B$2:$B$32,0)),"Revisar alias"))</f>
        <v/>
      </c>
    </row>
    <row r="444" customFormat="false" ht="15" hidden="false" customHeight="true" outlineLevel="0" collapsed="false">
      <c r="B444" s="1" t="str">
        <f aca="false">IF(A444="","",IFERROR(INDEX(Mercados!$A$2:$A$32,MATCH(A444,Mercados!$B$2:$B$32,0)),"Revisar alias"))</f>
        <v/>
      </c>
    </row>
    <row r="445" customFormat="false" ht="15" hidden="false" customHeight="true" outlineLevel="0" collapsed="false">
      <c r="B445" s="1" t="str">
        <f aca="false">IF(A445="","",IFERROR(INDEX(Mercados!$A$2:$A$32,MATCH(A445,Mercados!$B$2:$B$32,0)),"Revisar alias"))</f>
        <v/>
      </c>
    </row>
    <row r="446" customFormat="false" ht="15" hidden="false" customHeight="true" outlineLevel="0" collapsed="false">
      <c r="B446" s="1" t="str">
        <f aca="false">IF(A446="","",IFERROR(INDEX(Mercados!$A$2:$A$32,MATCH(A446,Mercados!$B$2:$B$32,0)),"Revisar alias"))</f>
        <v/>
      </c>
    </row>
    <row r="447" customFormat="false" ht="15" hidden="false" customHeight="true" outlineLevel="0" collapsed="false">
      <c r="B447" s="1" t="str">
        <f aca="false">IF(A447="","",IFERROR(INDEX(Mercados!$A$2:$A$32,MATCH(A447,Mercados!$B$2:$B$32,0)),"Revisar alias"))</f>
        <v/>
      </c>
    </row>
    <row r="448" customFormat="false" ht="15" hidden="false" customHeight="true" outlineLevel="0" collapsed="false">
      <c r="B448" s="1" t="str">
        <f aca="false">IF(A448="","",IFERROR(INDEX(Mercados!$A$2:$A$32,MATCH(A448,Mercados!$B$2:$B$32,0)),"Revisar alias"))</f>
        <v/>
      </c>
    </row>
    <row r="449" customFormat="false" ht="15" hidden="false" customHeight="true" outlineLevel="0" collapsed="false">
      <c r="B449" s="1" t="str">
        <f aca="false">IF(A449="","",IFERROR(INDEX(Mercados!$A$2:$A$32,MATCH(A449,Mercados!$B$2:$B$32,0)),"Revisar alias"))</f>
        <v/>
      </c>
    </row>
    <row r="450" customFormat="false" ht="15" hidden="false" customHeight="true" outlineLevel="0" collapsed="false">
      <c r="B450" s="1" t="str">
        <f aca="false">IF(A450="","",IFERROR(INDEX(Mercados!$A$2:$A$32,MATCH(A450,Mercados!$B$2:$B$32,0)),"Revisar alias"))</f>
        <v/>
      </c>
    </row>
    <row r="451" customFormat="false" ht="15" hidden="false" customHeight="true" outlineLevel="0" collapsed="false">
      <c r="B451" s="1" t="str">
        <f aca="false">IF(A451="","",IFERROR(INDEX(Mercados!$A$2:$A$32,MATCH(A451,Mercados!$B$2:$B$32,0)),"Revisar alias"))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10"/>
    <col collapsed="false" customWidth="true" hidden="false" outlineLevel="0" max="8" min="7" style="1" width="8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8"/>
    <col collapsed="false" customWidth="true" hidden="false" outlineLevel="0" max="14" min="14" style="1" width="26"/>
    <col collapsed="false" customWidth="true" hidden="false" outlineLevel="0" max="15" min="15" style="1" width="10"/>
  </cols>
  <sheetData>
    <row r="1" customFormat="false" ht="15" hidden="false" customHeight="true" outlineLevel="0" collapsed="false">
      <c r="A1" s="4" t="s">
        <v>1512</v>
      </c>
      <c r="B1" s="4" t="s">
        <v>1501</v>
      </c>
      <c r="C1" s="4" t="s">
        <v>1503</v>
      </c>
      <c r="D1" s="4" t="s">
        <v>93</v>
      </c>
      <c r="E1" s="4" t="s">
        <v>94</v>
      </c>
      <c r="F1" s="4" t="s">
        <v>1505</v>
      </c>
      <c r="G1" s="4" t="s">
        <v>1513</v>
      </c>
      <c r="H1" s="4" t="s">
        <v>1514</v>
      </c>
      <c r="I1" s="4" t="s">
        <v>1506</v>
      </c>
      <c r="J1" s="4" t="s">
        <v>1507</v>
      </c>
      <c r="K1" s="4" t="s">
        <v>1508</v>
      </c>
      <c r="L1" s="4" t="s">
        <v>96</v>
      </c>
      <c r="M1" s="4" t="s">
        <v>95</v>
      </c>
      <c r="N1" s="4" t="s">
        <v>97</v>
      </c>
      <c r="O1" s="4" t="s">
        <v>1515</v>
      </c>
    </row>
    <row r="2" customFormat="false" ht="15" hidden="false" customHeight="true" outlineLevel="0" collapsed="false">
      <c r="A2" s="1" t="str">
        <f aca="false">IF(Brasil!C2="","",IFERROR(INDEX(Mercados!$C$2:$C$32,MATCH(Brasil!B2,Mercados!$A$2:$A$32,0)),"Revisar Tscode"))</f>
        <v>777 - ECUADOR</v>
      </c>
      <c r="B2" s="1" t="str">
        <f aca="false">IF(Brasil!C2="","",Brasil!C2)</f>
        <v>ITALCAUCHOS C.L. (EJEMPLO - BORRAR)</v>
      </c>
      <c r="C2" s="1" t="n">
        <f aca="false">IF(Brasil!C2="","",Brasil!A2)</f>
        <v>7530016455</v>
      </c>
      <c r="D2" s="1" t="n">
        <f aca="false">IF(Brasil!C2="","",Brasil!E2)</f>
        <v>1342900</v>
      </c>
      <c r="E2" s="1" t="str">
        <f aca="false">IF(Brasil!C2="","",Brasil!F2)</f>
        <v>110/70-17M/CTL 54H SpDemF</v>
      </c>
      <c r="F2" s="1" t="n">
        <f aca="false">IF(Brasil!C2="","",Brasil!D2)</f>
        <v>19</v>
      </c>
      <c r="I2" s="1" t="n">
        <f aca="false">IF(Brasil!C2="","",Brasil!H2)</f>
        <v>38.34</v>
      </c>
      <c r="J2" s="1" t="n">
        <f aca="false">IF(Brasil!C2="","",Brasil!D2*Brasil!H2)</f>
        <v>728.46</v>
      </c>
      <c r="K2" s="1" t="str">
        <f aca="false">IF(Brasil!C2="","","BR")</f>
        <v>BR</v>
      </c>
      <c r="L2" s="1" t="str">
        <f aca="false">IF(Brasil!C2="","",IFERROR(INDEX(Gamma_Catalogo!$D$3:$D$1451,MATCH(Brasil!E2,Gamma_Catalogo!$A$3:$A$1451,0)),"Revisar Ip Code"))</f>
        <v>MIX XPLY</v>
      </c>
      <c r="M2" s="1" t="str">
        <f aca="false">IF(Brasil!C2="","",IFERROR(INDEX(Gamma_Catalogo!$C$3:$C$1451,MATCH(Brasil!E2,Gamma_Catalogo!$A$3:$A$1451,0)),"Revisar Ip Code"))</f>
        <v>C</v>
      </c>
      <c r="N2" s="1" t="str">
        <f aca="false">IF(Brasil!C2="","",IFERROR(INDEX(Gamma_Catalogo!$E$3:$E$1451,MATCH(Brasil!E2,Gamma_Catalogo!$A$3:$A$1451,0)),"Revisar Ip Code"))</f>
        <v>SPORT TOURING X-PLY</v>
      </c>
      <c r="O2" s="1" t="str">
        <f aca="false">IF(Brasil!C2="","","Brasil")</f>
        <v>Brasil</v>
      </c>
    </row>
    <row r="3" customFormat="false" ht="15" hidden="false" customHeight="true" outlineLevel="0" collapsed="false">
      <c r="A3" s="1" t="str">
        <f aca="false">IF(Brasil!C3="","",IFERROR(INDEX(Mercados!$C$2:$C$32,MATCH(Brasil!B3,Mercados!$A$2:$A$32,0)),"Revisar Tscode"))</f>
        <v/>
      </c>
      <c r="B3" s="1" t="str">
        <f aca="false">IF(Brasil!C3="","",Brasil!C3)</f>
        <v/>
      </c>
      <c r="C3" s="1" t="str">
        <f aca="false">IF(Brasil!C3="","",Brasil!A3)</f>
        <v/>
      </c>
      <c r="D3" s="1" t="str">
        <f aca="false">IF(Brasil!C3="","",Brasil!E3)</f>
        <v/>
      </c>
      <c r="E3" s="1" t="str">
        <f aca="false">IF(Brasil!C3="","",Brasil!F3)</f>
        <v/>
      </c>
      <c r="F3" s="1" t="str">
        <f aca="false">IF(Brasil!C3="","",Brasil!D3)</f>
        <v/>
      </c>
      <c r="I3" s="1" t="str">
        <f aca="false">IF(Brasil!C3="","",Brasil!H3)</f>
        <v/>
      </c>
      <c r="J3" s="1" t="str">
        <f aca="false">IF(Brasil!C3="","",Brasil!D3*Brasil!H3)</f>
        <v/>
      </c>
      <c r="K3" s="1" t="str">
        <f aca="false">IF(Brasil!C3="","","BR")</f>
        <v/>
      </c>
      <c r="L3" s="1" t="str">
        <f aca="false">IF(Brasil!C3="","",IFERROR(INDEX(Gamma_Catalogo!$D$3:$D$1451,MATCH(Brasil!E3,Gamma_Catalogo!$A$3:$A$1451,0)),"Revisar Ip Code"))</f>
        <v/>
      </c>
      <c r="M3" s="1" t="str">
        <f aca="false">IF(Brasil!C3="","",IFERROR(INDEX(Gamma_Catalogo!$C$3:$C$1451,MATCH(Brasil!E3,Gamma_Catalogo!$A$3:$A$1451,0)),"Revisar Ip Code"))</f>
        <v/>
      </c>
      <c r="N3" s="1" t="str">
        <f aca="false">IF(Brasil!C3="","",IFERROR(INDEX(Gamma_Catalogo!$E$3:$E$1451,MATCH(Brasil!E3,Gamma_Catalogo!$A$3:$A$1451,0)),"Revisar Ip Code"))</f>
        <v/>
      </c>
      <c r="O3" s="1" t="str">
        <f aca="false">IF(Brasil!C3="","","Brasil")</f>
        <v/>
      </c>
    </row>
    <row r="4" customFormat="false" ht="15" hidden="false" customHeight="true" outlineLevel="0" collapsed="false">
      <c r="A4" s="1" t="str">
        <f aca="false">IF(Brasil!C4="","",IFERROR(INDEX(Mercados!$C$2:$C$32,MATCH(Brasil!B4,Mercados!$A$2:$A$32,0)),"Revisar Tscode"))</f>
        <v/>
      </c>
      <c r="B4" s="1" t="str">
        <f aca="false">IF(Brasil!C4="","",Brasil!C4)</f>
        <v/>
      </c>
      <c r="C4" s="1" t="str">
        <f aca="false">IF(Brasil!C4="","",Brasil!A4)</f>
        <v/>
      </c>
      <c r="D4" s="1" t="str">
        <f aca="false">IF(Brasil!C4="","",Brasil!E4)</f>
        <v/>
      </c>
      <c r="E4" s="1" t="str">
        <f aca="false">IF(Brasil!C4="","",Brasil!F4)</f>
        <v/>
      </c>
      <c r="F4" s="1" t="str">
        <f aca="false">IF(Brasil!C4="","",Brasil!D4)</f>
        <v/>
      </c>
      <c r="I4" s="1" t="str">
        <f aca="false">IF(Brasil!C4="","",Brasil!H4)</f>
        <v/>
      </c>
      <c r="J4" s="1" t="str">
        <f aca="false">IF(Brasil!C4="","",Brasil!D4*Brasil!H4)</f>
        <v/>
      </c>
      <c r="K4" s="1" t="str">
        <f aca="false">IF(Brasil!C4="","","BR")</f>
        <v/>
      </c>
      <c r="L4" s="1" t="str">
        <f aca="false">IF(Brasil!C4="","",IFERROR(INDEX(Gamma_Catalogo!$D$3:$D$1451,MATCH(Brasil!E4,Gamma_Catalogo!$A$3:$A$1451,0)),"Revisar Ip Code"))</f>
        <v/>
      </c>
      <c r="M4" s="1" t="str">
        <f aca="false">IF(Brasil!C4="","",IFERROR(INDEX(Gamma_Catalogo!$C$3:$C$1451,MATCH(Brasil!E4,Gamma_Catalogo!$A$3:$A$1451,0)),"Revisar Ip Code"))</f>
        <v/>
      </c>
      <c r="N4" s="1" t="str">
        <f aca="false">IF(Brasil!C4="","",IFERROR(INDEX(Gamma_Catalogo!$E$3:$E$1451,MATCH(Brasil!E4,Gamma_Catalogo!$A$3:$A$1451,0)),"Revisar Ip Code"))</f>
        <v/>
      </c>
      <c r="O4" s="1" t="str">
        <f aca="false">IF(Brasil!C4="","","Brasil")</f>
        <v/>
      </c>
    </row>
    <row r="5" customFormat="false" ht="15" hidden="false" customHeight="true" outlineLevel="0" collapsed="false">
      <c r="A5" s="1" t="str">
        <f aca="false">IF(Brasil!C5="","",IFERROR(INDEX(Mercados!$C$2:$C$32,MATCH(Brasil!B5,Mercados!$A$2:$A$32,0)),"Revisar Tscode"))</f>
        <v/>
      </c>
      <c r="B5" s="1" t="str">
        <f aca="false">IF(Brasil!C5="","",Brasil!C5)</f>
        <v/>
      </c>
      <c r="C5" s="1" t="str">
        <f aca="false">IF(Brasil!C5="","",Brasil!A5)</f>
        <v/>
      </c>
      <c r="D5" s="1" t="str">
        <f aca="false">IF(Brasil!C5="","",Brasil!E5)</f>
        <v/>
      </c>
      <c r="E5" s="1" t="str">
        <f aca="false">IF(Brasil!C5="","",Brasil!F5)</f>
        <v/>
      </c>
      <c r="F5" s="1" t="str">
        <f aca="false">IF(Brasil!C5="","",Brasil!D5)</f>
        <v/>
      </c>
      <c r="I5" s="1" t="str">
        <f aca="false">IF(Brasil!C5="","",Brasil!H5)</f>
        <v/>
      </c>
      <c r="J5" s="1" t="str">
        <f aca="false">IF(Brasil!C5="","",Brasil!D5*Brasil!H5)</f>
        <v/>
      </c>
      <c r="K5" s="1" t="str">
        <f aca="false">IF(Brasil!C5="","","BR")</f>
        <v/>
      </c>
      <c r="L5" s="1" t="str">
        <f aca="false">IF(Brasil!C5="","",IFERROR(INDEX(Gamma_Catalogo!$D$3:$D$1451,MATCH(Brasil!E5,Gamma_Catalogo!$A$3:$A$1451,0)),"Revisar Ip Code"))</f>
        <v/>
      </c>
      <c r="M5" s="1" t="str">
        <f aca="false">IF(Brasil!C5="","",IFERROR(INDEX(Gamma_Catalogo!$C$3:$C$1451,MATCH(Brasil!E5,Gamma_Catalogo!$A$3:$A$1451,0)),"Revisar Ip Code"))</f>
        <v/>
      </c>
      <c r="N5" s="1" t="str">
        <f aca="false">IF(Brasil!C5="","",IFERROR(INDEX(Gamma_Catalogo!$E$3:$E$1451,MATCH(Brasil!E5,Gamma_Catalogo!$A$3:$A$1451,0)),"Revisar Ip Code"))</f>
        <v/>
      </c>
      <c r="O5" s="1" t="str">
        <f aca="false">IF(Brasil!C5="","","Brasil")</f>
        <v/>
      </c>
    </row>
    <row r="6" customFormat="false" ht="15" hidden="false" customHeight="true" outlineLevel="0" collapsed="false">
      <c r="A6" s="1" t="str">
        <f aca="false">IF(Brasil!C6="","",IFERROR(INDEX(Mercados!$C$2:$C$32,MATCH(Brasil!B6,Mercados!$A$2:$A$32,0)),"Revisar Tscode"))</f>
        <v/>
      </c>
      <c r="B6" s="1" t="str">
        <f aca="false">IF(Brasil!C6="","",Brasil!C6)</f>
        <v/>
      </c>
      <c r="C6" s="1" t="str">
        <f aca="false">IF(Brasil!C6="","",Brasil!A6)</f>
        <v/>
      </c>
      <c r="D6" s="1" t="str">
        <f aca="false">IF(Brasil!C6="","",Brasil!E6)</f>
        <v/>
      </c>
      <c r="E6" s="1" t="str">
        <f aca="false">IF(Brasil!C6="","",Brasil!F6)</f>
        <v/>
      </c>
      <c r="F6" s="1" t="str">
        <f aca="false">IF(Brasil!C6="","",Brasil!D6)</f>
        <v/>
      </c>
      <c r="I6" s="1" t="str">
        <f aca="false">IF(Brasil!C6="","",Brasil!H6)</f>
        <v/>
      </c>
      <c r="J6" s="1" t="str">
        <f aca="false">IF(Brasil!C6="","",Brasil!D6*Brasil!H6)</f>
        <v/>
      </c>
      <c r="K6" s="1" t="str">
        <f aca="false">IF(Brasil!C6="","","BR")</f>
        <v/>
      </c>
      <c r="L6" s="1" t="str">
        <f aca="false">IF(Brasil!C6="","",IFERROR(INDEX(Gamma_Catalogo!$D$3:$D$1451,MATCH(Brasil!E6,Gamma_Catalogo!$A$3:$A$1451,0)),"Revisar Ip Code"))</f>
        <v/>
      </c>
      <c r="M6" s="1" t="str">
        <f aca="false">IF(Brasil!C6="","",IFERROR(INDEX(Gamma_Catalogo!$C$3:$C$1451,MATCH(Brasil!E6,Gamma_Catalogo!$A$3:$A$1451,0)),"Revisar Ip Code"))</f>
        <v/>
      </c>
      <c r="N6" s="1" t="str">
        <f aca="false">IF(Brasil!C6="","",IFERROR(INDEX(Gamma_Catalogo!$E$3:$E$1451,MATCH(Brasil!E6,Gamma_Catalogo!$A$3:$A$1451,0)),"Revisar Ip Code"))</f>
        <v/>
      </c>
      <c r="O6" s="1" t="str">
        <f aca="false">IF(Brasil!C6="","","Brasil")</f>
        <v/>
      </c>
    </row>
    <row r="7" customFormat="false" ht="15" hidden="false" customHeight="true" outlineLevel="0" collapsed="false">
      <c r="A7" s="1" t="str">
        <f aca="false">IF(Brasil!C7="","",IFERROR(INDEX(Mercados!$C$2:$C$32,MATCH(Brasil!B7,Mercados!$A$2:$A$32,0)),"Revisar Tscode"))</f>
        <v/>
      </c>
      <c r="B7" s="1" t="str">
        <f aca="false">IF(Brasil!C7="","",Brasil!C7)</f>
        <v/>
      </c>
      <c r="C7" s="1" t="str">
        <f aca="false">IF(Brasil!C7="","",Brasil!A7)</f>
        <v/>
      </c>
      <c r="D7" s="1" t="str">
        <f aca="false">IF(Brasil!C7="","",Brasil!E7)</f>
        <v/>
      </c>
      <c r="E7" s="1" t="str">
        <f aca="false">IF(Brasil!C7="","",Brasil!F7)</f>
        <v/>
      </c>
      <c r="F7" s="1" t="str">
        <f aca="false">IF(Brasil!C7="","",Brasil!D7)</f>
        <v/>
      </c>
      <c r="I7" s="1" t="str">
        <f aca="false">IF(Brasil!C7="","",Brasil!H7)</f>
        <v/>
      </c>
      <c r="J7" s="1" t="str">
        <f aca="false">IF(Brasil!C7="","",Brasil!D7*Brasil!H7)</f>
        <v/>
      </c>
      <c r="K7" s="1" t="str">
        <f aca="false">IF(Brasil!C7="","","BR")</f>
        <v/>
      </c>
      <c r="L7" s="1" t="str">
        <f aca="false">IF(Brasil!C7="","",IFERROR(INDEX(Gamma_Catalogo!$D$3:$D$1451,MATCH(Brasil!E7,Gamma_Catalogo!$A$3:$A$1451,0)),"Revisar Ip Code"))</f>
        <v/>
      </c>
      <c r="M7" s="1" t="str">
        <f aca="false">IF(Brasil!C7="","",IFERROR(INDEX(Gamma_Catalogo!$C$3:$C$1451,MATCH(Brasil!E7,Gamma_Catalogo!$A$3:$A$1451,0)),"Revisar Ip Code"))</f>
        <v/>
      </c>
      <c r="N7" s="1" t="str">
        <f aca="false">IF(Brasil!C7="","",IFERROR(INDEX(Gamma_Catalogo!$E$3:$E$1451,MATCH(Brasil!E7,Gamma_Catalogo!$A$3:$A$1451,0)),"Revisar Ip Code"))</f>
        <v/>
      </c>
      <c r="O7" s="1" t="str">
        <f aca="false">IF(Brasil!C7="","","Brasil")</f>
        <v/>
      </c>
    </row>
    <row r="8" customFormat="false" ht="15" hidden="false" customHeight="true" outlineLevel="0" collapsed="false">
      <c r="A8" s="1" t="str">
        <f aca="false">IF(Brasil!C8="","",IFERROR(INDEX(Mercados!$C$2:$C$32,MATCH(Brasil!B8,Mercados!$A$2:$A$32,0)),"Revisar Tscode"))</f>
        <v/>
      </c>
      <c r="B8" s="1" t="str">
        <f aca="false">IF(Brasil!C8="","",Brasil!C8)</f>
        <v/>
      </c>
      <c r="C8" s="1" t="str">
        <f aca="false">IF(Brasil!C8="","",Brasil!A8)</f>
        <v/>
      </c>
      <c r="D8" s="1" t="str">
        <f aca="false">IF(Brasil!C8="","",Brasil!E8)</f>
        <v/>
      </c>
      <c r="E8" s="1" t="str">
        <f aca="false">IF(Brasil!C8="","",Brasil!F8)</f>
        <v/>
      </c>
      <c r="F8" s="1" t="str">
        <f aca="false">IF(Brasil!C8="","",Brasil!D8)</f>
        <v/>
      </c>
      <c r="I8" s="1" t="str">
        <f aca="false">IF(Brasil!C8="","",Brasil!H8)</f>
        <v/>
      </c>
      <c r="J8" s="1" t="str">
        <f aca="false">IF(Brasil!C8="","",Brasil!D8*Brasil!H8)</f>
        <v/>
      </c>
      <c r="K8" s="1" t="str">
        <f aca="false">IF(Brasil!C8="","","BR")</f>
        <v/>
      </c>
      <c r="L8" s="1" t="str">
        <f aca="false">IF(Brasil!C8="","",IFERROR(INDEX(Gamma_Catalogo!$D$3:$D$1451,MATCH(Brasil!E8,Gamma_Catalogo!$A$3:$A$1451,0)),"Revisar Ip Code"))</f>
        <v/>
      </c>
      <c r="M8" s="1" t="str">
        <f aca="false">IF(Brasil!C8="","",IFERROR(INDEX(Gamma_Catalogo!$C$3:$C$1451,MATCH(Brasil!E8,Gamma_Catalogo!$A$3:$A$1451,0)),"Revisar Ip Code"))</f>
        <v/>
      </c>
      <c r="N8" s="1" t="str">
        <f aca="false">IF(Brasil!C8="","",IFERROR(INDEX(Gamma_Catalogo!$E$3:$E$1451,MATCH(Brasil!E8,Gamma_Catalogo!$A$3:$A$1451,0)),"Revisar Ip Code"))</f>
        <v/>
      </c>
      <c r="O8" s="1" t="str">
        <f aca="false">IF(Brasil!C8="","","Brasil")</f>
        <v/>
      </c>
    </row>
    <row r="9" customFormat="false" ht="15" hidden="false" customHeight="true" outlineLevel="0" collapsed="false">
      <c r="A9" s="1" t="str">
        <f aca="false">IF(Brasil!C9="","",IFERROR(INDEX(Mercados!$C$2:$C$32,MATCH(Brasil!B9,Mercados!$A$2:$A$32,0)),"Revisar Tscode"))</f>
        <v/>
      </c>
      <c r="B9" s="1" t="str">
        <f aca="false">IF(Brasil!C9="","",Brasil!C9)</f>
        <v/>
      </c>
      <c r="C9" s="1" t="str">
        <f aca="false">IF(Brasil!C9="","",Brasil!A9)</f>
        <v/>
      </c>
      <c r="D9" s="1" t="str">
        <f aca="false">IF(Brasil!C9="","",Brasil!E9)</f>
        <v/>
      </c>
      <c r="E9" s="1" t="str">
        <f aca="false">IF(Brasil!C9="","",Brasil!F9)</f>
        <v/>
      </c>
      <c r="F9" s="1" t="str">
        <f aca="false">IF(Brasil!C9="","",Brasil!D9)</f>
        <v/>
      </c>
      <c r="I9" s="1" t="str">
        <f aca="false">IF(Brasil!C9="","",Brasil!H9)</f>
        <v/>
      </c>
      <c r="J9" s="1" t="str">
        <f aca="false">IF(Brasil!C9="","",Brasil!D9*Brasil!H9)</f>
        <v/>
      </c>
      <c r="K9" s="1" t="str">
        <f aca="false">IF(Brasil!C9="","","BR")</f>
        <v/>
      </c>
      <c r="L9" s="1" t="str">
        <f aca="false">IF(Brasil!C9="","",IFERROR(INDEX(Gamma_Catalogo!$D$3:$D$1451,MATCH(Brasil!E9,Gamma_Catalogo!$A$3:$A$1451,0)),"Revisar Ip Code"))</f>
        <v/>
      </c>
      <c r="M9" s="1" t="str">
        <f aca="false">IF(Brasil!C9="","",IFERROR(INDEX(Gamma_Catalogo!$C$3:$C$1451,MATCH(Brasil!E9,Gamma_Catalogo!$A$3:$A$1451,0)),"Revisar Ip Code"))</f>
        <v/>
      </c>
      <c r="N9" s="1" t="str">
        <f aca="false">IF(Brasil!C9="","",IFERROR(INDEX(Gamma_Catalogo!$E$3:$E$1451,MATCH(Brasil!E9,Gamma_Catalogo!$A$3:$A$1451,0)),"Revisar Ip Code"))</f>
        <v/>
      </c>
      <c r="O9" s="1" t="str">
        <f aca="false">IF(Brasil!C9="","","Brasil")</f>
        <v/>
      </c>
    </row>
    <row r="10" customFormat="false" ht="15" hidden="false" customHeight="true" outlineLevel="0" collapsed="false">
      <c r="A10" s="1" t="str">
        <f aca="false">IF(Brasil!C10="","",IFERROR(INDEX(Mercados!$C$2:$C$32,MATCH(Brasil!B10,Mercados!$A$2:$A$32,0)),"Revisar Tscode"))</f>
        <v/>
      </c>
      <c r="B10" s="1" t="str">
        <f aca="false">IF(Brasil!C10="","",Brasil!C10)</f>
        <v/>
      </c>
      <c r="C10" s="1" t="str">
        <f aca="false">IF(Brasil!C10="","",Brasil!A10)</f>
        <v/>
      </c>
      <c r="D10" s="1" t="str">
        <f aca="false">IF(Brasil!C10="","",Brasil!E10)</f>
        <v/>
      </c>
      <c r="E10" s="1" t="str">
        <f aca="false">IF(Brasil!C10="","",Brasil!F10)</f>
        <v/>
      </c>
      <c r="F10" s="1" t="str">
        <f aca="false">IF(Brasil!C10="","",Brasil!D10)</f>
        <v/>
      </c>
      <c r="I10" s="1" t="str">
        <f aca="false">IF(Brasil!C10="","",Brasil!H10)</f>
        <v/>
      </c>
      <c r="J10" s="1" t="str">
        <f aca="false">IF(Brasil!C10="","",Brasil!D10*Brasil!H10)</f>
        <v/>
      </c>
      <c r="K10" s="1" t="str">
        <f aca="false">IF(Brasil!C10="","","BR")</f>
        <v/>
      </c>
      <c r="L10" s="1" t="str">
        <f aca="false">IF(Brasil!C10="","",IFERROR(INDEX(Gamma_Catalogo!$D$3:$D$1451,MATCH(Brasil!E10,Gamma_Catalogo!$A$3:$A$1451,0)),"Revisar Ip Code"))</f>
        <v/>
      </c>
      <c r="M10" s="1" t="str">
        <f aca="false">IF(Brasil!C10="","",IFERROR(INDEX(Gamma_Catalogo!$C$3:$C$1451,MATCH(Brasil!E10,Gamma_Catalogo!$A$3:$A$1451,0)),"Revisar Ip Code"))</f>
        <v/>
      </c>
      <c r="N10" s="1" t="str">
        <f aca="false">IF(Brasil!C10="","",IFERROR(INDEX(Gamma_Catalogo!$E$3:$E$1451,MATCH(Brasil!E10,Gamma_Catalogo!$A$3:$A$1451,0)),"Revisar Ip Code"))</f>
        <v/>
      </c>
      <c r="O10" s="1" t="str">
        <f aca="false">IF(Brasil!C10="","","Brasil")</f>
        <v/>
      </c>
    </row>
    <row r="11" customFormat="false" ht="15" hidden="false" customHeight="true" outlineLevel="0" collapsed="false">
      <c r="A11" s="1" t="str">
        <f aca="false">IF(Brasil!C11="","",IFERROR(INDEX(Mercados!$C$2:$C$32,MATCH(Brasil!B11,Mercados!$A$2:$A$32,0)),"Revisar Tscode"))</f>
        <v/>
      </c>
      <c r="B11" s="1" t="str">
        <f aca="false">IF(Brasil!C11="","",Brasil!C11)</f>
        <v/>
      </c>
      <c r="C11" s="1" t="str">
        <f aca="false">IF(Brasil!C11="","",Brasil!A11)</f>
        <v/>
      </c>
      <c r="D11" s="1" t="str">
        <f aca="false">IF(Brasil!C11="","",Brasil!E11)</f>
        <v/>
      </c>
      <c r="E11" s="1" t="str">
        <f aca="false">IF(Brasil!C11="","",Brasil!F11)</f>
        <v/>
      </c>
      <c r="F11" s="1" t="str">
        <f aca="false">IF(Brasil!C11="","",Brasil!D11)</f>
        <v/>
      </c>
      <c r="I11" s="1" t="str">
        <f aca="false">IF(Brasil!C11="","",Brasil!H11)</f>
        <v/>
      </c>
      <c r="J11" s="1" t="str">
        <f aca="false">IF(Brasil!C11="","",Brasil!D11*Brasil!H11)</f>
        <v/>
      </c>
      <c r="K11" s="1" t="str">
        <f aca="false">IF(Brasil!C11="","","BR")</f>
        <v/>
      </c>
      <c r="L11" s="1" t="str">
        <f aca="false">IF(Brasil!C11="","",IFERROR(INDEX(Gamma_Catalogo!$D$3:$D$1451,MATCH(Brasil!E11,Gamma_Catalogo!$A$3:$A$1451,0)),"Revisar Ip Code"))</f>
        <v/>
      </c>
      <c r="M11" s="1" t="str">
        <f aca="false">IF(Brasil!C11="","",IFERROR(INDEX(Gamma_Catalogo!$C$3:$C$1451,MATCH(Brasil!E11,Gamma_Catalogo!$A$3:$A$1451,0)),"Revisar Ip Code"))</f>
        <v/>
      </c>
      <c r="N11" s="1" t="str">
        <f aca="false">IF(Brasil!C11="","",IFERROR(INDEX(Gamma_Catalogo!$E$3:$E$1451,MATCH(Brasil!E11,Gamma_Catalogo!$A$3:$A$1451,0)),"Revisar Ip Code"))</f>
        <v/>
      </c>
      <c r="O11" s="1" t="str">
        <f aca="false">IF(Brasil!C11="","","Brasil")</f>
        <v/>
      </c>
    </row>
    <row r="12" customFormat="false" ht="15" hidden="false" customHeight="true" outlineLevel="0" collapsed="false">
      <c r="A12" s="1" t="str">
        <f aca="false">IF(Brasil!C12="","",IFERROR(INDEX(Mercados!$C$2:$C$32,MATCH(Brasil!B12,Mercados!$A$2:$A$32,0)),"Revisar Tscode"))</f>
        <v/>
      </c>
      <c r="B12" s="1" t="str">
        <f aca="false">IF(Brasil!C12="","",Brasil!C12)</f>
        <v/>
      </c>
      <c r="C12" s="1" t="str">
        <f aca="false">IF(Brasil!C12="","",Brasil!A12)</f>
        <v/>
      </c>
      <c r="D12" s="1" t="str">
        <f aca="false">IF(Brasil!C12="","",Brasil!E12)</f>
        <v/>
      </c>
      <c r="E12" s="1" t="str">
        <f aca="false">IF(Brasil!C12="","",Brasil!F12)</f>
        <v/>
      </c>
      <c r="F12" s="1" t="str">
        <f aca="false">IF(Brasil!C12="","",Brasil!D12)</f>
        <v/>
      </c>
      <c r="I12" s="1" t="str">
        <f aca="false">IF(Brasil!C12="","",Brasil!H12)</f>
        <v/>
      </c>
      <c r="J12" s="1" t="str">
        <f aca="false">IF(Brasil!C12="","",Brasil!D12*Brasil!H12)</f>
        <v/>
      </c>
      <c r="K12" s="1" t="str">
        <f aca="false">IF(Brasil!C12="","","BR")</f>
        <v/>
      </c>
      <c r="L12" s="1" t="str">
        <f aca="false">IF(Brasil!C12="","",IFERROR(INDEX(Gamma_Catalogo!$D$3:$D$1451,MATCH(Brasil!E12,Gamma_Catalogo!$A$3:$A$1451,0)),"Revisar Ip Code"))</f>
        <v/>
      </c>
      <c r="M12" s="1" t="str">
        <f aca="false">IF(Brasil!C12="","",IFERROR(INDEX(Gamma_Catalogo!$C$3:$C$1451,MATCH(Brasil!E12,Gamma_Catalogo!$A$3:$A$1451,0)),"Revisar Ip Code"))</f>
        <v/>
      </c>
      <c r="N12" s="1" t="str">
        <f aca="false">IF(Brasil!C12="","",IFERROR(INDEX(Gamma_Catalogo!$E$3:$E$1451,MATCH(Brasil!E12,Gamma_Catalogo!$A$3:$A$1451,0)),"Revisar Ip Code"))</f>
        <v/>
      </c>
      <c r="O12" s="1" t="str">
        <f aca="false">IF(Brasil!C12="","","Brasil")</f>
        <v/>
      </c>
    </row>
    <row r="13" customFormat="false" ht="15" hidden="false" customHeight="true" outlineLevel="0" collapsed="false">
      <c r="A13" s="1" t="str">
        <f aca="false">IF(Brasil!C13="","",IFERROR(INDEX(Mercados!$C$2:$C$32,MATCH(Brasil!B13,Mercados!$A$2:$A$32,0)),"Revisar Tscode"))</f>
        <v/>
      </c>
      <c r="B13" s="1" t="str">
        <f aca="false">IF(Brasil!C13="","",Brasil!C13)</f>
        <v/>
      </c>
      <c r="C13" s="1" t="str">
        <f aca="false">IF(Brasil!C13="","",Brasil!A13)</f>
        <v/>
      </c>
      <c r="D13" s="1" t="str">
        <f aca="false">IF(Brasil!C13="","",Brasil!E13)</f>
        <v/>
      </c>
      <c r="E13" s="1" t="str">
        <f aca="false">IF(Brasil!C13="","",Brasil!F13)</f>
        <v/>
      </c>
      <c r="F13" s="1" t="str">
        <f aca="false">IF(Brasil!C13="","",Brasil!D13)</f>
        <v/>
      </c>
      <c r="I13" s="1" t="str">
        <f aca="false">IF(Brasil!C13="","",Brasil!H13)</f>
        <v/>
      </c>
      <c r="J13" s="1" t="str">
        <f aca="false">IF(Brasil!C13="","",Brasil!D13*Brasil!H13)</f>
        <v/>
      </c>
      <c r="K13" s="1" t="str">
        <f aca="false">IF(Brasil!C13="","","BR")</f>
        <v/>
      </c>
      <c r="L13" s="1" t="str">
        <f aca="false">IF(Brasil!C13="","",IFERROR(INDEX(Gamma_Catalogo!$D$3:$D$1451,MATCH(Brasil!E13,Gamma_Catalogo!$A$3:$A$1451,0)),"Revisar Ip Code"))</f>
        <v/>
      </c>
      <c r="M13" s="1" t="str">
        <f aca="false">IF(Brasil!C13="","",IFERROR(INDEX(Gamma_Catalogo!$C$3:$C$1451,MATCH(Brasil!E13,Gamma_Catalogo!$A$3:$A$1451,0)),"Revisar Ip Code"))</f>
        <v/>
      </c>
      <c r="N13" s="1" t="str">
        <f aca="false">IF(Brasil!C13="","",IFERROR(INDEX(Gamma_Catalogo!$E$3:$E$1451,MATCH(Brasil!E13,Gamma_Catalogo!$A$3:$A$1451,0)),"Revisar Ip Code"))</f>
        <v/>
      </c>
      <c r="O13" s="1" t="str">
        <f aca="false">IF(Brasil!C13="","","Brasil")</f>
        <v/>
      </c>
    </row>
    <row r="14" customFormat="false" ht="15" hidden="false" customHeight="true" outlineLevel="0" collapsed="false">
      <c r="A14" s="1" t="str">
        <f aca="false">IF(Brasil!C14="","",IFERROR(INDEX(Mercados!$C$2:$C$32,MATCH(Brasil!B14,Mercados!$A$2:$A$32,0)),"Revisar Tscode"))</f>
        <v/>
      </c>
      <c r="B14" s="1" t="str">
        <f aca="false">IF(Brasil!C14="","",Brasil!C14)</f>
        <v/>
      </c>
      <c r="C14" s="1" t="str">
        <f aca="false">IF(Brasil!C14="","",Brasil!A14)</f>
        <v/>
      </c>
      <c r="D14" s="1" t="str">
        <f aca="false">IF(Brasil!C14="","",Brasil!E14)</f>
        <v/>
      </c>
      <c r="E14" s="1" t="str">
        <f aca="false">IF(Brasil!C14="","",Brasil!F14)</f>
        <v/>
      </c>
      <c r="F14" s="1" t="str">
        <f aca="false">IF(Brasil!C14="","",Brasil!D14)</f>
        <v/>
      </c>
      <c r="I14" s="1" t="str">
        <f aca="false">IF(Brasil!C14="","",Brasil!H14)</f>
        <v/>
      </c>
      <c r="J14" s="1" t="str">
        <f aca="false">IF(Brasil!C14="","",Brasil!D14*Brasil!H14)</f>
        <v/>
      </c>
      <c r="K14" s="1" t="str">
        <f aca="false">IF(Brasil!C14="","","BR")</f>
        <v/>
      </c>
      <c r="L14" s="1" t="str">
        <f aca="false">IF(Brasil!C14="","",IFERROR(INDEX(Gamma_Catalogo!$D$3:$D$1451,MATCH(Brasil!E14,Gamma_Catalogo!$A$3:$A$1451,0)),"Revisar Ip Code"))</f>
        <v/>
      </c>
      <c r="M14" s="1" t="str">
        <f aca="false">IF(Brasil!C14="","",IFERROR(INDEX(Gamma_Catalogo!$C$3:$C$1451,MATCH(Brasil!E14,Gamma_Catalogo!$A$3:$A$1451,0)),"Revisar Ip Code"))</f>
        <v/>
      </c>
      <c r="N14" s="1" t="str">
        <f aca="false">IF(Brasil!C14="","",IFERROR(INDEX(Gamma_Catalogo!$E$3:$E$1451,MATCH(Brasil!E14,Gamma_Catalogo!$A$3:$A$1451,0)),"Revisar Ip Code"))</f>
        <v/>
      </c>
      <c r="O14" s="1" t="str">
        <f aca="false">IF(Brasil!C14="","","Brasil")</f>
        <v/>
      </c>
    </row>
    <row r="15" customFormat="false" ht="15" hidden="false" customHeight="true" outlineLevel="0" collapsed="false">
      <c r="A15" s="1" t="str">
        <f aca="false">IF(Brasil!C15="","",IFERROR(INDEX(Mercados!$C$2:$C$32,MATCH(Brasil!B15,Mercados!$A$2:$A$32,0)),"Revisar Tscode"))</f>
        <v/>
      </c>
      <c r="B15" s="1" t="str">
        <f aca="false">IF(Brasil!C15="","",Brasil!C15)</f>
        <v/>
      </c>
      <c r="C15" s="1" t="str">
        <f aca="false">IF(Brasil!C15="","",Brasil!A15)</f>
        <v/>
      </c>
      <c r="D15" s="1" t="str">
        <f aca="false">IF(Brasil!C15="","",Brasil!E15)</f>
        <v/>
      </c>
      <c r="E15" s="1" t="str">
        <f aca="false">IF(Brasil!C15="","",Brasil!F15)</f>
        <v/>
      </c>
      <c r="F15" s="1" t="str">
        <f aca="false">IF(Brasil!C15="","",Brasil!D15)</f>
        <v/>
      </c>
      <c r="I15" s="1" t="str">
        <f aca="false">IF(Brasil!C15="","",Brasil!H15)</f>
        <v/>
      </c>
      <c r="J15" s="1" t="str">
        <f aca="false">IF(Brasil!C15="","",Brasil!D15*Brasil!H15)</f>
        <v/>
      </c>
      <c r="K15" s="1" t="str">
        <f aca="false">IF(Brasil!C15="","","BR")</f>
        <v/>
      </c>
      <c r="L15" s="1" t="str">
        <f aca="false">IF(Brasil!C15="","",IFERROR(INDEX(Gamma_Catalogo!$D$3:$D$1451,MATCH(Brasil!E15,Gamma_Catalogo!$A$3:$A$1451,0)),"Revisar Ip Code"))</f>
        <v/>
      </c>
      <c r="M15" s="1" t="str">
        <f aca="false">IF(Brasil!C15="","",IFERROR(INDEX(Gamma_Catalogo!$C$3:$C$1451,MATCH(Brasil!E15,Gamma_Catalogo!$A$3:$A$1451,0)),"Revisar Ip Code"))</f>
        <v/>
      </c>
      <c r="N15" s="1" t="str">
        <f aca="false">IF(Brasil!C15="","",IFERROR(INDEX(Gamma_Catalogo!$E$3:$E$1451,MATCH(Brasil!E15,Gamma_Catalogo!$A$3:$A$1451,0)),"Revisar Ip Code"))</f>
        <v/>
      </c>
      <c r="O15" s="1" t="str">
        <f aca="false">IF(Brasil!C15="","","Brasil")</f>
        <v/>
      </c>
    </row>
    <row r="16" customFormat="false" ht="15" hidden="false" customHeight="true" outlineLevel="0" collapsed="false">
      <c r="A16" s="1" t="str">
        <f aca="false">IF(Brasil!C16="","",IFERROR(INDEX(Mercados!$C$2:$C$32,MATCH(Brasil!B16,Mercados!$A$2:$A$32,0)),"Revisar Tscode"))</f>
        <v/>
      </c>
      <c r="B16" s="1" t="str">
        <f aca="false">IF(Brasil!C16="","",Brasil!C16)</f>
        <v/>
      </c>
      <c r="C16" s="1" t="str">
        <f aca="false">IF(Brasil!C16="","",Brasil!A16)</f>
        <v/>
      </c>
      <c r="D16" s="1" t="str">
        <f aca="false">IF(Brasil!C16="","",Brasil!E16)</f>
        <v/>
      </c>
      <c r="E16" s="1" t="str">
        <f aca="false">IF(Brasil!C16="","",Brasil!F16)</f>
        <v/>
      </c>
      <c r="F16" s="1" t="str">
        <f aca="false">IF(Brasil!C16="","",Brasil!D16)</f>
        <v/>
      </c>
      <c r="I16" s="1" t="str">
        <f aca="false">IF(Brasil!C16="","",Brasil!H16)</f>
        <v/>
      </c>
      <c r="J16" s="1" t="str">
        <f aca="false">IF(Brasil!C16="","",Brasil!D16*Brasil!H16)</f>
        <v/>
      </c>
      <c r="K16" s="1" t="str">
        <f aca="false">IF(Brasil!C16="","","BR")</f>
        <v/>
      </c>
      <c r="L16" s="1" t="str">
        <f aca="false">IF(Brasil!C16="","",IFERROR(INDEX(Gamma_Catalogo!$D$3:$D$1451,MATCH(Brasil!E16,Gamma_Catalogo!$A$3:$A$1451,0)),"Revisar Ip Code"))</f>
        <v/>
      </c>
      <c r="M16" s="1" t="str">
        <f aca="false">IF(Brasil!C16="","",IFERROR(INDEX(Gamma_Catalogo!$C$3:$C$1451,MATCH(Brasil!E16,Gamma_Catalogo!$A$3:$A$1451,0)),"Revisar Ip Code"))</f>
        <v/>
      </c>
      <c r="N16" s="1" t="str">
        <f aca="false">IF(Brasil!C16="","",IFERROR(INDEX(Gamma_Catalogo!$E$3:$E$1451,MATCH(Brasil!E16,Gamma_Catalogo!$A$3:$A$1451,0)),"Revisar Ip Code"))</f>
        <v/>
      </c>
      <c r="O16" s="1" t="str">
        <f aca="false">IF(Brasil!C16="","","Brasil")</f>
        <v/>
      </c>
    </row>
    <row r="17" customFormat="false" ht="15" hidden="false" customHeight="true" outlineLevel="0" collapsed="false">
      <c r="A17" s="1" t="str">
        <f aca="false">IF(Brasil!C17="","",IFERROR(INDEX(Mercados!$C$2:$C$32,MATCH(Brasil!B17,Mercados!$A$2:$A$32,0)),"Revisar Tscode"))</f>
        <v/>
      </c>
      <c r="B17" s="1" t="str">
        <f aca="false">IF(Brasil!C17="","",Brasil!C17)</f>
        <v/>
      </c>
      <c r="C17" s="1" t="str">
        <f aca="false">IF(Brasil!C17="","",Brasil!A17)</f>
        <v/>
      </c>
      <c r="D17" s="1" t="str">
        <f aca="false">IF(Brasil!C17="","",Brasil!E17)</f>
        <v/>
      </c>
      <c r="E17" s="1" t="str">
        <f aca="false">IF(Brasil!C17="","",Brasil!F17)</f>
        <v/>
      </c>
      <c r="F17" s="1" t="str">
        <f aca="false">IF(Brasil!C17="","",Brasil!D17)</f>
        <v/>
      </c>
      <c r="I17" s="1" t="str">
        <f aca="false">IF(Brasil!C17="","",Brasil!H17)</f>
        <v/>
      </c>
      <c r="J17" s="1" t="str">
        <f aca="false">IF(Brasil!C17="","",Brasil!D17*Brasil!H17)</f>
        <v/>
      </c>
      <c r="K17" s="1" t="str">
        <f aca="false">IF(Brasil!C17="","","BR")</f>
        <v/>
      </c>
      <c r="L17" s="1" t="str">
        <f aca="false">IF(Brasil!C17="","",IFERROR(INDEX(Gamma_Catalogo!$D$3:$D$1451,MATCH(Brasil!E17,Gamma_Catalogo!$A$3:$A$1451,0)),"Revisar Ip Code"))</f>
        <v/>
      </c>
      <c r="M17" s="1" t="str">
        <f aca="false">IF(Brasil!C17="","",IFERROR(INDEX(Gamma_Catalogo!$C$3:$C$1451,MATCH(Brasil!E17,Gamma_Catalogo!$A$3:$A$1451,0)),"Revisar Ip Code"))</f>
        <v/>
      </c>
      <c r="N17" s="1" t="str">
        <f aca="false">IF(Brasil!C17="","",IFERROR(INDEX(Gamma_Catalogo!$E$3:$E$1451,MATCH(Brasil!E17,Gamma_Catalogo!$A$3:$A$1451,0)),"Revisar Ip Code"))</f>
        <v/>
      </c>
      <c r="O17" s="1" t="str">
        <f aca="false">IF(Brasil!C17="","","Brasil")</f>
        <v/>
      </c>
    </row>
    <row r="18" customFormat="false" ht="15" hidden="false" customHeight="true" outlineLevel="0" collapsed="false">
      <c r="A18" s="1" t="str">
        <f aca="false">IF(Brasil!C18="","",IFERROR(INDEX(Mercados!$C$2:$C$32,MATCH(Brasil!B18,Mercados!$A$2:$A$32,0)),"Revisar Tscode"))</f>
        <v/>
      </c>
      <c r="B18" s="1" t="str">
        <f aca="false">IF(Brasil!C18="","",Brasil!C18)</f>
        <v/>
      </c>
      <c r="C18" s="1" t="str">
        <f aca="false">IF(Brasil!C18="","",Brasil!A18)</f>
        <v/>
      </c>
      <c r="D18" s="1" t="str">
        <f aca="false">IF(Brasil!C18="","",Brasil!E18)</f>
        <v/>
      </c>
      <c r="E18" s="1" t="str">
        <f aca="false">IF(Brasil!C18="","",Brasil!F18)</f>
        <v/>
      </c>
      <c r="F18" s="1" t="str">
        <f aca="false">IF(Brasil!C18="","",Brasil!D18)</f>
        <v/>
      </c>
      <c r="I18" s="1" t="str">
        <f aca="false">IF(Brasil!C18="","",Brasil!H18)</f>
        <v/>
      </c>
      <c r="J18" s="1" t="str">
        <f aca="false">IF(Brasil!C18="","",Brasil!D18*Brasil!H18)</f>
        <v/>
      </c>
      <c r="K18" s="1" t="str">
        <f aca="false">IF(Brasil!C18="","","BR")</f>
        <v/>
      </c>
      <c r="L18" s="1" t="str">
        <f aca="false">IF(Brasil!C18="","",IFERROR(INDEX(Gamma_Catalogo!$D$3:$D$1451,MATCH(Brasil!E18,Gamma_Catalogo!$A$3:$A$1451,0)),"Revisar Ip Code"))</f>
        <v/>
      </c>
      <c r="M18" s="1" t="str">
        <f aca="false">IF(Brasil!C18="","",IFERROR(INDEX(Gamma_Catalogo!$C$3:$C$1451,MATCH(Brasil!E18,Gamma_Catalogo!$A$3:$A$1451,0)),"Revisar Ip Code"))</f>
        <v/>
      </c>
      <c r="N18" s="1" t="str">
        <f aca="false">IF(Brasil!C18="","",IFERROR(INDEX(Gamma_Catalogo!$E$3:$E$1451,MATCH(Brasil!E18,Gamma_Catalogo!$A$3:$A$1451,0)),"Revisar Ip Code"))</f>
        <v/>
      </c>
      <c r="O18" s="1" t="str">
        <f aca="false">IF(Brasil!C18="","","Brasil")</f>
        <v/>
      </c>
    </row>
    <row r="19" customFormat="false" ht="15" hidden="false" customHeight="true" outlineLevel="0" collapsed="false">
      <c r="A19" s="1" t="str">
        <f aca="false">IF(Brasil!C19="","",IFERROR(INDEX(Mercados!$C$2:$C$32,MATCH(Brasil!B19,Mercados!$A$2:$A$32,0)),"Revisar Tscode"))</f>
        <v/>
      </c>
      <c r="B19" s="1" t="str">
        <f aca="false">IF(Brasil!C19="","",Brasil!C19)</f>
        <v/>
      </c>
      <c r="C19" s="1" t="str">
        <f aca="false">IF(Brasil!C19="","",Brasil!A19)</f>
        <v/>
      </c>
      <c r="D19" s="1" t="str">
        <f aca="false">IF(Brasil!C19="","",Brasil!E19)</f>
        <v/>
      </c>
      <c r="E19" s="1" t="str">
        <f aca="false">IF(Brasil!C19="","",Brasil!F19)</f>
        <v/>
      </c>
      <c r="F19" s="1" t="str">
        <f aca="false">IF(Brasil!C19="","",Brasil!D19)</f>
        <v/>
      </c>
      <c r="I19" s="1" t="str">
        <f aca="false">IF(Brasil!C19="","",Brasil!H19)</f>
        <v/>
      </c>
      <c r="J19" s="1" t="str">
        <f aca="false">IF(Brasil!C19="","",Brasil!D19*Brasil!H19)</f>
        <v/>
      </c>
      <c r="K19" s="1" t="str">
        <f aca="false">IF(Brasil!C19="","","BR")</f>
        <v/>
      </c>
      <c r="L19" s="1" t="str">
        <f aca="false">IF(Brasil!C19="","",IFERROR(INDEX(Gamma_Catalogo!$D$3:$D$1451,MATCH(Brasil!E19,Gamma_Catalogo!$A$3:$A$1451,0)),"Revisar Ip Code"))</f>
        <v/>
      </c>
      <c r="M19" s="1" t="str">
        <f aca="false">IF(Brasil!C19="","",IFERROR(INDEX(Gamma_Catalogo!$C$3:$C$1451,MATCH(Brasil!E19,Gamma_Catalogo!$A$3:$A$1451,0)),"Revisar Ip Code"))</f>
        <v/>
      </c>
      <c r="N19" s="1" t="str">
        <f aca="false">IF(Brasil!C19="","",IFERROR(INDEX(Gamma_Catalogo!$E$3:$E$1451,MATCH(Brasil!E19,Gamma_Catalogo!$A$3:$A$1451,0)),"Revisar Ip Code"))</f>
        <v/>
      </c>
      <c r="O19" s="1" t="str">
        <f aca="false">IF(Brasil!C19="","","Brasil")</f>
        <v/>
      </c>
    </row>
    <row r="20" customFormat="false" ht="15" hidden="false" customHeight="true" outlineLevel="0" collapsed="false">
      <c r="A20" s="1" t="str">
        <f aca="false">IF(Brasil!C20="","",IFERROR(INDEX(Mercados!$C$2:$C$32,MATCH(Brasil!B20,Mercados!$A$2:$A$32,0)),"Revisar Tscode"))</f>
        <v/>
      </c>
      <c r="B20" s="1" t="str">
        <f aca="false">IF(Brasil!C20="","",Brasil!C20)</f>
        <v/>
      </c>
      <c r="C20" s="1" t="str">
        <f aca="false">IF(Brasil!C20="","",Brasil!A20)</f>
        <v/>
      </c>
      <c r="D20" s="1" t="str">
        <f aca="false">IF(Brasil!C20="","",Brasil!E20)</f>
        <v/>
      </c>
      <c r="E20" s="1" t="str">
        <f aca="false">IF(Brasil!C20="","",Brasil!F20)</f>
        <v/>
      </c>
      <c r="F20" s="1" t="str">
        <f aca="false">IF(Brasil!C20="","",Brasil!D20)</f>
        <v/>
      </c>
      <c r="I20" s="1" t="str">
        <f aca="false">IF(Brasil!C20="","",Brasil!H20)</f>
        <v/>
      </c>
      <c r="J20" s="1" t="str">
        <f aca="false">IF(Brasil!C20="","",Brasil!D20*Brasil!H20)</f>
        <v/>
      </c>
      <c r="K20" s="1" t="str">
        <f aca="false">IF(Brasil!C20="","","BR")</f>
        <v/>
      </c>
      <c r="L20" s="1" t="str">
        <f aca="false">IF(Brasil!C20="","",IFERROR(INDEX(Gamma_Catalogo!$D$3:$D$1451,MATCH(Brasil!E20,Gamma_Catalogo!$A$3:$A$1451,0)),"Revisar Ip Code"))</f>
        <v/>
      </c>
      <c r="M20" s="1" t="str">
        <f aca="false">IF(Brasil!C20="","",IFERROR(INDEX(Gamma_Catalogo!$C$3:$C$1451,MATCH(Brasil!E20,Gamma_Catalogo!$A$3:$A$1451,0)),"Revisar Ip Code"))</f>
        <v/>
      </c>
      <c r="N20" s="1" t="str">
        <f aca="false">IF(Brasil!C20="","",IFERROR(INDEX(Gamma_Catalogo!$E$3:$E$1451,MATCH(Brasil!E20,Gamma_Catalogo!$A$3:$A$1451,0)),"Revisar Ip Code"))</f>
        <v/>
      </c>
      <c r="O20" s="1" t="str">
        <f aca="false">IF(Brasil!C20="","","Brasil")</f>
        <v/>
      </c>
    </row>
    <row r="21" customFormat="false" ht="15" hidden="false" customHeight="true" outlineLevel="0" collapsed="false">
      <c r="A21" s="1" t="str">
        <f aca="false">IF(Brasil!C21="","",IFERROR(INDEX(Mercados!$C$2:$C$32,MATCH(Brasil!B21,Mercados!$A$2:$A$32,0)),"Revisar Tscode"))</f>
        <v/>
      </c>
      <c r="B21" s="1" t="str">
        <f aca="false">IF(Brasil!C21="","",Brasil!C21)</f>
        <v/>
      </c>
      <c r="C21" s="1" t="str">
        <f aca="false">IF(Brasil!C21="","",Brasil!A21)</f>
        <v/>
      </c>
      <c r="D21" s="1" t="str">
        <f aca="false">IF(Brasil!C21="","",Brasil!E21)</f>
        <v/>
      </c>
      <c r="E21" s="1" t="str">
        <f aca="false">IF(Brasil!C21="","",Brasil!F21)</f>
        <v/>
      </c>
      <c r="F21" s="1" t="str">
        <f aca="false">IF(Brasil!C21="","",Brasil!D21)</f>
        <v/>
      </c>
      <c r="I21" s="1" t="str">
        <f aca="false">IF(Brasil!C21="","",Brasil!H21)</f>
        <v/>
      </c>
      <c r="J21" s="1" t="str">
        <f aca="false">IF(Brasil!C21="","",Brasil!D21*Brasil!H21)</f>
        <v/>
      </c>
      <c r="K21" s="1" t="str">
        <f aca="false">IF(Brasil!C21="","","BR")</f>
        <v/>
      </c>
      <c r="L21" s="1" t="str">
        <f aca="false">IF(Brasil!C21="","",IFERROR(INDEX(Gamma_Catalogo!$D$3:$D$1451,MATCH(Brasil!E21,Gamma_Catalogo!$A$3:$A$1451,0)),"Revisar Ip Code"))</f>
        <v/>
      </c>
      <c r="M21" s="1" t="str">
        <f aca="false">IF(Brasil!C21="","",IFERROR(INDEX(Gamma_Catalogo!$C$3:$C$1451,MATCH(Brasil!E21,Gamma_Catalogo!$A$3:$A$1451,0)),"Revisar Ip Code"))</f>
        <v/>
      </c>
      <c r="N21" s="1" t="str">
        <f aca="false">IF(Brasil!C21="","",IFERROR(INDEX(Gamma_Catalogo!$E$3:$E$1451,MATCH(Brasil!E21,Gamma_Catalogo!$A$3:$A$1451,0)),"Revisar Ip Code"))</f>
        <v/>
      </c>
      <c r="O21" s="1" t="str">
        <f aca="false">IF(Brasil!C21="","","Brasil")</f>
        <v/>
      </c>
    </row>
    <row r="22" customFormat="false" ht="15" hidden="false" customHeight="true" outlineLevel="0" collapsed="false">
      <c r="A22" s="1" t="str">
        <f aca="false">IF(Brasil!C22="","",IFERROR(INDEX(Mercados!$C$2:$C$32,MATCH(Brasil!B22,Mercados!$A$2:$A$32,0)),"Revisar Tscode"))</f>
        <v/>
      </c>
      <c r="B22" s="1" t="str">
        <f aca="false">IF(Brasil!C22="","",Brasil!C22)</f>
        <v/>
      </c>
      <c r="C22" s="1" t="str">
        <f aca="false">IF(Brasil!C22="","",Brasil!A22)</f>
        <v/>
      </c>
      <c r="D22" s="1" t="str">
        <f aca="false">IF(Brasil!C22="","",Brasil!E22)</f>
        <v/>
      </c>
      <c r="E22" s="1" t="str">
        <f aca="false">IF(Brasil!C22="","",Brasil!F22)</f>
        <v/>
      </c>
      <c r="F22" s="1" t="str">
        <f aca="false">IF(Brasil!C22="","",Brasil!D22)</f>
        <v/>
      </c>
      <c r="I22" s="1" t="str">
        <f aca="false">IF(Brasil!C22="","",Brasil!H22)</f>
        <v/>
      </c>
      <c r="J22" s="1" t="str">
        <f aca="false">IF(Brasil!C22="","",Brasil!D22*Brasil!H22)</f>
        <v/>
      </c>
      <c r="K22" s="1" t="str">
        <f aca="false">IF(Brasil!C22="","","BR")</f>
        <v/>
      </c>
      <c r="L22" s="1" t="str">
        <f aca="false">IF(Brasil!C22="","",IFERROR(INDEX(Gamma_Catalogo!$D$3:$D$1451,MATCH(Brasil!E22,Gamma_Catalogo!$A$3:$A$1451,0)),"Revisar Ip Code"))</f>
        <v/>
      </c>
      <c r="M22" s="1" t="str">
        <f aca="false">IF(Brasil!C22="","",IFERROR(INDEX(Gamma_Catalogo!$C$3:$C$1451,MATCH(Brasil!E22,Gamma_Catalogo!$A$3:$A$1451,0)),"Revisar Ip Code"))</f>
        <v/>
      </c>
      <c r="N22" s="1" t="str">
        <f aca="false">IF(Brasil!C22="","",IFERROR(INDEX(Gamma_Catalogo!$E$3:$E$1451,MATCH(Brasil!E22,Gamma_Catalogo!$A$3:$A$1451,0)),"Revisar Ip Code"))</f>
        <v/>
      </c>
      <c r="O22" s="1" t="str">
        <f aca="false">IF(Brasil!C22="","","Brasil")</f>
        <v/>
      </c>
    </row>
    <row r="23" customFormat="false" ht="15" hidden="false" customHeight="true" outlineLevel="0" collapsed="false">
      <c r="A23" s="1" t="str">
        <f aca="false">IF(Brasil!C23="","",IFERROR(INDEX(Mercados!$C$2:$C$32,MATCH(Brasil!B23,Mercados!$A$2:$A$32,0)),"Revisar Tscode"))</f>
        <v/>
      </c>
      <c r="B23" s="1" t="str">
        <f aca="false">IF(Brasil!C23="","",Brasil!C23)</f>
        <v/>
      </c>
      <c r="C23" s="1" t="str">
        <f aca="false">IF(Brasil!C23="","",Brasil!A23)</f>
        <v/>
      </c>
      <c r="D23" s="1" t="str">
        <f aca="false">IF(Brasil!C23="","",Brasil!E23)</f>
        <v/>
      </c>
      <c r="E23" s="1" t="str">
        <f aca="false">IF(Brasil!C23="","",Brasil!F23)</f>
        <v/>
      </c>
      <c r="F23" s="1" t="str">
        <f aca="false">IF(Brasil!C23="","",Brasil!D23)</f>
        <v/>
      </c>
      <c r="I23" s="1" t="str">
        <f aca="false">IF(Brasil!C23="","",Brasil!H23)</f>
        <v/>
      </c>
      <c r="J23" s="1" t="str">
        <f aca="false">IF(Brasil!C23="","",Brasil!D23*Brasil!H23)</f>
        <v/>
      </c>
      <c r="K23" s="1" t="str">
        <f aca="false">IF(Brasil!C23="","","BR")</f>
        <v/>
      </c>
      <c r="L23" s="1" t="str">
        <f aca="false">IF(Brasil!C23="","",IFERROR(INDEX(Gamma_Catalogo!$D$3:$D$1451,MATCH(Brasil!E23,Gamma_Catalogo!$A$3:$A$1451,0)),"Revisar Ip Code"))</f>
        <v/>
      </c>
      <c r="M23" s="1" t="str">
        <f aca="false">IF(Brasil!C23="","",IFERROR(INDEX(Gamma_Catalogo!$C$3:$C$1451,MATCH(Brasil!E23,Gamma_Catalogo!$A$3:$A$1451,0)),"Revisar Ip Code"))</f>
        <v/>
      </c>
      <c r="N23" s="1" t="str">
        <f aca="false">IF(Brasil!C23="","",IFERROR(INDEX(Gamma_Catalogo!$E$3:$E$1451,MATCH(Brasil!E23,Gamma_Catalogo!$A$3:$A$1451,0)),"Revisar Ip Code"))</f>
        <v/>
      </c>
      <c r="O23" s="1" t="str">
        <f aca="false">IF(Brasil!C23="","","Brasil")</f>
        <v/>
      </c>
    </row>
    <row r="24" customFormat="false" ht="15" hidden="false" customHeight="true" outlineLevel="0" collapsed="false">
      <c r="A24" s="1" t="str">
        <f aca="false">IF(Brasil!C24="","",IFERROR(INDEX(Mercados!$C$2:$C$32,MATCH(Brasil!B24,Mercados!$A$2:$A$32,0)),"Revisar Tscode"))</f>
        <v/>
      </c>
      <c r="B24" s="1" t="str">
        <f aca="false">IF(Brasil!C24="","",Brasil!C24)</f>
        <v/>
      </c>
      <c r="C24" s="1" t="str">
        <f aca="false">IF(Brasil!C24="","",Brasil!A24)</f>
        <v/>
      </c>
      <c r="D24" s="1" t="str">
        <f aca="false">IF(Brasil!C24="","",Brasil!E24)</f>
        <v/>
      </c>
      <c r="E24" s="1" t="str">
        <f aca="false">IF(Brasil!C24="","",Brasil!F24)</f>
        <v/>
      </c>
      <c r="F24" s="1" t="str">
        <f aca="false">IF(Brasil!C24="","",Brasil!D24)</f>
        <v/>
      </c>
      <c r="I24" s="1" t="str">
        <f aca="false">IF(Brasil!C24="","",Brasil!H24)</f>
        <v/>
      </c>
      <c r="J24" s="1" t="str">
        <f aca="false">IF(Brasil!C24="","",Brasil!D24*Brasil!H24)</f>
        <v/>
      </c>
      <c r="K24" s="1" t="str">
        <f aca="false">IF(Brasil!C24="","","BR")</f>
        <v/>
      </c>
      <c r="L24" s="1" t="str">
        <f aca="false">IF(Brasil!C24="","",IFERROR(INDEX(Gamma_Catalogo!$D$3:$D$1451,MATCH(Brasil!E24,Gamma_Catalogo!$A$3:$A$1451,0)),"Revisar Ip Code"))</f>
        <v/>
      </c>
      <c r="M24" s="1" t="str">
        <f aca="false">IF(Brasil!C24="","",IFERROR(INDEX(Gamma_Catalogo!$C$3:$C$1451,MATCH(Brasil!E24,Gamma_Catalogo!$A$3:$A$1451,0)),"Revisar Ip Code"))</f>
        <v/>
      </c>
      <c r="N24" s="1" t="str">
        <f aca="false">IF(Brasil!C24="","",IFERROR(INDEX(Gamma_Catalogo!$E$3:$E$1451,MATCH(Brasil!E24,Gamma_Catalogo!$A$3:$A$1451,0)),"Revisar Ip Code"))</f>
        <v/>
      </c>
      <c r="O24" s="1" t="str">
        <f aca="false">IF(Brasil!C24="","","Brasil")</f>
        <v/>
      </c>
    </row>
    <row r="25" customFormat="false" ht="15" hidden="false" customHeight="true" outlineLevel="0" collapsed="false">
      <c r="A25" s="1" t="str">
        <f aca="false">IF(Brasil!C25="","",IFERROR(INDEX(Mercados!$C$2:$C$32,MATCH(Brasil!B25,Mercados!$A$2:$A$32,0)),"Revisar Tscode"))</f>
        <v/>
      </c>
      <c r="B25" s="1" t="str">
        <f aca="false">IF(Brasil!C25="","",Brasil!C25)</f>
        <v/>
      </c>
      <c r="C25" s="1" t="str">
        <f aca="false">IF(Brasil!C25="","",Brasil!A25)</f>
        <v/>
      </c>
      <c r="D25" s="1" t="str">
        <f aca="false">IF(Brasil!C25="","",Brasil!E25)</f>
        <v/>
      </c>
      <c r="E25" s="1" t="str">
        <f aca="false">IF(Brasil!C25="","",Brasil!F25)</f>
        <v/>
      </c>
      <c r="F25" s="1" t="str">
        <f aca="false">IF(Brasil!C25="","",Brasil!D25)</f>
        <v/>
      </c>
      <c r="I25" s="1" t="str">
        <f aca="false">IF(Brasil!C25="","",Brasil!H25)</f>
        <v/>
      </c>
      <c r="J25" s="1" t="str">
        <f aca="false">IF(Brasil!C25="","",Brasil!D25*Brasil!H25)</f>
        <v/>
      </c>
      <c r="K25" s="1" t="str">
        <f aca="false">IF(Brasil!C25="","","BR")</f>
        <v/>
      </c>
      <c r="L25" s="1" t="str">
        <f aca="false">IF(Brasil!C25="","",IFERROR(INDEX(Gamma_Catalogo!$D$3:$D$1451,MATCH(Brasil!E25,Gamma_Catalogo!$A$3:$A$1451,0)),"Revisar Ip Code"))</f>
        <v/>
      </c>
      <c r="M25" s="1" t="str">
        <f aca="false">IF(Brasil!C25="","",IFERROR(INDEX(Gamma_Catalogo!$C$3:$C$1451,MATCH(Brasil!E25,Gamma_Catalogo!$A$3:$A$1451,0)),"Revisar Ip Code"))</f>
        <v/>
      </c>
      <c r="N25" s="1" t="str">
        <f aca="false">IF(Brasil!C25="","",IFERROR(INDEX(Gamma_Catalogo!$E$3:$E$1451,MATCH(Brasil!E25,Gamma_Catalogo!$A$3:$A$1451,0)),"Revisar Ip Code"))</f>
        <v/>
      </c>
      <c r="O25" s="1" t="str">
        <f aca="false">IF(Brasil!C25="","","Brasil")</f>
        <v/>
      </c>
    </row>
    <row r="26" customFormat="false" ht="15" hidden="false" customHeight="true" outlineLevel="0" collapsed="false">
      <c r="A26" s="1" t="str">
        <f aca="false">IF(Brasil!C26="","",IFERROR(INDEX(Mercados!$C$2:$C$32,MATCH(Brasil!B26,Mercados!$A$2:$A$32,0)),"Revisar Tscode"))</f>
        <v/>
      </c>
      <c r="B26" s="1" t="str">
        <f aca="false">IF(Brasil!C26="","",Brasil!C26)</f>
        <v/>
      </c>
      <c r="C26" s="1" t="str">
        <f aca="false">IF(Brasil!C26="","",Brasil!A26)</f>
        <v/>
      </c>
      <c r="D26" s="1" t="str">
        <f aca="false">IF(Brasil!C26="","",Brasil!E26)</f>
        <v/>
      </c>
      <c r="E26" s="1" t="str">
        <f aca="false">IF(Brasil!C26="","",Brasil!F26)</f>
        <v/>
      </c>
      <c r="F26" s="1" t="str">
        <f aca="false">IF(Brasil!C26="","",Brasil!D26)</f>
        <v/>
      </c>
      <c r="I26" s="1" t="str">
        <f aca="false">IF(Brasil!C26="","",Brasil!H26)</f>
        <v/>
      </c>
      <c r="J26" s="1" t="str">
        <f aca="false">IF(Brasil!C26="","",Brasil!D26*Brasil!H26)</f>
        <v/>
      </c>
      <c r="K26" s="1" t="str">
        <f aca="false">IF(Brasil!C26="","","BR")</f>
        <v/>
      </c>
      <c r="L26" s="1" t="str">
        <f aca="false">IF(Brasil!C26="","",IFERROR(INDEX(Gamma_Catalogo!$D$3:$D$1451,MATCH(Brasil!E26,Gamma_Catalogo!$A$3:$A$1451,0)),"Revisar Ip Code"))</f>
        <v/>
      </c>
      <c r="M26" s="1" t="str">
        <f aca="false">IF(Brasil!C26="","",IFERROR(INDEX(Gamma_Catalogo!$C$3:$C$1451,MATCH(Brasil!E26,Gamma_Catalogo!$A$3:$A$1451,0)),"Revisar Ip Code"))</f>
        <v/>
      </c>
      <c r="N26" s="1" t="str">
        <f aca="false">IF(Brasil!C26="","",IFERROR(INDEX(Gamma_Catalogo!$E$3:$E$1451,MATCH(Brasil!E26,Gamma_Catalogo!$A$3:$A$1451,0)),"Revisar Ip Code"))</f>
        <v/>
      </c>
      <c r="O26" s="1" t="str">
        <f aca="false">IF(Brasil!C26="","","Brasil")</f>
        <v/>
      </c>
    </row>
    <row r="27" customFormat="false" ht="15" hidden="false" customHeight="true" outlineLevel="0" collapsed="false">
      <c r="A27" s="1" t="str">
        <f aca="false">IF(Brasil!C27="","",IFERROR(INDEX(Mercados!$C$2:$C$32,MATCH(Brasil!B27,Mercados!$A$2:$A$32,0)),"Revisar Tscode"))</f>
        <v/>
      </c>
      <c r="B27" s="1" t="str">
        <f aca="false">IF(Brasil!C27="","",Brasil!C27)</f>
        <v/>
      </c>
      <c r="C27" s="1" t="str">
        <f aca="false">IF(Brasil!C27="","",Brasil!A27)</f>
        <v/>
      </c>
      <c r="D27" s="1" t="str">
        <f aca="false">IF(Brasil!C27="","",Brasil!E27)</f>
        <v/>
      </c>
      <c r="E27" s="1" t="str">
        <f aca="false">IF(Brasil!C27="","",Brasil!F27)</f>
        <v/>
      </c>
      <c r="F27" s="1" t="str">
        <f aca="false">IF(Brasil!C27="","",Brasil!D27)</f>
        <v/>
      </c>
      <c r="I27" s="1" t="str">
        <f aca="false">IF(Brasil!C27="","",Brasil!H27)</f>
        <v/>
      </c>
      <c r="J27" s="1" t="str">
        <f aca="false">IF(Brasil!C27="","",Brasil!D27*Brasil!H27)</f>
        <v/>
      </c>
      <c r="K27" s="1" t="str">
        <f aca="false">IF(Brasil!C27="","","BR")</f>
        <v/>
      </c>
      <c r="L27" s="1" t="str">
        <f aca="false">IF(Brasil!C27="","",IFERROR(INDEX(Gamma_Catalogo!$D$3:$D$1451,MATCH(Brasil!E27,Gamma_Catalogo!$A$3:$A$1451,0)),"Revisar Ip Code"))</f>
        <v/>
      </c>
      <c r="M27" s="1" t="str">
        <f aca="false">IF(Brasil!C27="","",IFERROR(INDEX(Gamma_Catalogo!$C$3:$C$1451,MATCH(Brasil!E27,Gamma_Catalogo!$A$3:$A$1451,0)),"Revisar Ip Code"))</f>
        <v/>
      </c>
      <c r="N27" s="1" t="str">
        <f aca="false">IF(Brasil!C27="","",IFERROR(INDEX(Gamma_Catalogo!$E$3:$E$1451,MATCH(Brasil!E27,Gamma_Catalogo!$A$3:$A$1451,0)),"Revisar Ip Code"))</f>
        <v/>
      </c>
      <c r="O27" s="1" t="str">
        <f aca="false">IF(Brasil!C27="","","Brasil")</f>
        <v/>
      </c>
    </row>
    <row r="28" customFormat="false" ht="15" hidden="false" customHeight="true" outlineLevel="0" collapsed="false">
      <c r="A28" s="1" t="str">
        <f aca="false">IF(Brasil!C28="","",IFERROR(INDEX(Mercados!$C$2:$C$32,MATCH(Brasil!B28,Mercados!$A$2:$A$32,0)),"Revisar Tscode"))</f>
        <v/>
      </c>
      <c r="B28" s="1" t="str">
        <f aca="false">IF(Brasil!C28="","",Brasil!C28)</f>
        <v/>
      </c>
      <c r="C28" s="1" t="str">
        <f aca="false">IF(Brasil!C28="","",Brasil!A28)</f>
        <v/>
      </c>
      <c r="D28" s="1" t="str">
        <f aca="false">IF(Brasil!C28="","",Brasil!E28)</f>
        <v/>
      </c>
      <c r="E28" s="1" t="str">
        <f aca="false">IF(Brasil!C28="","",Brasil!F28)</f>
        <v/>
      </c>
      <c r="F28" s="1" t="str">
        <f aca="false">IF(Brasil!C28="","",Brasil!D28)</f>
        <v/>
      </c>
      <c r="I28" s="1" t="str">
        <f aca="false">IF(Brasil!C28="","",Brasil!H28)</f>
        <v/>
      </c>
      <c r="J28" s="1" t="str">
        <f aca="false">IF(Brasil!C28="","",Brasil!D28*Brasil!H28)</f>
        <v/>
      </c>
      <c r="K28" s="1" t="str">
        <f aca="false">IF(Brasil!C28="","","BR")</f>
        <v/>
      </c>
      <c r="L28" s="1" t="str">
        <f aca="false">IF(Brasil!C28="","",IFERROR(INDEX(Gamma_Catalogo!$D$3:$D$1451,MATCH(Brasil!E28,Gamma_Catalogo!$A$3:$A$1451,0)),"Revisar Ip Code"))</f>
        <v/>
      </c>
      <c r="M28" s="1" t="str">
        <f aca="false">IF(Brasil!C28="","",IFERROR(INDEX(Gamma_Catalogo!$C$3:$C$1451,MATCH(Brasil!E28,Gamma_Catalogo!$A$3:$A$1451,0)),"Revisar Ip Code"))</f>
        <v/>
      </c>
      <c r="N28" s="1" t="str">
        <f aca="false">IF(Brasil!C28="","",IFERROR(INDEX(Gamma_Catalogo!$E$3:$E$1451,MATCH(Brasil!E28,Gamma_Catalogo!$A$3:$A$1451,0)),"Revisar Ip Code"))</f>
        <v/>
      </c>
      <c r="O28" s="1" t="str">
        <f aca="false">IF(Brasil!C28="","","Brasil")</f>
        <v/>
      </c>
    </row>
    <row r="29" customFormat="false" ht="15" hidden="false" customHeight="true" outlineLevel="0" collapsed="false">
      <c r="A29" s="1" t="str">
        <f aca="false">IF(Brasil!C29="","",IFERROR(INDEX(Mercados!$C$2:$C$32,MATCH(Brasil!B29,Mercados!$A$2:$A$32,0)),"Revisar Tscode"))</f>
        <v/>
      </c>
      <c r="B29" s="1" t="str">
        <f aca="false">IF(Brasil!C29="","",Brasil!C29)</f>
        <v/>
      </c>
      <c r="C29" s="1" t="str">
        <f aca="false">IF(Brasil!C29="","",Brasil!A29)</f>
        <v/>
      </c>
      <c r="D29" s="1" t="str">
        <f aca="false">IF(Brasil!C29="","",Brasil!E29)</f>
        <v/>
      </c>
      <c r="E29" s="1" t="str">
        <f aca="false">IF(Brasil!C29="","",Brasil!F29)</f>
        <v/>
      </c>
      <c r="F29" s="1" t="str">
        <f aca="false">IF(Brasil!C29="","",Brasil!D29)</f>
        <v/>
      </c>
      <c r="I29" s="1" t="str">
        <f aca="false">IF(Brasil!C29="","",Brasil!H29)</f>
        <v/>
      </c>
      <c r="J29" s="1" t="str">
        <f aca="false">IF(Brasil!C29="","",Brasil!D29*Brasil!H29)</f>
        <v/>
      </c>
      <c r="K29" s="1" t="str">
        <f aca="false">IF(Brasil!C29="","","BR")</f>
        <v/>
      </c>
      <c r="L29" s="1" t="str">
        <f aca="false">IF(Brasil!C29="","",IFERROR(INDEX(Gamma_Catalogo!$D$3:$D$1451,MATCH(Brasil!E29,Gamma_Catalogo!$A$3:$A$1451,0)),"Revisar Ip Code"))</f>
        <v/>
      </c>
      <c r="M29" s="1" t="str">
        <f aca="false">IF(Brasil!C29="","",IFERROR(INDEX(Gamma_Catalogo!$C$3:$C$1451,MATCH(Brasil!E29,Gamma_Catalogo!$A$3:$A$1451,0)),"Revisar Ip Code"))</f>
        <v/>
      </c>
      <c r="N29" s="1" t="str">
        <f aca="false">IF(Brasil!C29="","",IFERROR(INDEX(Gamma_Catalogo!$E$3:$E$1451,MATCH(Brasil!E29,Gamma_Catalogo!$A$3:$A$1451,0)),"Revisar Ip Code"))</f>
        <v/>
      </c>
      <c r="O29" s="1" t="str">
        <f aca="false">IF(Brasil!C29="","","Brasil")</f>
        <v/>
      </c>
    </row>
    <row r="30" customFormat="false" ht="15" hidden="false" customHeight="true" outlineLevel="0" collapsed="false">
      <c r="A30" s="1" t="str">
        <f aca="false">IF(Brasil!C30="","",IFERROR(INDEX(Mercados!$C$2:$C$32,MATCH(Brasil!B30,Mercados!$A$2:$A$32,0)),"Revisar Tscode"))</f>
        <v/>
      </c>
      <c r="B30" s="1" t="str">
        <f aca="false">IF(Brasil!C30="","",Brasil!C30)</f>
        <v/>
      </c>
      <c r="C30" s="1" t="str">
        <f aca="false">IF(Brasil!C30="","",Brasil!A30)</f>
        <v/>
      </c>
      <c r="D30" s="1" t="str">
        <f aca="false">IF(Brasil!C30="","",Brasil!E30)</f>
        <v/>
      </c>
      <c r="E30" s="1" t="str">
        <f aca="false">IF(Brasil!C30="","",Brasil!F30)</f>
        <v/>
      </c>
      <c r="F30" s="1" t="str">
        <f aca="false">IF(Brasil!C30="","",Brasil!D30)</f>
        <v/>
      </c>
      <c r="I30" s="1" t="str">
        <f aca="false">IF(Brasil!C30="","",Brasil!H30)</f>
        <v/>
      </c>
      <c r="J30" s="1" t="str">
        <f aca="false">IF(Brasil!C30="","",Brasil!D30*Brasil!H30)</f>
        <v/>
      </c>
      <c r="K30" s="1" t="str">
        <f aca="false">IF(Brasil!C30="","","BR")</f>
        <v/>
      </c>
      <c r="L30" s="1" t="str">
        <f aca="false">IF(Brasil!C30="","",IFERROR(INDEX(Gamma_Catalogo!$D$3:$D$1451,MATCH(Brasil!E30,Gamma_Catalogo!$A$3:$A$1451,0)),"Revisar Ip Code"))</f>
        <v/>
      </c>
      <c r="M30" s="1" t="str">
        <f aca="false">IF(Brasil!C30="","",IFERROR(INDEX(Gamma_Catalogo!$C$3:$C$1451,MATCH(Brasil!E30,Gamma_Catalogo!$A$3:$A$1451,0)),"Revisar Ip Code"))</f>
        <v/>
      </c>
      <c r="N30" s="1" t="str">
        <f aca="false">IF(Brasil!C30="","",IFERROR(INDEX(Gamma_Catalogo!$E$3:$E$1451,MATCH(Brasil!E30,Gamma_Catalogo!$A$3:$A$1451,0)),"Revisar Ip Code"))</f>
        <v/>
      </c>
      <c r="O30" s="1" t="str">
        <f aca="false">IF(Brasil!C30="","","Brasil")</f>
        <v/>
      </c>
    </row>
    <row r="31" customFormat="false" ht="15" hidden="false" customHeight="true" outlineLevel="0" collapsed="false">
      <c r="A31" s="1" t="str">
        <f aca="false">IF(Brasil!C31="","",IFERROR(INDEX(Mercados!$C$2:$C$32,MATCH(Brasil!B31,Mercados!$A$2:$A$32,0)),"Revisar Tscode"))</f>
        <v/>
      </c>
      <c r="B31" s="1" t="str">
        <f aca="false">IF(Brasil!C31="","",Brasil!C31)</f>
        <v/>
      </c>
      <c r="C31" s="1" t="str">
        <f aca="false">IF(Brasil!C31="","",Brasil!A31)</f>
        <v/>
      </c>
      <c r="D31" s="1" t="str">
        <f aca="false">IF(Brasil!C31="","",Brasil!E31)</f>
        <v/>
      </c>
      <c r="E31" s="1" t="str">
        <f aca="false">IF(Brasil!C31="","",Brasil!F31)</f>
        <v/>
      </c>
      <c r="F31" s="1" t="str">
        <f aca="false">IF(Brasil!C31="","",Brasil!D31)</f>
        <v/>
      </c>
      <c r="I31" s="1" t="str">
        <f aca="false">IF(Brasil!C31="","",Brasil!H31)</f>
        <v/>
      </c>
      <c r="J31" s="1" t="str">
        <f aca="false">IF(Brasil!C31="","",Brasil!D31*Brasil!H31)</f>
        <v/>
      </c>
      <c r="K31" s="1" t="str">
        <f aca="false">IF(Brasil!C31="","","BR")</f>
        <v/>
      </c>
      <c r="L31" s="1" t="str">
        <f aca="false">IF(Brasil!C31="","",IFERROR(INDEX(Gamma_Catalogo!$D$3:$D$1451,MATCH(Brasil!E31,Gamma_Catalogo!$A$3:$A$1451,0)),"Revisar Ip Code"))</f>
        <v/>
      </c>
      <c r="M31" s="1" t="str">
        <f aca="false">IF(Brasil!C31="","",IFERROR(INDEX(Gamma_Catalogo!$C$3:$C$1451,MATCH(Brasil!E31,Gamma_Catalogo!$A$3:$A$1451,0)),"Revisar Ip Code"))</f>
        <v/>
      </c>
      <c r="N31" s="1" t="str">
        <f aca="false">IF(Brasil!C31="","",IFERROR(INDEX(Gamma_Catalogo!$E$3:$E$1451,MATCH(Brasil!E31,Gamma_Catalogo!$A$3:$A$1451,0)),"Revisar Ip Code"))</f>
        <v/>
      </c>
      <c r="O31" s="1" t="str">
        <f aca="false">IF(Brasil!C31="","","Brasil")</f>
        <v/>
      </c>
    </row>
    <row r="32" customFormat="false" ht="15" hidden="false" customHeight="true" outlineLevel="0" collapsed="false">
      <c r="A32" s="1" t="str">
        <f aca="false">IF(Brasil!C32="","",IFERROR(INDEX(Mercados!$C$2:$C$32,MATCH(Brasil!B32,Mercados!$A$2:$A$32,0)),"Revisar Tscode"))</f>
        <v/>
      </c>
      <c r="B32" s="1" t="str">
        <f aca="false">IF(Brasil!C32="","",Brasil!C32)</f>
        <v/>
      </c>
      <c r="C32" s="1" t="str">
        <f aca="false">IF(Brasil!C32="","",Brasil!A32)</f>
        <v/>
      </c>
      <c r="D32" s="1" t="str">
        <f aca="false">IF(Brasil!C32="","",Brasil!E32)</f>
        <v/>
      </c>
      <c r="E32" s="1" t="str">
        <f aca="false">IF(Brasil!C32="","",Brasil!F32)</f>
        <v/>
      </c>
      <c r="F32" s="1" t="str">
        <f aca="false">IF(Brasil!C32="","",Brasil!D32)</f>
        <v/>
      </c>
      <c r="I32" s="1" t="str">
        <f aca="false">IF(Brasil!C32="","",Brasil!H32)</f>
        <v/>
      </c>
      <c r="J32" s="1" t="str">
        <f aca="false">IF(Brasil!C32="","",Brasil!D32*Brasil!H32)</f>
        <v/>
      </c>
      <c r="K32" s="1" t="str">
        <f aca="false">IF(Brasil!C32="","","BR")</f>
        <v/>
      </c>
      <c r="L32" s="1" t="str">
        <f aca="false">IF(Brasil!C32="","",IFERROR(INDEX(Gamma_Catalogo!$D$3:$D$1451,MATCH(Brasil!E32,Gamma_Catalogo!$A$3:$A$1451,0)),"Revisar Ip Code"))</f>
        <v/>
      </c>
      <c r="M32" s="1" t="str">
        <f aca="false">IF(Brasil!C32="","",IFERROR(INDEX(Gamma_Catalogo!$C$3:$C$1451,MATCH(Brasil!E32,Gamma_Catalogo!$A$3:$A$1451,0)),"Revisar Ip Code"))</f>
        <v/>
      </c>
      <c r="N32" s="1" t="str">
        <f aca="false">IF(Brasil!C32="","",IFERROR(INDEX(Gamma_Catalogo!$E$3:$E$1451,MATCH(Brasil!E32,Gamma_Catalogo!$A$3:$A$1451,0)),"Revisar Ip Code"))</f>
        <v/>
      </c>
      <c r="O32" s="1" t="str">
        <f aca="false">IF(Brasil!C32="","","Brasil")</f>
        <v/>
      </c>
    </row>
    <row r="33" customFormat="false" ht="15" hidden="false" customHeight="true" outlineLevel="0" collapsed="false">
      <c r="A33" s="1" t="str">
        <f aca="false">IF(Brasil!C33="","",IFERROR(INDEX(Mercados!$C$2:$C$32,MATCH(Brasil!B33,Mercados!$A$2:$A$32,0)),"Revisar Tscode"))</f>
        <v/>
      </c>
      <c r="B33" s="1" t="str">
        <f aca="false">IF(Brasil!C33="","",Brasil!C33)</f>
        <v/>
      </c>
      <c r="C33" s="1" t="str">
        <f aca="false">IF(Brasil!C33="","",Brasil!A33)</f>
        <v/>
      </c>
      <c r="D33" s="1" t="str">
        <f aca="false">IF(Brasil!C33="","",Brasil!E33)</f>
        <v/>
      </c>
      <c r="E33" s="1" t="str">
        <f aca="false">IF(Brasil!C33="","",Brasil!F33)</f>
        <v/>
      </c>
      <c r="F33" s="1" t="str">
        <f aca="false">IF(Brasil!C33="","",Brasil!D33)</f>
        <v/>
      </c>
      <c r="I33" s="1" t="str">
        <f aca="false">IF(Brasil!C33="","",Brasil!H33)</f>
        <v/>
      </c>
      <c r="J33" s="1" t="str">
        <f aca="false">IF(Brasil!C33="","",Brasil!D33*Brasil!H33)</f>
        <v/>
      </c>
      <c r="K33" s="1" t="str">
        <f aca="false">IF(Brasil!C33="","","BR")</f>
        <v/>
      </c>
      <c r="L33" s="1" t="str">
        <f aca="false">IF(Brasil!C33="","",IFERROR(INDEX(Gamma_Catalogo!$D$3:$D$1451,MATCH(Brasil!E33,Gamma_Catalogo!$A$3:$A$1451,0)),"Revisar Ip Code"))</f>
        <v/>
      </c>
      <c r="M33" s="1" t="str">
        <f aca="false">IF(Brasil!C33="","",IFERROR(INDEX(Gamma_Catalogo!$C$3:$C$1451,MATCH(Brasil!E33,Gamma_Catalogo!$A$3:$A$1451,0)),"Revisar Ip Code"))</f>
        <v/>
      </c>
      <c r="N33" s="1" t="str">
        <f aca="false">IF(Brasil!C33="","",IFERROR(INDEX(Gamma_Catalogo!$E$3:$E$1451,MATCH(Brasil!E33,Gamma_Catalogo!$A$3:$A$1451,0)),"Revisar Ip Code"))</f>
        <v/>
      </c>
      <c r="O33" s="1" t="str">
        <f aca="false">IF(Brasil!C33="","","Brasil")</f>
        <v/>
      </c>
    </row>
    <row r="34" customFormat="false" ht="15" hidden="false" customHeight="true" outlineLevel="0" collapsed="false">
      <c r="A34" s="1" t="str">
        <f aca="false">IF(Brasil!C34="","",IFERROR(INDEX(Mercados!$C$2:$C$32,MATCH(Brasil!B34,Mercados!$A$2:$A$32,0)),"Revisar Tscode"))</f>
        <v/>
      </c>
      <c r="B34" s="1" t="str">
        <f aca="false">IF(Brasil!C34="","",Brasil!C34)</f>
        <v/>
      </c>
      <c r="C34" s="1" t="str">
        <f aca="false">IF(Brasil!C34="","",Brasil!A34)</f>
        <v/>
      </c>
      <c r="D34" s="1" t="str">
        <f aca="false">IF(Brasil!C34="","",Brasil!E34)</f>
        <v/>
      </c>
      <c r="E34" s="1" t="str">
        <f aca="false">IF(Brasil!C34="","",Brasil!F34)</f>
        <v/>
      </c>
      <c r="F34" s="1" t="str">
        <f aca="false">IF(Brasil!C34="","",Brasil!D34)</f>
        <v/>
      </c>
      <c r="I34" s="1" t="str">
        <f aca="false">IF(Brasil!C34="","",Brasil!H34)</f>
        <v/>
      </c>
      <c r="J34" s="1" t="str">
        <f aca="false">IF(Brasil!C34="","",Brasil!D34*Brasil!H34)</f>
        <v/>
      </c>
      <c r="K34" s="1" t="str">
        <f aca="false">IF(Brasil!C34="","","BR")</f>
        <v/>
      </c>
      <c r="L34" s="1" t="str">
        <f aca="false">IF(Brasil!C34="","",IFERROR(INDEX(Gamma_Catalogo!$D$3:$D$1451,MATCH(Brasil!E34,Gamma_Catalogo!$A$3:$A$1451,0)),"Revisar Ip Code"))</f>
        <v/>
      </c>
      <c r="M34" s="1" t="str">
        <f aca="false">IF(Brasil!C34="","",IFERROR(INDEX(Gamma_Catalogo!$C$3:$C$1451,MATCH(Brasil!E34,Gamma_Catalogo!$A$3:$A$1451,0)),"Revisar Ip Code"))</f>
        <v/>
      </c>
      <c r="N34" s="1" t="str">
        <f aca="false">IF(Brasil!C34="","",IFERROR(INDEX(Gamma_Catalogo!$E$3:$E$1451,MATCH(Brasil!E34,Gamma_Catalogo!$A$3:$A$1451,0)),"Revisar Ip Code"))</f>
        <v/>
      </c>
      <c r="O34" s="1" t="str">
        <f aca="false">IF(Brasil!C34="","","Brasil")</f>
        <v/>
      </c>
    </row>
    <row r="35" customFormat="false" ht="15" hidden="false" customHeight="true" outlineLevel="0" collapsed="false">
      <c r="A35" s="1" t="str">
        <f aca="false">IF(Brasil!C35="","",IFERROR(INDEX(Mercados!$C$2:$C$32,MATCH(Brasil!B35,Mercados!$A$2:$A$32,0)),"Revisar Tscode"))</f>
        <v/>
      </c>
      <c r="B35" s="1" t="str">
        <f aca="false">IF(Brasil!C35="","",Brasil!C35)</f>
        <v/>
      </c>
      <c r="C35" s="1" t="str">
        <f aca="false">IF(Brasil!C35="","",Brasil!A35)</f>
        <v/>
      </c>
      <c r="D35" s="1" t="str">
        <f aca="false">IF(Brasil!C35="","",Brasil!E35)</f>
        <v/>
      </c>
      <c r="E35" s="1" t="str">
        <f aca="false">IF(Brasil!C35="","",Brasil!F35)</f>
        <v/>
      </c>
      <c r="F35" s="1" t="str">
        <f aca="false">IF(Brasil!C35="","",Brasil!D35)</f>
        <v/>
      </c>
      <c r="I35" s="1" t="str">
        <f aca="false">IF(Brasil!C35="","",Brasil!H35)</f>
        <v/>
      </c>
      <c r="J35" s="1" t="str">
        <f aca="false">IF(Brasil!C35="","",Brasil!D35*Brasil!H35)</f>
        <v/>
      </c>
      <c r="K35" s="1" t="str">
        <f aca="false">IF(Brasil!C35="","","BR")</f>
        <v/>
      </c>
      <c r="L35" s="1" t="str">
        <f aca="false">IF(Brasil!C35="","",IFERROR(INDEX(Gamma_Catalogo!$D$3:$D$1451,MATCH(Brasil!E35,Gamma_Catalogo!$A$3:$A$1451,0)),"Revisar Ip Code"))</f>
        <v/>
      </c>
      <c r="M35" s="1" t="str">
        <f aca="false">IF(Brasil!C35="","",IFERROR(INDEX(Gamma_Catalogo!$C$3:$C$1451,MATCH(Brasil!E35,Gamma_Catalogo!$A$3:$A$1451,0)),"Revisar Ip Code"))</f>
        <v/>
      </c>
      <c r="N35" s="1" t="str">
        <f aca="false">IF(Brasil!C35="","",IFERROR(INDEX(Gamma_Catalogo!$E$3:$E$1451,MATCH(Brasil!E35,Gamma_Catalogo!$A$3:$A$1451,0)),"Revisar Ip Code"))</f>
        <v/>
      </c>
      <c r="O35" s="1" t="str">
        <f aca="false">IF(Brasil!C35="","","Brasil")</f>
        <v/>
      </c>
    </row>
    <row r="36" customFormat="false" ht="15" hidden="false" customHeight="true" outlineLevel="0" collapsed="false">
      <c r="A36" s="1" t="str">
        <f aca="false">IF(Brasil!C36="","",IFERROR(INDEX(Mercados!$C$2:$C$32,MATCH(Brasil!B36,Mercados!$A$2:$A$32,0)),"Revisar Tscode"))</f>
        <v/>
      </c>
      <c r="B36" s="1" t="str">
        <f aca="false">IF(Brasil!C36="","",Brasil!C36)</f>
        <v/>
      </c>
      <c r="C36" s="1" t="str">
        <f aca="false">IF(Brasil!C36="","",Brasil!A36)</f>
        <v/>
      </c>
      <c r="D36" s="1" t="str">
        <f aca="false">IF(Brasil!C36="","",Brasil!E36)</f>
        <v/>
      </c>
      <c r="E36" s="1" t="str">
        <f aca="false">IF(Brasil!C36="","",Brasil!F36)</f>
        <v/>
      </c>
      <c r="F36" s="1" t="str">
        <f aca="false">IF(Brasil!C36="","",Brasil!D36)</f>
        <v/>
      </c>
      <c r="I36" s="1" t="str">
        <f aca="false">IF(Brasil!C36="","",Brasil!H36)</f>
        <v/>
      </c>
      <c r="J36" s="1" t="str">
        <f aca="false">IF(Brasil!C36="","",Brasil!D36*Brasil!H36)</f>
        <v/>
      </c>
      <c r="K36" s="1" t="str">
        <f aca="false">IF(Brasil!C36="","","BR")</f>
        <v/>
      </c>
      <c r="L36" s="1" t="str">
        <f aca="false">IF(Brasil!C36="","",IFERROR(INDEX(Gamma_Catalogo!$D$3:$D$1451,MATCH(Brasil!E36,Gamma_Catalogo!$A$3:$A$1451,0)),"Revisar Ip Code"))</f>
        <v/>
      </c>
      <c r="M36" s="1" t="str">
        <f aca="false">IF(Brasil!C36="","",IFERROR(INDEX(Gamma_Catalogo!$C$3:$C$1451,MATCH(Brasil!E36,Gamma_Catalogo!$A$3:$A$1451,0)),"Revisar Ip Code"))</f>
        <v/>
      </c>
      <c r="N36" s="1" t="str">
        <f aca="false">IF(Brasil!C36="","",IFERROR(INDEX(Gamma_Catalogo!$E$3:$E$1451,MATCH(Brasil!E36,Gamma_Catalogo!$A$3:$A$1451,0)),"Revisar Ip Code"))</f>
        <v/>
      </c>
      <c r="O36" s="1" t="str">
        <f aca="false">IF(Brasil!C36="","","Brasil")</f>
        <v/>
      </c>
    </row>
    <row r="37" customFormat="false" ht="15" hidden="false" customHeight="true" outlineLevel="0" collapsed="false">
      <c r="A37" s="1" t="str">
        <f aca="false">IF(Brasil!C37="","",IFERROR(INDEX(Mercados!$C$2:$C$32,MATCH(Brasil!B37,Mercados!$A$2:$A$32,0)),"Revisar Tscode"))</f>
        <v/>
      </c>
      <c r="B37" s="1" t="str">
        <f aca="false">IF(Brasil!C37="","",Brasil!C37)</f>
        <v/>
      </c>
      <c r="C37" s="1" t="str">
        <f aca="false">IF(Brasil!C37="","",Brasil!A37)</f>
        <v/>
      </c>
      <c r="D37" s="1" t="str">
        <f aca="false">IF(Brasil!C37="","",Brasil!E37)</f>
        <v/>
      </c>
      <c r="E37" s="1" t="str">
        <f aca="false">IF(Brasil!C37="","",Brasil!F37)</f>
        <v/>
      </c>
      <c r="F37" s="1" t="str">
        <f aca="false">IF(Brasil!C37="","",Brasil!D37)</f>
        <v/>
      </c>
      <c r="I37" s="1" t="str">
        <f aca="false">IF(Brasil!C37="","",Brasil!H37)</f>
        <v/>
      </c>
      <c r="J37" s="1" t="str">
        <f aca="false">IF(Brasil!C37="","",Brasil!D37*Brasil!H37)</f>
        <v/>
      </c>
      <c r="K37" s="1" t="str">
        <f aca="false">IF(Brasil!C37="","","BR")</f>
        <v/>
      </c>
      <c r="L37" s="1" t="str">
        <f aca="false">IF(Brasil!C37="","",IFERROR(INDEX(Gamma_Catalogo!$D$3:$D$1451,MATCH(Brasil!E37,Gamma_Catalogo!$A$3:$A$1451,0)),"Revisar Ip Code"))</f>
        <v/>
      </c>
      <c r="M37" s="1" t="str">
        <f aca="false">IF(Brasil!C37="","",IFERROR(INDEX(Gamma_Catalogo!$C$3:$C$1451,MATCH(Brasil!E37,Gamma_Catalogo!$A$3:$A$1451,0)),"Revisar Ip Code"))</f>
        <v/>
      </c>
      <c r="N37" s="1" t="str">
        <f aca="false">IF(Brasil!C37="","",IFERROR(INDEX(Gamma_Catalogo!$E$3:$E$1451,MATCH(Brasil!E37,Gamma_Catalogo!$A$3:$A$1451,0)),"Revisar Ip Code"))</f>
        <v/>
      </c>
      <c r="O37" s="1" t="str">
        <f aca="false">IF(Brasil!C37="","","Brasil")</f>
        <v/>
      </c>
    </row>
    <row r="38" customFormat="false" ht="15" hidden="false" customHeight="true" outlineLevel="0" collapsed="false">
      <c r="A38" s="1" t="str">
        <f aca="false">IF(Brasil!C38="","",IFERROR(INDEX(Mercados!$C$2:$C$32,MATCH(Brasil!B38,Mercados!$A$2:$A$32,0)),"Revisar Tscode"))</f>
        <v/>
      </c>
      <c r="B38" s="1" t="str">
        <f aca="false">IF(Brasil!C38="","",Brasil!C38)</f>
        <v/>
      </c>
      <c r="C38" s="1" t="str">
        <f aca="false">IF(Brasil!C38="","",Brasil!A38)</f>
        <v/>
      </c>
      <c r="D38" s="1" t="str">
        <f aca="false">IF(Brasil!C38="","",Brasil!E38)</f>
        <v/>
      </c>
      <c r="E38" s="1" t="str">
        <f aca="false">IF(Brasil!C38="","",Brasil!F38)</f>
        <v/>
      </c>
      <c r="F38" s="1" t="str">
        <f aca="false">IF(Brasil!C38="","",Brasil!D38)</f>
        <v/>
      </c>
      <c r="I38" s="1" t="str">
        <f aca="false">IF(Brasil!C38="","",Brasil!H38)</f>
        <v/>
      </c>
      <c r="J38" s="1" t="str">
        <f aca="false">IF(Brasil!C38="","",Brasil!D38*Brasil!H38)</f>
        <v/>
      </c>
      <c r="K38" s="1" t="str">
        <f aca="false">IF(Brasil!C38="","","BR")</f>
        <v/>
      </c>
      <c r="L38" s="1" t="str">
        <f aca="false">IF(Brasil!C38="","",IFERROR(INDEX(Gamma_Catalogo!$D$3:$D$1451,MATCH(Brasil!E38,Gamma_Catalogo!$A$3:$A$1451,0)),"Revisar Ip Code"))</f>
        <v/>
      </c>
      <c r="M38" s="1" t="str">
        <f aca="false">IF(Brasil!C38="","",IFERROR(INDEX(Gamma_Catalogo!$C$3:$C$1451,MATCH(Brasil!E38,Gamma_Catalogo!$A$3:$A$1451,0)),"Revisar Ip Code"))</f>
        <v/>
      </c>
      <c r="N38" s="1" t="str">
        <f aca="false">IF(Brasil!C38="","",IFERROR(INDEX(Gamma_Catalogo!$E$3:$E$1451,MATCH(Brasil!E38,Gamma_Catalogo!$A$3:$A$1451,0)),"Revisar Ip Code"))</f>
        <v/>
      </c>
      <c r="O38" s="1" t="str">
        <f aca="false">IF(Brasil!C38="","","Brasil")</f>
        <v/>
      </c>
    </row>
    <row r="39" customFormat="false" ht="15" hidden="false" customHeight="true" outlineLevel="0" collapsed="false">
      <c r="A39" s="1" t="str">
        <f aca="false">IF(Brasil!C39="","",IFERROR(INDEX(Mercados!$C$2:$C$32,MATCH(Brasil!B39,Mercados!$A$2:$A$32,0)),"Revisar Tscode"))</f>
        <v/>
      </c>
      <c r="B39" s="1" t="str">
        <f aca="false">IF(Brasil!C39="","",Brasil!C39)</f>
        <v/>
      </c>
      <c r="C39" s="1" t="str">
        <f aca="false">IF(Brasil!C39="","",Brasil!A39)</f>
        <v/>
      </c>
      <c r="D39" s="1" t="str">
        <f aca="false">IF(Brasil!C39="","",Brasil!E39)</f>
        <v/>
      </c>
      <c r="E39" s="1" t="str">
        <f aca="false">IF(Brasil!C39="","",Brasil!F39)</f>
        <v/>
      </c>
      <c r="F39" s="1" t="str">
        <f aca="false">IF(Brasil!C39="","",Brasil!D39)</f>
        <v/>
      </c>
      <c r="I39" s="1" t="str">
        <f aca="false">IF(Brasil!C39="","",Brasil!H39)</f>
        <v/>
      </c>
      <c r="J39" s="1" t="str">
        <f aca="false">IF(Brasil!C39="","",Brasil!D39*Brasil!H39)</f>
        <v/>
      </c>
      <c r="K39" s="1" t="str">
        <f aca="false">IF(Brasil!C39="","","BR")</f>
        <v/>
      </c>
      <c r="L39" s="1" t="str">
        <f aca="false">IF(Brasil!C39="","",IFERROR(INDEX(Gamma_Catalogo!$D$3:$D$1451,MATCH(Brasil!E39,Gamma_Catalogo!$A$3:$A$1451,0)),"Revisar Ip Code"))</f>
        <v/>
      </c>
      <c r="M39" s="1" t="str">
        <f aca="false">IF(Brasil!C39="","",IFERROR(INDEX(Gamma_Catalogo!$C$3:$C$1451,MATCH(Brasil!E39,Gamma_Catalogo!$A$3:$A$1451,0)),"Revisar Ip Code"))</f>
        <v/>
      </c>
      <c r="N39" s="1" t="str">
        <f aca="false">IF(Brasil!C39="","",IFERROR(INDEX(Gamma_Catalogo!$E$3:$E$1451,MATCH(Brasil!E39,Gamma_Catalogo!$A$3:$A$1451,0)),"Revisar Ip Code"))</f>
        <v/>
      </c>
      <c r="O39" s="1" t="str">
        <f aca="false">IF(Brasil!C39="","","Brasil")</f>
        <v/>
      </c>
    </row>
    <row r="40" customFormat="false" ht="15" hidden="false" customHeight="true" outlineLevel="0" collapsed="false">
      <c r="A40" s="1" t="str">
        <f aca="false">IF(Brasil!C40="","",IFERROR(INDEX(Mercados!$C$2:$C$32,MATCH(Brasil!B40,Mercados!$A$2:$A$32,0)),"Revisar Tscode"))</f>
        <v/>
      </c>
      <c r="B40" s="1" t="str">
        <f aca="false">IF(Brasil!C40="","",Brasil!C40)</f>
        <v/>
      </c>
      <c r="C40" s="1" t="str">
        <f aca="false">IF(Brasil!C40="","",Brasil!A40)</f>
        <v/>
      </c>
      <c r="D40" s="1" t="str">
        <f aca="false">IF(Brasil!C40="","",Brasil!E40)</f>
        <v/>
      </c>
      <c r="E40" s="1" t="str">
        <f aca="false">IF(Brasil!C40="","",Brasil!F40)</f>
        <v/>
      </c>
      <c r="F40" s="1" t="str">
        <f aca="false">IF(Brasil!C40="","",Brasil!D40)</f>
        <v/>
      </c>
      <c r="I40" s="1" t="str">
        <f aca="false">IF(Brasil!C40="","",Brasil!H40)</f>
        <v/>
      </c>
      <c r="J40" s="1" t="str">
        <f aca="false">IF(Brasil!C40="","",Brasil!D40*Brasil!H40)</f>
        <v/>
      </c>
      <c r="K40" s="1" t="str">
        <f aca="false">IF(Brasil!C40="","","BR")</f>
        <v/>
      </c>
      <c r="L40" s="1" t="str">
        <f aca="false">IF(Brasil!C40="","",IFERROR(INDEX(Gamma_Catalogo!$D$3:$D$1451,MATCH(Brasil!E40,Gamma_Catalogo!$A$3:$A$1451,0)),"Revisar Ip Code"))</f>
        <v/>
      </c>
      <c r="M40" s="1" t="str">
        <f aca="false">IF(Brasil!C40="","",IFERROR(INDEX(Gamma_Catalogo!$C$3:$C$1451,MATCH(Brasil!E40,Gamma_Catalogo!$A$3:$A$1451,0)),"Revisar Ip Code"))</f>
        <v/>
      </c>
      <c r="N40" s="1" t="str">
        <f aca="false">IF(Brasil!C40="","",IFERROR(INDEX(Gamma_Catalogo!$E$3:$E$1451,MATCH(Brasil!E40,Gamma_Catalogo!$A$3:$A$1451,0)),"Revisar Ip Code"))</f>
        <v/>
      </c>
      <c r="O40" s="1" t="str">
        <f aca="false">IF(Brasil!C40="","","Brasil")</f>
        <v/>
      </c>
    </row>
    <row r="41" customFormat="false" ht="15" hidden="false" customHeight="true" outlineLevel="0" collapsed="false">
      <c r="A41" s="1" t="str">
        <f aca="false">IF(Brasil!C41="","",IFERROR(INDEX(Mercados!$C$2:$C$32,MATCH(Brasil!B41,Mercados!$A$2:$A$32,0)),"Revisar Tscode"))</f>
        <v/>
      </c>
      <c r="B41" s="1" t="str">
        <f aca="false">IF(Brasil!C41="","",Brasil!C41)</f>
        <v/>
      </c>
      <c r="C41" s="1" t="str">
        <f aca="false">IF(Brasil!C41="","",Brasil!A41)</f>
        <v/>
      </c>
      <c r="D41" s="1" t="str">
        <f aca="false">IF(Brasil!C41="","",Brasil!E41)</f>
        <v/>
      </c>
      <c r="E41" s="1" t="str">
        <f aca="false">IF(Brasil!C41="","",Brasil!F41)</f>
        <v/>
      </c>
      <c r="F41" s="1" t="str">
        <f aca="false">IF(Brasil!C41="","",Brasil!D41)</f>
        <v/>
      </c>
      <c r="I41" s="1" t="str">
        <f aca="false">IF(Brasil!C41="","",Brasil!H41)</f>
        <v/>
      </c>
      <c r="J41" s="1" t="str">
        <f aca="false">IF(Brasil!C41="","",Brasil!D41*Brasil!H41)</f>
        <v/>
      </c>
      <c r="K41" s="1" t="str">
        <f aca="false">IF(Brasil!C41="","","BR")</f>
        <v/>
      </c>
      <c r="L41" s="1" t="str">
        <f aca="false">IF(Brasil!C41="","",IFERROR(INDEX(Gamma_Catalogo!$D$3:$D$1451,MATCH(Brasil!E41,Gamma_Catalogo!$A$3:$A$1451,0)),"Revisar Ip Code"))</f>
        <v/>
      </c>
      <c r="M41" s="1" t="str">
        <f aca="false">IF(Brasil!C41="","",IFERROR(INDEX(Gamma_Catalogo!$C$3:$C$1451,MATCH(Brasil!E41,Gamma_Catalogo!$A$3:$A$1451,0)),"Revisar Ip Code"))</f>
        <v/>
      </c>
      <c r="N41" s="1" t="str">
        <f aca="false">IF(Brasil!C41="","",IFERROR(INDEX(Gamma_Catalogo!$E$3:$E$1451,MATCH(Brasil!E41,Gamma_Catalogo!$A$3:$A$1451,0)),"Revisar Ip Code"))</f>
        <v/>
      </c>
      <c r="O41" s="1" t="str">
        <f aca="false">IF(Brasil!C41="","","Brasil")</f>
        <v/>
      </c>
    </row>
    <row r="42" customFormat="false" ht="15" hidden="false" customHeight="true" outlineLevel="0" collapsed="false">
      <c r="A42" s="1" t="str">
        <f aca="false">IF(Brasil!C42="","",IFERROR(INDEX(Mercados!$C$2:$C$32,MATCH(Brasil!B42,Mercados!$A$2:$A$32,0)),"Revisar Tscode"))</f>
        <v/>
      </c>
      <c r="B42" s="1" t="str">
        <f aca="false">IF(Brasil!C42="","",Brasil!C42)</f>
        <v/>
      </c>
      <c r="C42" s="1" t="str">
        <f aca="false">IF(Brasil!C42="","",Brasil!A42)</f>
        <v/>
      </c>
      <c r="D42" s="1" t="str">
        <f aca="false">IF(Brasil!C42="","",Brasil!E42)</f>
        <v/>
      </c>
      <c r="E42" s="1" t="str">
        <f aca="false">IF(Brasil!C42="","",Brasil!F42)</f>
        <v/>
      </c>
      <c r="F42" s="1" t="str">
        <f aca="false">IF(Brasil!C42="","",Brasil!D42)</f>
        <v/>
      </c>
      <c r="I42" s="1" t="str">
        <f aca="false">IF(Brasil!C42="","",Brasil!H42)</f>
        <v/>
      </c>
      <c r="J42" s="1" t="str">
        <f aca="false">IF(Brasil!C42="","",Brasil!D42*Brasil!H42)</f>
        <v/>
      </c>
      <c r="K42" s="1" t="str">
        <f aca="false">IF(Brasil!C42="","","BR")</f>
        <v/>
      </c>
      <c r="L42" s="1" t="str">
        <f aca="false">IF(Brasil!C42="","",IFERROR(INDEX(Gamma_Catalogo!$D$3:$D$1451,MATCH(Brasil!E42,Gamma_Catalogo!$A$3:$A$1451,0)),"Revisar Ip Code"))</f>
        <v/>
      </c>
      <c r="M42" s="1" t="str">
        <f aca="false">IF(Brasil!C42="","",IFERROR(INDEX(Gamma_Catalogo!$C$3:$C$1451,MATCH(Brasil!E42,Gamma_Catalogo!$A$3:$A$1451,0)),"Revisar Ip Code"))</f>
        <v/>
      </c>
      <c r="N42" s="1" t="str">
        <f aca="false">IF(Brasil!C42="","",IFERROR(INDEX(Gamma_Catalogo!$E$3:$E$1451,MATCH(Brasil!E42,Gamma_Catalogo!$A$3:$A$1451,0)),"Revisar Ip Code"))</f>
        <v/>
      </c>
      <c r="O42" s="1" t="str">
        <f aca="false">IF(Brasil!C42="","","Brasil")</f>
        <v/>
      </c>
    </row>
    <row r="43" customFormat="false" ht="15" hidden="false" customHeight="true" outlineLevel="0" collapsed="false">
      <c r="A43" s="1" t="str">
        <f aca="false">IF(Brasil!C43="","",IFERROR(INDEX(Mercados!$C$2:$C$32,MATCH(Brasil!B43,Mercados!$A$2:$A$32,0)),"Revisar Tscode"))</f>
        <v/>
      </c>
      <c r="B43" s="1" t="str">
        <f aca="false">IF(Brasil!C43="","",Brasil!C43)</f>
        <v/>
      </c>
      <c r="C43" s="1" t="str">
        <f aca="false">IF(Brasil!C43="","",Brasil!A43)</f>
        <v/>
      </c>
      <c r="D43" s="1" t="str">
        <f aca="false">IF(Brasil!C43="","",Brasil!E43)</f>
        <v/>
      </c>
      <c r="E43" s="1" t="str">
        <f aca="false">IF(Brasil!C43="","",Brasil!F43)</f>
        <v/>
      </c>
      <c r="F43" s="1" t="str">
        <f aca="false">IF(Brasil!C43="","",Brasil!D43)</f>
        <v/>
      </c>
      <c r="I43" s="1" t="str">
        <f aca="false">IF(Brasil!C43="","",Brasil!H43)</f>
        <v/>
      </c>
      <c r="J43" s="1" t="str">
        <f aca="false">IF(Brasil!C43="","",Brasil!D43*Brasil!H43)</f>
        <v/>
      </c>
      <c r="K43" s="1" t="str">
        <f aca="false">IF(Brasil!C43="","","BR")</f>
        <v/>
      </c>
      <c r="L43" s="1" t="str">
        <f aca="false">IF(Brasil!C43="","",IFERROR(INDEX(Gamma_Catalogo!$D$3:$D$1451,MATCH(Brasil!E43,Gamma_Catalogo!$A$3:$A$1451,0)),"Revisar Ip Code"))</f>
        <v/>
      </c>
      <c r="M43" s="1" t="str">
        <f aca="false">IF(Brasil!C43="","",IFERROR(INDEX(Gamma_Catalogo!$C$3:$C$1451,MATCH(Brasil!E43,Gamma_Catalogo!$A$3:$A$1451,0)),"Revisar Ip Code"))</f>
        <v/>
      </c>
      <c r="N43" s="1" t="str">
        <f aca="false">IF(Brasil!C43="","",IFERROR(INDEX(Gamma_Catalogo!$E$3:$E$1451,MATCH(Brasil!E43,Gamma_Catalogo!$A$3:$A$1451,0)),"Revisar Ip Code"))</f>
        <v/>
      </c>
      <c r="O43" s="1" t="str">
        <f aca="false">IF(Brasil!C43="","","Brasil")</f>
        <v/>
      </c>
    </row>
    <row r="44" customFormat="false" ht="15" hidden="false" customHeight="true" outlineLevel="0" collapsed="false">
      <c r="A44" s="1" t="str">
        <f aca="false">IF(Brasil!C44="","",IFERROR(INDEX(Mercados!$C$2:$C$32,MATCH(Brasil!B44,Mercados!$A$2:$A$32,0)),"Revisar Tscode"))</f>
        <v/>
      </c>
      <c r="B44" s="1" t="str">
        <f aca="false">IF(Brasil!C44="","",Brasil!C44)</f>
        <v/>
      </c>
      <c r="C44" s="1" t="str">
        <f aca="false">IF(Brasil!C44="","",Brasil!A44)</f>
        <v/>
      </c>
      <c r="D44" s="1" t="str">
        <f aca="false">IF(Brasil!C44="","",Brasil!E44)</f>
        <v/>
      </c>
      <c r="E44" s="1" t="str">
        <f aca="false">IF(Brasil!C44="","",Brasil!F44)</f>
        <v/>
      </c>
      <c r="F44" s="1" t="str">
        <f aca="false">IF(Brasil!C44="","",Brasil!D44)</f>
        <v/>
      </c>
      <c r="I44" s="1" t="str">
        <f aca="false">IF(Brasil!C44="","",Brasil!H44)</f>
        <v/>
      </c>
      <c r="J44" s="1" t="str">
        <f aca="false">IF(Brasil!C44="","",Brasil!D44*Brasil!H44)</f>
        <v/>
      </c>
      <c r="K44" s="1" t="str">
        <f aca="false">IF(Brasil!C44="","","BR")</f>
        <v/>
      </c>
      <c r="L44" s="1" t="str">
        <f aca="false">IF(Brasil!C44="","",IFERROR(INDEX(Gamma_Catalogo!$D$3:$D$1451,MATCH(Brasil!E44,Gamma_Catalogo!$A$3:$A$1451,0)),"Revisar Ip Code"))</f>
        <v/>
      </c>
      <c r="M44" s="1" t="str">
        <f aca="false">IF(Brasil!C44="","",IFERROR(INDEX(Gamma_Catalogo!$C$3:$C$1451,MATCH(Brasil!E44,Gamma_Catalogo!$A$3:$A$1451,0)),"Revisar Ip Code"))</f>
        <v/>
      </c>
      <c r="N44" s="1" t="str">
        <f aca="false">IF(Brasil!C44="","",IFERROR(INDEX(Gamma_Catalogo!$E$3:$E$1451,MATCH(Brasil!E44,Gamma_Catalogo!$A$3:$A$1451,0)),"Revisar Ip Code"))</f>
        <v/>
      </c>
      <c r="O44" s="1" t="str">
        <f aca="false">IF(Brasil!C44="","","Brasil")</f>
        <v/>
      </c>
    </row>
    <row r="45" customFormat="false" ht="15" hidden="false" customHeight="true" outlineLevel="0" collapsed="false">
      <c r="A45" s="1" t="str">
        <f aca="false">IF(Brasil!C45="","",IFERROR(INDEX(Mercados!$C$2:$C$32,MATCH(Brasil!B45,Mercados!$A$2:$A$32,0)),"Revisar Tscode"))</f>
        <v/>
      </c>
      <c r="B45" s="1" t="str">
        <f aca="false">IF(Brasil!C45="","",Brasil!C45)</f>
        <v/>
      </c>
      <c r="C45" s="1" t="str">
        <f aca="false">IF(Brasil!C45="","",Brasil!A45)</f>
        <v/>
      </c>
      <c r="D45" s="1" t="str">
        <f aca="false">IF(Brasil!C45="","",Brasil!E45)</f>
        <v/>
      </c>
      <c r="E45" s="1" t="str">
        <f aca="false">IF(Brasil!C45="","",Brasil!F45)</f>
        <v/>
      </c>
      <c r="F45" s="1" t="str">
        <f aca="false">IF(Brasil!C45="","",Brasil!D45)</f>
        <v/>
      </c>
      <c r="I45" s="1" t="str">
        <f aca="false">IF(Brasil!C45="","",Brasil!H45)</f>
        <v/>
      </c>
      <c r="J45" s="1" t="str">
        <f aca="false">IF(Brasil!C45="","",Brasil!D45*Brasil!H45)</f>
        <v/>
      </c>
      <c r="K45" s="1" t="str">
        <f aca="false">IF(Brasil!C45="","","BR")</f>
        <v/>
      </c>
      <c r="L45" s="1" t="str">
        <f aca="false">IF(Brasil!C45="","",IFERROR(INDEX(Gamma_Catalogo!$D$3:$D$1451,MATCH(Brasil!E45,Gamma_Catalogo!$A$3:$A$1451,0)),"Revisar Ip Code"))</f>
        <v/>
      </c>
      <c r="M45" s="1" t="str">
        <f aca="false">IF(Brasil!C45="","",IFERROR(INDEX(Gamma_Catalogo!$C$3:$C$1451,MATCH(Brasil!E45,Gamma_Catalogo!$A$3:$A$1451,0)),"Revisar Ip Code"))</f>
        <v/>
      </c>
      <c r="N45" s="1" t="str">
        <f aca="false">IF(Brasil!C45="","",IFERROR(INDEX(Gamma_Catalogo!$E$3:$E$1451,MATCH(Brasil!E45,Gamma_Catalogo!$A$3:$A$1451,0)),"Revisar Ip Code"))</f>
        <v/>
      </c>
      <c r="O45" s="1" t="str">
        <f aca="false">IF(Brasil!C45="","","Brasil")</f>
        <v/>
      </c>
    </row>
    <row r="46" customFormat="false" ht="15" hidden="false" customHeight="true" outlineLevel="0" collapsed="false">
      <c r="A46" s="1" t="str">
        <f aca="false">IF(Brasil!C46="","",IFERROR(INDEX(Mercados!$C$2:$C$32,MATCH(Brasil!B46,Mercados!$A$2:$A$32,0)),"Revisar Tscode"))</f>
        <v/>
      </c>
      <c r="B46" s="1" t="str">
        <f aca="false">IF(Brasil!C46="","",Brasil!C46)</f>
        <v/>
      </c>
      <c r="C46" s="1" t="str">
        <f aca="false">IF(Brasil!C46="","",Brasil!A46)</f>
        <v/>
      </c>
      <c r="D46" s="1" t="str">
        <f aca="false">IF(Brasil!C46="","",Brasil!E46)</f>
        <v/>
      </c>
      <c r="E46" s="1" t="str">
        <f aca="false">IF(Brasil!C46="","",Brasil!F46)</f>
        <v/>
      </c>
      <c r="F46" s="1" t="str">
        <f aca="false">IF(Brasil!C46="","",Brasil!D46)</f>
        <v/>
      </c>
      <c r="I46" s="1" t="str">
        <f aca="false">IF(Brasil!C46="","",Brasil!H46)</f>
        <v/>
      </c>
      <c r="J46" s="1" t="str">
        <f aca="false">IF(Brasil!C46="","",Brasil!D46*Brasil!H46)</f>
        <v/>
      </c>
      <c r="K46" s="1" t="str">
        <f aca="false">IF(Brasil!C46="","","BR")</f>
        <v/>
      </c>
      <c r="L46" s="1" t="str">
        <f aca="false">IF(Brasil!C46="","",IFERROR(INDEX(Gamma_Catalogo!$D$3:$D$1451,MATCH(Brasil!E46,Gamma_Catalogo!$A$3:$A$1451,0)),"Revisar Ip Code"))</f>
        <v/>
      </c>
      <c r="M46" s="1" t="str">
        <f aca="false">IF(Brasil!C46="","",IFERROR(INDEX(Gamma_Catalogo!$C$3:$C$1451,MATCH(Brasil!E46,Gamma_Catalogo!$A$3:$A$1451,0)),"Revisar Ip Code"))</f>
        <v/>
      </c>
      <c r="N46" s="1" t="str">
        <f aca="false">IF(Brasil!C46="","",IFERROR(INDEX(Gamma_Catalogo!$E$3:$E$1451,MATCH(Brasil!E46,Gamma_Catalogo!$A$3:$A$1451,0)),"Revisar Ip Code"))</f>
        <v/>
      </c>
      <c r="O46" s="1" t="str">
        <f aca="false">IF(Brasil!C46="","","Brasil")</f>
        <v/>
      </c>
    </row>
    <row r="47" customFormat="false" ht="15" hidden="false" customHeight="true" outlineLevel="0" collapsed="false">
      <c r="A47" s="1" t="str">
        <f aca="false">IF(Brasil!C47="","",IFERROR(INDEX(Mercados!$C$2:$C$32,MATCH(Brasil!B47,Mercados!$A$2:$A$32,0)),"Revisar Tscode"))</f>
        <v/>
      </c>
      <c r="B47" s="1" t="str">
        <f aca="false">IF(Brasil!C47="","",Brasil!C47)</f>
        <v/>
      </c>
      <c r="C47" s="1" t="str">
        <f aca="false">IF(Brasil!C47="","",Brasil!A47)</f>
        <v/>
      </c>
      <c r="D47" s="1" t="str">
        <f aca="false">IF(Brasil!C47="","",Brasil!E47)</f>
        <v/>
      </c>
      <c r="E47" s="1" t="str">
        <f aca="false">IF(Brasil!C47="","",Brasil!F47)</f>
        <v/>
      </c>
      <c r="F47" s="1" t="str">
        <f aca="false">IF(Brasil!C47="","",Brasil!D47)</f>
        <v/>
      </c>
      <c r="I47" s="1" t="str">
        <f aca="false">IF(Brasil!C47="","",Brasil!H47)</f>
        <v/>
      </c>
      <c r="J47" s="1" t="str">
        <f aca="false">IF(Brasil!C47="","",Brasil!D47*Brasil!H47)</f>
        <v/>
      </c>
      <c r="K47" s="1" t="str">
        <f aca="false">IF(Brasil!C47="","","BR")</f>
        <v/>
      </c>
      <c r="L47" s="1" t="str">
        <f aca="false">IF(Brasil!C47="","",IFERROR(INDEX(Gamma_Catalogo!$D$3:$D$1451,MATCH(Brasil!E47,Gamma_Catalogo!$A$3:$A$1451,0)),"Revisar Ip Code"))</f>
        <v/>
      </c>
      <c r="M47" s="1" t="str">
        <f aca="false">IF(Brasil!C47="","",IFERROR(INDEX(Gamma_Catalogo!$C$3:$C$1451,MATCH(Brasil!E47,Gamma_Catalogo!$A$3:$A$1451,0)),"Revisar Ip Code"))</f>
        <v/>
      </c>
      <c r="N47" s="1" t="str">
        <f aca="false">IF(Brasil!C47="","",IFERROR(INDEX(Gamma_Catalogo!$E$3:$E$1451,MATCH(Brasil!E47,Gamma_Catalogo!$A$3:$A$1451,0)),"Revisar Ip Code"))</f>
        <v/>
      </c>
      <c r="O47" s="1" t="str">
        <f aca="false">IF(Brasil!C47="","","Brasil")</f>
        <v/>
      </c>
    </row>
    <row r="48" customFormat="false" ht="15" hidden="false" customHeight="true" outlineLevel="0" collapsed="false">
      <c r="A48" s="1" t="str">
        <f aca="false">IF(Brasil!C48="","",IFERROR(INDEX(Mercados!$C$2:$C$32,MATCH(Brasil!B48,Mercados!$A$2:$A$32,0)),"Revisar Tscode"))</f>
        <v/>
      </c>
      <c r="B48" s="1" t="str">
        <f aca="false">IF(Brasil!C48="","",Brasil!C48)</f>
        <v/>
      </c>
      <c r="C48" s="1" t="str">
        <f aca="false">IF(Brasil!C48="","",Brasil!A48)</f>
        <v/>
      </c>
      <c r="D48" s="1" t="str">
        <f aca="false">IF(Brasil!C48="","",Brasil!E48)</f>
        <v/>
      </c>
      <c r="E48" s="1" t="str">
        <f aca="false">IF(Brasil!C48="","",Brasil!F48)</f>
        <v/>
      </c>
      <c r="F48" s="1" t="str">
        <f aca="false">IF(Brasil!C48="","",Brasil!D48)</f>
        <v/>
      </c>
      <c r="I48" s="1" t="str">
        <f aca="false">IF(Brasil!C48="","",Brasil!H48)</f>
        <v/>
      </c>
      <c r="J48" s="1" t="str">
        <f aca="false">IF(Brasil!C48="","",Brasil!D48*Brasil!H48)</f>
        <v/>
      </c>
      <c r="K48" s="1" t="str">
        <f aca="false">IF(Brasil!C48="","","BR")</f>
        <v/>
      </c>
      <c r="L48" s="1" t="str">
        <f aca="false">IF(Brasil!C48="","",IFERROR(INDEX(Gamma_Catalogo!$D$3:$D$1451,MATCH(Brasil!E48,Gamma_Catalogo!$A$3:$A$1451,0)),"Revisar Ip Code"))</f>
        <v/>
      </c>
      <c r="M48" s="1" t="str">
        <f aca="false">IF(Brasil!C48="","",IFERROR(INDEX(Gamma_Catalogo!$C$3:$C$1451,MATCH(Brasil!E48,Gamma_Catalogo!$A$3:$A$1451,0)),"Revisar Ip Code"))</f>
        <v/>
      </c>
      <c r="N48" s="1" t="str">
        <f aca="false">IF(Brasil!C48="","",IFERROR(INDEX(Gamma_Catalogo!$E$3:$E$1451,MATCH(Brasil!E48,Gamma_Catalogo!$A$3:$A$1451,0)),"Revisar Ip Code"))</f>
        <v/>
      </c>
      <c r="O48" s="1" t="str">
        <f aca="false">IF(Brasil!C48="","","Brasil")</f>
        <v/>
      </c>
    </row>
    <row r="49" customFormat="false" ht="15" hidden="false" customHeight="true" outlineLevel="0" collapsed="false">
      <c r="A49" s="1" t="str">
        <f aca="false">IF(Brasil!C49="","",IFERROR(INDEX(Mercados!$C$2:$C$32,MATCH(Brasil!B49,Mercados!$A$2:$A$32,0)),"Revisar Tscode"))</f>
        <v/>
      </c>
      <c r="B49" s="1" t="str">
        <f aca="false">IF(Brasil!C49="","",Brasil!C49)</f>
        <v/>
      </c>
      <c r="C49" s="1" t="str">
        <f aca="false">IF(Brasil!C49="","",Brasil!A49)</f>
        <v/>
      </c>
      <c r="D49" s="1" t="str">
        <f aca="false">IF(Brasil!C49="","",Brasil!E49)</f>
        <v/>
      </c>
      <c r="E49" s="1" t="str">
        <f aca="false">IF(Brasil!C49="","",Brasil!F49)</f>
        <v/>
      </c>
      <c r="F49" s="1" t="str">
        <f aca="false">IF(Brasil!C49="","",Brasil!D49)</f>
        <v/>
      </c>
      <c r="I49" s="1" t="str">
        <f aca="false">IF(Brasil!C49="","",Brasil!H49)</f>
        <v/>
      </c>
      <c r="J49" s="1" t="str">
        <f aca="false">IF(Brasil!C49="","",Brasil!D49*Brasil!H49)</f>
        <v/>
      </c>
      <c r="K49" s="1" t="str">
        <f aca="false">IF(Brasil!C49="","","BR")</f>
        <v/>
      </c>
      <c r="L49" s="1" t="str">
        <f aca="false">IF(Brasil!C49="","",IFERROR(INDEX(Gamma_Catalogo!$D$3:$D$1451,MATCH(Brasil!E49,Gamma_Catalogo!$A$3:$A$1451,0)),"Revisar Ip Code"))</f>
        <v/>
      </c>
      <c r="M49" s="1" t="str">
        <f aca="false">IF(Brasil!C49="","",IFERROR(INDEX(Gamma_Catalogo!$C$3:$C$1451,MATCH(Brasil!E49,Gamma_Catalogo!$A$3:$A$1451,0)),"Revisar Ip Code"))</f>
        <v/>
      </c>
      <c r="N49" s="1" t="str">
        <f aca="false">IF(Brasil!C49="","",IFERROR(INDEX(Gamma_Catalogo!$E$3:$E$1451,MATCH(Brasil!E49,Gamma_Catalogo!$A$3:$A$1451,0)),"Revisar Ip Code"))</f>
        <v/>
      </c>
      <c r="O49" s="1" t="str">
        <f aca="false">IF(Brasil!C49="","","Brasil")</f>
        <v/>
      </c>
    </row>
    <row r="50" customFormat="false" ht="15" hidden="false" customHeight="true" outlineLevel="0" collapsed="false">
      <c r="A50" s="1" t="str">
        <f aca="false">IF(Brasil!C50="","",IFERROR(INDEX(Mercados!$C$2:$C$32,MATCH(Brasil!B50,Mercados!$A$2:$A$32,0)),"Revisar Tscode"))</f>
        <v/>
      </c>
      <c r="B50" s="1" t="str">
        <f aca="false">IF(Brasil!C50="","",Brasil!C50)</f>
        <v/>
      </c>
      <c r="C50" s="1" t="str">
        <f aca="false">IF(Brasil!C50="","",Brasil!A50)</f>
        <v/>
      </c>
      <c r="D50" s="1" t="str">
        <f aca="false">IF(Brasil!C50="","",Brasil!E50)</f>
        <v/>
      </c>
      <c r="E50" s="1" t="str">
        <f aca="false">IF(Brasil!C50="","",Brasil!F50)</f>
        <v/>
      </c>
      <c r="F50" s="1" t="str">
        <f aca="false">IF(Brasil!C50="","",Brasil!D50)</f>
        <v/>
      </c>
      <c r="I50" s="1" t="str">
        <f aca="false">IF(Brasil!C50="","",Brasil!H50)</f>
        <v/>
      </c>
      <c r="J50" s="1" t="str">
        <f aca="false">IF(Brasil!C50="","",Brasil!D50*Brasil!H50)</f>
        <v/>
      </c>
      <c r="K50" s="1" t="str">
        <f aca="false">IF(Brasil!C50="","","BR")</f>
        <v/>
      </c>
      <c r="L50" s="1" t="str">
        <f aca="false">IF(Brasil!C50="","",IFERROR(INDEX(Gamma_Catalogo!$D$3:$D$1451,MATCH(Brasil!E50,Gamma_Catalogo!$A$3:$A$1451,0)),"Revisar Ip Code"))</f>
        <v/>
      </c>
      <c r="M50" s="1" t="str">
        <f aca="false">IF(Brasil!C50="","",IFERROR(INDEX(Gamma_Catalogo!$C$3:$C$1451,MATCH(Brasil!E50,Gamma_Catalogo!$A$3:$A$1451,0)),"Revisar Ip Code"))</f>
        <v/>
      </c>
      <c r="N50" s="1" t="str">
        <f aca="false">IF(Brasil!C50="","",IFERROR(INDEX(Gamma_Catalogo!$E$3:$E$1451,MATCH(Brasil!E50,Gamma_Catalogo!$A$3:$A$1451,0)),"Revisar Ip Code"))</f>
        <v/>
      </c>
      <c r="O50" s="1" t="str">
        <f aca="false">IF(Brasil!C50="","","Brasil")</f>
        <v/>
      </c>
    </row>
    <row r="51" customFormat="false" ht="15" hidden="false" customHeight="true" outlineLevel="0" collapsed="false">
      <c r="A51" s="1" t="str">
        <f aca="false">IF(Brasil!C51="","",IFERROR(INDEX(Mercados!$C$2:$C$32,MATCH(Brasil!B51,Mercados!$A$2:$A$32,0)),"Revisar Tscode"))</f>
        <v/>
      </c>
      <c r="B51" s="1" t="str">
        <f aca="false">IF(Brasil!C51="","",Brasil!C51)</f>
        <v/>
      </c>
      <c r="C51" s="1" t="str">
        <f aca="false">IF(Brasil!C51="","",Brasil!A51)</f>
        <v/>
      </c>
      <c r="D51" s="1" t="str">
        <f aca="false">IF(Brasil!C51="","",Brasil!E51)</f>
        <v/>
      </c>
      <c r="E51" s="1" t="str">
        <f aca="false">IF(Brasil!C51="","",Brasil!F51)</f>
        <v/>
      </c>
      <c r="F51" s="1" t="str">
        <f aca="false">IF(Brasil!C51="","",Brasil!D51)</f>
        <v/>
      </c>
      <c r="I51" s="1" t="str">
        <f aca="false">IF(Brasil!C51="","",Brasil!H51)</f>
        <v/>
      </c>
      <c r="J51" s="1" t="str">
        <f aca="false">IF(Brasil!C51="","",Brasil!D51*Brasil!H51)</f>
        <v/>
      </c>
      <c r="K51" s="1" t="str">
        <f aca="false">IF(Brasil!C51="","","BR")</f>
        <v/>
      </c>
      <c r="L51" s="1" t="str">
        <f aca="false">IF(Brasil!C51="","",IFERROR(INDEX(Gamma_Catalogo!$D$3:$D$1451,MATCH(Brasil!E51,Gamma_Catalogo!$A$3:$A$1451,0)),"Revisar Ip Code"))</f>
        <v/>
      </c>
      <c r="M51" s="1" t="str">
        <f aca="false">IF(Brasil!C51="","",IFERROR(INDEX(Gamma_Catalogo!$C$3:$C$1451,MATCH(Brasil!E51,Gamma_Catalogo!$A$3:$A$1451,0)),"Revisar Ip Code"))</f>
        <v/>
      </c>
      <c r="N51" s="1" t="str">
        <f aca="false">IF(Brasil!C51="","",IFERROR(INDEX(Gamma_Catalogo!$E$3:$E$1451,MATCH(Brasil!E51,Gamma_Catalogo!$A$3:$A$1451,0)),"Revisar Ip Code"))</f>
        <v/>
      </c>
      <c r="O51" s="1" t="str">
        <f aca="false">IF(Brasil!C51="","","Brasil")</f>
        <v/>
      </c>
    </row>
    <row r="52" customFormat="false" ht="15" hidden="false" customHeight="true" outlineLevel="0" collapsed="false">
      <c r="A52" s="1" t="str">
        <f aca="false">IF(Brasil!C52="","",IFERROR(INDEX(Mercados!$C$2:$C$32,MATCH(Brasil!B52,Mercados!$A$2:$A$32,0)),"Revisar Tscode"))</f>
        <v/>
      </c>
      <c r="B52" s="1" t="str">
        <f aca="false">IF(Brasil!C52="","",Brasil!C52)</f>
        <v/>
      </c>
      <c r="C52" s="1" t="str">
        <f aca="false">IF(Brasil!C52="","",Brasil!A52)</f>
        <v/>
      </c>
      <c r="D52" s="1" t="str">
        <f aca="false">IF(Brasil!C52="","",Brasil!E52)</f>
        <v/>
      </c>
      <c r="E52" s="1" t="str">
        <f aca="false">IF(Brasil!C52="","",Brasil!F52)</f>
        <v/>
      </c>
      <c r="F52" s="1" t="str">
        <f aca="false">IF(Brasil!C52="","",Brasil!D52)</f>
        <v/>
      </c>
      <c r="I52" s="1" t="str">
        <f aca="false">IF(Brasil!C52="","",Brasil!H52)</f>
        <v/>
      </c>
      <c r="J52" s="1" t="str">
        <f aca="false">IF(Brasil!C52="","",Brasil!D52*Brasil!H52)</f>
        <v/>
      </c>
      <c r="K52" s="1" t="str">
        <f aca="false">IF(Brasil!C52="","","BR")</f>
        <v/>
      </c>
      <c r="L52" s="1" t="str">
        <f aca="false">IF(Brasil!C52="","",IFERROR(INDEX(Gamma_Catalogo!$D$3:$D$1451,MATCH(Brasil!E52,Gamma_Catalogo!$A$3:$A$1451,0)),"Revisar Ip Code"))</f>
        <v/>
      </c>
      <c r="M52" s="1" t="str">
        <f aca="false">IF(Brasil!C52="","",IFERROR(INDEX(Gamma_Catalogo!$C$3:$C$1451,MATCH(Brasil!E52,Gamma_Catalogo!$A$3:$A$1451,0)),"Revisar Ip Code"))</f>
        <v/>
      </c>
      <c r="N52" s="1" t="str">
        <f aca="false">IF(Brasil!C52="","",IFERROR(INDEX(Gamma_Catalogo!$E$3:$E$1451,MATCH(Brasil!E52,Gamma_Catalogo!$A$3:$A$1451,0)),"Revisar Ip Code"))</f>
        <v/>
      </c>
      <c r="O52" s="1" t="str">
        <f aca="false">IF(Brasil!C52="","","Brasil")</f>
        <v/>
      </c>
    </row>
    <row r="53" customFormat="false" ht="15" hidden="false" customHeight="true" outlineLevel="0" collapsed="false">
      <c r="A53" s="1" t="str">
        <f aca="false">IF(Brasil!C53="","",IFERROR(INDEX(Mercados!$C$2:$C$32,MATCH(Brasil!B53,Mercados!$A$2:$A$32,0)),"Revisar Tscode"))</f>
        <v/>
      </c>
      <c r="B53" s="1" t="str">
        <f aca="false">IF(Brasil!C53="","",Brasil!C53)</f>
        <v/>
      </c>
      <c r="C53" s="1" t="str">
        <f aca="false">IF(Brasil!C53="","",Brasil!A53)</f>
        <v/>
      </c>
      <c r="D53" s="1" t="str">
        <f aca="false">IF(Brasil!C53="","",Brasil!E53)</f>
        <v/>
      </c>
      <c r="E53" s="1" t="str">
        <f aca="false">IF(Brasil!C53="","",Brasil!F53)</f>
        <v/>
      </c>
      <c r="F53" s="1" t="str">
        <f aca="false">IF(Brasil!C53="","",Brasil!D53)</f>
        <v/>
      </c>
      <c r="I53" s="1" t="str">
        <f aca="false">IF(Brasil!C53="","",Brasil!H53)</f>
        <v/>
      </c>
      <c r="J53" s="1" t="str">
        <f aca="false">IF(Brasil!C53="","",Brasil!D53*Brasil!H53)</f>
        <v/>
      </c>
      <c r="K53" s="1" t="str">
        <f aca="false">IF(Brasil!C53="","","BR")</f>
        <v/>
      </c>
      <c r="L53" s="1" t="str">
        <f aca="false">IF(Brasil!C53="","",IFERROR(INDEX(Gamma_Catalogo!$D$3:$D$1451,MATCH(Brasil!E53,Gamma_Catalogo!$A$3:$A$1451,0)),"Revisar Ip Code"))</f>
        <v/>
      </c>
      <c r="M53" s="1" t="str">
        <f aca="false">IF(Brasil!C53="","",IFERROR(INDEX(Gamma_Catalogo!$C$3:$C$1451,MATCH(Brasil!E53,Gamma_Catalogo!$A$3:$A$1451,0)),"Revisar Ip Code"))</f>
        <v/>
      </c>
      <c r="N53" s="1" t="str">
        <f aca="false">IF(Brasil!C53="","",IFERROR(INDEX(Gamma_Catalogo!$E$3:$E$1451,MATCH(Brasil!E53,Gamma_Catalogo!$A$3:$A$1451,0)),"Revisar Ip Code"))</f>
        <v/>
      </c>
      <c r="O53" s="1" t="str">
        <f aca="false">IF(Brasil!C53="","","Brasil")</f>
        <v/>
      </c>
    </row>
    <row r="54" customFormat="false" ht="15" hidden="false" customHeight="true" outlineLevel="0" collapsed="false">
      <c r="A54" s="1" t="str">
        <f aca="false">IF(Brasil!C54="","",IFERROR(INDEX(Mercados!$C$2:$C$32,MATCH(Brasil!B54,Mercados!$A$2:$A$32,0)),"Revisar Tscode"))</f>
        <v/>
      </c>
      <c r="B54" s="1" t="str">
        <f aca="false">IF(Brasil!C54="","",Brasil!C54)</f>
        <v/>
      </c>
      <c r="C54" s="1" t="str">
        <f aca="false">IF(Brasil!C54="","",Brasil!A54)</f>
        <v/>
      </c>
      <c r="D54" s="1" t="str">
        <f aca="false">IF(Brasil!C54="","",Brasil!E54)</f>
        <v/>
      </c>
      <c r="E54" s="1" t="str">
        <f aca="false">IF(Brasil!C54="","",Brasil!F54)</f>
        <v/>
      </c>
      <c r="F54" s="1" t="str">
        <f aca="false">IF(Brasil!C54="","",Brasil!D54)</f>
        <v/>
      </c>
      <c r="I54" s="1" t="str">
        <f aca="false">IF(Brasil!C54="","",Brasil!H54)</f>
        <v/>
      </c>
      <c r="J54" s="1" t="str">
        <f aca="false">IF(Brasil!C54="","",Brasil!D54*Brasil!H54)</f>
        <v/>
      </c>
      <c r="K54" s="1" t="str">
        <f aca="false">IF(Brasil!C54="","","BR")</f>
        <v/>
      </c>
      <c r="L54" s="1" t="str">
        <f aca="false">IF(Brasil!C54="","",IFERROR(INDEX(Gamma_Catalogo!$D$3:$D$1451,MATCH(Brasil!E54,Gamma_Catalogo!$A$3:$A$1451,0)),"Revisar Ip Code"))</f>
        <v/>
      </c>
      <c r="M54" s="1" t="str">
        <f aca="false">IF(Brasil!C54="","",IFERROR(INDEX(Gamma_Catalogo!$C$3:$C$1451,MATCH(Brasil!E54,Gamma_Catalogo!$A$3:$A$1451,0)),"Revisar Ip Code"))</f>
        <v/>
      </c>
      <c r="N54" s="1" t="str">
        <f aca="false">IF(Brasil!C54="","",IFERROR(INDEX(Gamma_Catalogo!$E$3:$E$1451,MATCH(Brasil!E54,Gamma_Catalogo!$A$3:$A$1451,0)),"Revisar Ip Code"))</f>
        <v/>
      </c>
      <c r="O54" s="1" t="str">
        <f aca="false">IF(Brasil!C54="","","Brasil")</f>
        <v/>
      </c>
    </row>
    <row r="55" customFormat="false" ht="15" hidden="false" customHeight="true" outlineLevel="0" collapsed="false">
      <c r="A55" s="1" t="str">
        <f aca="false">IF(Brasil!C55="","",IFERROR(INDEX(Mercados!$C$2:$C$32,MATCH(Brasil!B55,Mercados!$A$2:$A$32,0)),"Revisar Tscode"))</f>
        <v/>
      </c>
      <c r="B55" s="1" t="str">
        <f aca="false">IF(Brasil!C55="","",Brasil!C55)</f>
        <v/>
      </c>
      <c r="C55" s="1" t="str">
        <f aca="false">IF(Brasil!C55="","",Brasil!A55)</f>
        <v/>
      </c>
      <c r="D55" s="1" t="str">
        <f aca="false">IF(Brasil!C55="","",Brasil!E55)</f>
        <v/>
      </c>
      <c r="E55" s="1" t="str">
        <f aca="false">IF(Brasil!C55="","",Brasil!F55)</f>
        <v/>
      </c>
      <c r="F55" s="1" t="str">
        <f aca="false">IF(Brasil!C55="","",Brasil!D55)</f>
        <v/>
      </c>
      <c r="I55" s="1" t="str">
        <f aca="false">IF(Brasil!C55="","",Brasil!H55)</f>
        <v/>
      </c>
      <c r="J55" s="1" t="str">
        <f aca="false">IF(Brasil!C55="","",Brasil!D55*Brasil!H55)</f>
        <v/>
      </c>
      <c r="K55" s="1" t="str">
        <f aca="false">IF(Brasil!C55="","","BR")</f>
        <v/>
      </c>
      <c r="L55" s="1" t="str">
        <f aca="false">IF(Brasil!C55="","",IFERROR(INDEX(Gamma_Catalogo!$D$3:$D$1451,MATCH(Brasil!E55,Gamma_Catalogo!$A$3:$A$1451,0)),"Revisar Ip Code"))</f>
        <v/>
      </c>
      <c r="M55" s="1" t="str">
        <f aca="false">IF(Brasil!C55="","",IFERROR(INDEX(Gamma_Catalogo!$C$3:$C$1451,MATCH(Brasil!E55,Gamma_Catalogo!$A$3:$A$1451,0)),"Revisar Ip Code"))</f>
        <v/>
      </c>
      <c r="N55" s="1" t="str">
        <f aca="false">IF(Brasil!C55="","",IFERROR(INDEX(Gamma_Catalogo!$E$3:$E$1451,MATCH(Brasil!E55,Gamma_Catalogo!$A$3:$A$1451,0)),"Revisar Ip Code"))</f>
        <v/>
      </c>
      <c r="O55" s="1" t="str">
        <f aca="false">IF(Brasil!C55="","","Brasil")</f>
        <v/>
      </c>
    </row>
    <row r="56" customFormat="false" ht="15" hidden="false" customHeight="true" outlineLevel="0" collapsed="false">
      <c r="A56" s="1" t="str">
        <f aca="false">IF(Brasil!C56="","",IFERROR(INDEX(Mercados!$C$2:$C$32,MATCH(Brasil!B56,Mercados!$A$2:$A$32,0)),"Revisar Tscode"))</f>
        <v/>
      </c>
      <c r="B56" s="1" t="str">
        <f aca="false">IF(Brasil!C56="","",Brasil!C56)</f>
        <v/>
      </c>
      <c r="C56" s="1" t="str">
        <f aca="false">IF(Brasil!C56="","",Brasil!A56)</f>
        <v/>
      </c>
      <c r="D56" s="1" t="str">
        <f aca="false">IF(Brasil!C56="","",Brasil!E56)</f>
        <v/>
      </c>
      <c r="E56" s="1" t="str">
        <f aca="false">IF(Brasil!C56="","",Brasil!F56)</f>
        <v/>
      </c>
      <c r="F56" s="1" t="str">
        <f aca="false">IF(Brasil!C56="","",Brasil!D56)</f>
        <v/>
      </c>
      <c r="I56" s="1" t="str">
        <f aca="false">IF(Brasil!C56="","",Brasil!H56)</f>
        <v/>
      </c>
      <c r="J56" s="1" t="str">
        <f aca="false">IF(Brasil!C56="","",Brasil!D56*Brasil!H56)</f>
        <v/>
      </c>
      <c r="K56" s="1" t="str">
        <f aca="false">IF(Brasil!C56="","","BR")</f>
        <v/>
      </c>
      <c r="L56" s="1" t="str">
        <f aca="false">IF(Brasil!C56="","",IFERROR(INDEX(Gamma_Catalogo!$D$3:$D$1451,MATCH(Brasil!E56,Gamma_Catalogo!$A$3:$A$1451,0)),"Revisar Ip Code"))</f>
        <v/>
      </c>
      <c r="M56" s="1" t="str">
        <f aca="false">IF(Brasil!C56="","",IFERROR(INDEX(Gamma_Catalogo!$C$3:$C$1451,MATCH(Brasil!E56,Gamma_Catalogo!$A$3:$A$1451,0)),"Revisar Ip Code"))</f>
        <v/>
      </c>
      <c r="N56" s="1" t="str">
        <f aca="false">IF(Brasil!C56="","",IFERROR(INDEX(Gamma_Catalogo!$E$3:$E$1451,MATCH(Brasil!E56,Gamma_Catalogo!$A$3:$A$1451,0)),"Revisar Ip Code"))</f>
        <v/>
      </c>
      <c r="O56" s="1" t="str">
        <f aca="false">IF(Brasil!C56="","","Brasil")</f>
        <v/>
      </c>
    </row>
    <row r="57" customFormat="false" ht="15" hidden="false" customHeight="true" outlineLevel="0" collapsed="false">
      <c r="A57" s="1" t="str">
        <f aca="false">IF(Brasil!C57="","",IFERROR(INDEX(Mercados!$C$2:$C$32,MATCH(Brasil!B57,Mercados!$A$2:$A$32,0)),"Revisar Tscode"))</f>
        <v/>
      </c>
      <c r="B57" s="1" t="str">
        <f aca="false">IF(Brasil!C57="","",Brasil!C57)</f>
        <v/>
      </c>
      <c r="C57" s="1" t="str">
        <f aca="false">IF(Brasil!C57="","",Brasil!A57)</f>
        <v/>
      </c>
      <c r="D57" s="1" t="str">
        <f aca="false">IF(Brasil!C57="","",Brasil!E57)</f>
        <v/>
      </c>
      <c r="E57" s="1" t="str">
        <f aca="false">IF(Brasil!C57="","",Brasil!F57)</f>
        <v/>
      </c>
      <c r="F57" s="1" t="str">
        <f aca="false">IF(Brasil!C57="","",Brasil!D57)</f>
        <v/>
      </c>
      <c r="I57" s="1" t="str">
        <f aca="false">IF(Brasil!C57="","",Brasil!H57)</f>
        <v/>
      </c>
      <c r="J57" s="1" t="str">
        <f aca="false">IF(Brasil!C57="","",Brasil!D57*Brasil!H57)</f>
        <v/>
      </c>
      <c r="K57" s="1" t="str">
        <f aca="false">IF(Brasil!C57="","","BR")</f>
        <v/>
      </c>
      <c r="L57" s="1" t="str">
        <f aca="false">IF(Brasil!C57="","",IFERROR(INDEX(Gamma_Catalogo!$D$3:$D$1451,MATCH(Brasil!E57,Gamma_Catalogo!$A$3:$A$1451,0)),"Revisar Ip Code"))</f>
        <v/>
      </c>
      <c r="M57" s="1" t="str">
        <f aca="false">IF(Brasil!C57="","",IFERROR(INDEX(Gamma_Catalogo!$C$3:$C$1451,MATCH(Brasil!E57,Gamma_Catalogo!$A$3:$A$1451,0)),"Revisar Ip Code"))</f>
        <v/>
      </c>
      <c r="N57" s="1" t="str">
        <f aca="false">IF(Brasil!C57="","",IFERROR(INDEX(Gamma_Catalogo!$E$3:$E$1451,MATCH(Brasil!E57,Gamma_Catalogo!$A$3:$A$1451,0)),"Revisar Ip Code"))</f>
        <v/>
      </c>
      <c r="O57" s="1" t="str">
        <f aca="false">IF(Brasil!C57="","","Brasil")</f>
        <v/>
      </c>
    </row>
    <row r="58" customFormat="false" ht="15" hidden="false" customHeight="true" outlineLevel="0" collapsed="false">
      <c r="A58" s="1" t="str">
        <f aca="false">IF(Brasil!C58="","",IFERROR(INDEX(Mercados!$C$2:$C$32,MATCH(Brasil!B58,Mercados!$A$2:$A$32,0)),"Revisar Tscode"))</f>
        <v/>
      </c>
      <c r="B58" s="1" t="str">
        <f aca="false">IF(Brasil!C58="","",Brasil!C58)</f>
        <v/>
      </c>
      <c r="C58" s="1" t="str">
        <f aca="false">IF(Brasil!C58="","",Brasil!A58)</f>
        <v/>
      </c>
      <c r="D58" s="1" t="str">
        <f aca="false">IF(Brasil!C58="","",Brasil!E58)</f>
        <v/>
      </c>
      <c r="E58" s="1" t="str">
        <f aca="false">IF(Brasil!C58="","",Brasil!F58)</f>
        <v/>
      </c>
      <c r="F58" s="1" t="str">
        <f aca="false">IF(Brasil!C58="","",Brasil!D58)</f>
        <v/>
      </c>
      <c r="I58" s="1" t="str">
        <f aca="false">IF(Brasil!C58="","",Brasil!H58)</f>
        <v/>
      </c>
      <c r="J58" s="1" t="str">
        <f aca="false">IF(Brasil!C58="","",Brasil!D58*Brasil!H58)</f>
        <v/>
      </c>
      <c r="K58" s="1" t="str">
        <f aca="false">IF(Brasil!C58="","","BR")</f>
        <v/>
      </c>
      <c r="L58" s="1" t="str">
        <f aca="false">IF(Brasil!C58="","",IFERROR(INDEX(Gamma_Catalogo!$D$3:$D$1451,MATCH(Brasil!E58,Gamma_Catalogo!$A$3:$A$1451,0)),"Revisar Ip Code"))</f>
        <v/>
      </c>
      <c r="M58" s="1" t="str">
        <f aca="false">IF(Brasil!C58="","",IFERROR(INDEX(Gamma_Catalogo!$C$3:$C$1451,MATCH(Brasil!E58,Gamma_Catalogo!$A$3:$A$1451,0)),"Revisar Ip Code"))</f>
        <v/>
      </c>
      <c r="N58" s="1" t="str">
        <f aca="false">IF(Brasil!C58="","",IFERROR(INDEX(Gamma_Catalogo!$E$3:$E$1451,MATCH(Brasil!E58,Gamma_Catalogo!$A$3:$A$1451,0)),"Revisar Ip Code"))</f>
        <v/>
      </c>
      <c r="O58" s="1" t="str">
        <f aca="false">IF(Brasil!C58="","","Brasil")</f>
        <v/>
      </c>
    </row>
    <row r="59" customFormat="false" ht="15" hidden="false" customHeight="true" outlineLevel="0" collapsed="false">
      <c r="A59" s="1" t="str">
        <f aca="false">IF(Brasil!C59="","",IFERROR(INDEX(Mercados!$C$2:$C$32,MATCH(Brasil!B59,Mercados!$A$2:$A$32,0)),"Revisar Tscode"))</f>
        <v/>
      </c>
      <c r="B59" s="1" t="str">
        <f aca="false">IF(Brasil!C59="","",Brasil!C59)</f>
        <v/>
      </c>
      <c r="C59" s="1" t="str">
        <f aca="false">IF(Brasil!C59="","",Brasil!A59)</f>
        <v/>
      </c>
      <c r="D59" s="1" t="str">
        <f aca="false">IF(Brasil!C59="","",Brasil!E59)</f>
        <v/>
      </c>
      <c r="E59" s="1" t="str">
        <f aca="false">IF(Brasil!C59="","",Brasil!F59)</f>
        <v/>
      </c>
      <c r="F59" s="1" t="str">
        <f aca="false">IF(Brasil!C59="","",Brasil!D59)</f>
        <v/>
      </c>
      <c r="I59" s="1" t="str">
        <f aca="false">IF(Brasil!C59="","",Brasil!H59)</f>
        <v/>
      </c>
      <c r="J59" s="1" t="str">
        <f aca="false">IF(Brasil!C59="","",Brasil!D59*Brasil!H59)</f>
        <v/>
      </c>
      <c r="K59" s="1" t="str">
        <f aca="false">IF(Brasil!C59="","","BR")</f>
        <v/>
      </c>
      <c r="L59" s="1" t="str">
        <f aca="false">IF(Brasil!C59="","",IFERROR(INDEX(Gamma_Catalogo!$D$3:$D$1451,MATCH(Brasil!E59,Gamma_Catalogo!$A$3:$A$1451,0)),"Revisar Ip Code"))</f>
        <v/>
      </c>
      <c r="M59" s="1" t="str">
        <f aca="false">IF(Brasil!C59="","",IFERROR(INDEX(Gamma_Catalogo!$C$3:$C$1451,MATCH(Brasil!E59,Gamma_Catalogo!$A$3:$A$1451,0)),"Revisar Ip Code"))</f>
        <v/>
      </c>
      <c r="N59" s="1" t="str">
        <f aca="false">IF(Brasil!C59="","",IFERROR(INDEX(Gamma_Catalogo!$E$3:$E$1451,MATCH(Brasil!E59,Gamma_Catalogo!$A$3:$A$1451,0)),"Revisar Ip Code"))</f>
        <v/>
      </c>
      <c r="O59" s="1" t="str">
        <f aca="false">IF(Brasil!C59="","","Brasil")</f>
        <v/>
      </c>
    </row>
    <row r="60" customFormat="false" ht="15" hidden="false" customHeight="true" outlineLevel="0" collapsed="false">
      <c r="A60" s="1" t="str">
        <f aca="false">IF(Brasil!C60="","",IFERROR(INDEX(Mercados!$C$2:$C$32,MATCH(Brasil!B60,Mercados!$A$2:$A$32,0)),"Revisar Tscode"))</f>
        <v/>
      </c>
      <c r="B60" s="1" t="str">
        <f aca="false">IF(Brasil!C60="","",Brasil!C60)</f>
        <v/>
      </c>
      <c r="C60" s="1" t="str">
        <f aca="false">IF(Brasil!C60="","",Brasil!A60)</f>
        <v/>
      </c>
      <c r="D60" s="1" t="str">
        <f aca="false">IF(Brasil!C60="","",Brasil!E60)</f>
        <v/>
      </c>
      <c r="E60" s="1" t="str">
        <f aca="false">IF(Brasil!C60="","",Brasil!F60)</f>
        <v/>
      </c>
      <c r="F60" s="1" t="str">
        <f aca="false">IF(Brasil!C60="","",Brasil!D60)</f>
        <v/>
      </c>
      <c r="I60" s="1" t="str">
        <f aca="false">IF(Brasil!C60="","",Brasil!H60)</f>
        <v/>
      </c>
      <c r="J60" s="1" t="str">
        <f aca="false">IF(Brasil!C60="","",Brasil!D60*Brasil!H60)</f>
        <v/>
      </c>
      <c r="K60" s="1" t="str">
        <f aca="false">IF(Brasil!C60="","","BR")</f>
        <v/>
      </c>
      <c r="L60" s="1" t="str">
        <f aca="false">IF(Brasil!C60="","",IFERROR(INDEX(Gamma_Catalogo!$D$3:$D$1451,MATCH(Brasil!E60,Gamma_Catalogo!$A$3:$A$1451,0)),"Revisar Ip Code"))</f>
        <v/>
      </c>
      <c r="M60" s="1" t="str">
        <f aca="false">IF(Brasil!C60="","",IFERROR(INDEX(Gamma_Catalogo!$C$3:$C$1451,MATCH(Brasil!E60,Gamma_Catalogo!$A$3:$A$1451,0)),"Revisar Ip Code"))</f>
        <v/>
      </c>
      <c r="N60" s="1" t="str">
        <f aca="false">IF(Brasil!C60="","",IFERROR(INDEX(Gamma_Catalogo!$E$3:$E$1451,MATCH(Brasil!E60,Gamma_Catalogo!$A$3:$A$1451,0)),"Revisar Ip Code"))</f>
        <v/>
      </c>
      <c r="O60" s="1" t="str">
        <f aca="false">IF(Brasil!C60="","","Brasil")</f>
        <v/>
      </c>
    </row>
    <row r="61" customFormat="false" ht="15" hidden="false" customHeight="true" outlineLevel="0" collapsed="false">
      <c r="A61" s="1" t="str">
        <f aca="false">IF(Brasil!C61="","",IFERROR(INDEX(Mercados!$C$2:$C$32,MATCH(Brasil!B61,Mercados!$A$2:$A$32,0)),"Revisar Tscode"))</f>
        <v/>
      </c>
      <c r="B61" s="1" t="str">
        <f aca="false">IF(Brasil!C61="","",Brasil!C61)</f>
        <v/>
      </c>
      <c r="C61" s="1" t="str">
        <f aca="false">IF(Brasil!C61="","",Brasil!A61)</f>
        <v/>
      </c>
      <c r="D61" s="1" t="str">
        <f aca="false">IF(Brasil!C61="","",Brasil!E61)</f>
        <v/>
      </c>
      <c r="E61" s="1" t="str">
        <f aca="false">IF(Brasil!C61="","",Brasil!F61)</f>
        <v/>
      </c>
      <c r="F61" s="1" t="str">
        <f aca="false">IF(Brasil!C61="","",Brasil!D61)</f>
        <v/>
      </c>
      <c r="I61" s="1" t="str">
        <f aca="false">IF(Brasil!C61="","",Brasil!H61)</f>
        <v/>
      </c>
      <c r="J61" s="1" t="str">
        <f aca="false">IF(Brasil!C61="","",Brasil!D61*Brasil!H61)</f>
        <v/>
      </c>
      <c r="K61" s="1" t="str">
        <f aca="false">IF(Brasil!C61="","","BR")</f>
        <v/>
      </c>
      <c r="L61" s="1" t="str">
        <f aca="false">IF(Brasil!C61="","",IFERROR(INDEX(Gamma_Catalogo!$D$3:$D$1451,MATCH(Brasil!E61,Gamma_Catalogo!$A$3:$A$1451,0)),"Revisar Ip Code"))</f>
        <v/>
      </c>
      <c r="M61" s="1" t="str">
        <f aca="false">IF(Brasil!C61="","",IFERROR(INDEX(Gamma_Catalogo!$C$3:$C$1451,MATCH(Brasil!E61,Gamma_Catalogo!$A$3:$A$1451,0)),"Revisar Ip Code"))</f>
        <v/>
      </c>
      <c r="N61" s="1" t="str">
        <f aca="false">IF(Brasil!C61="","",IFERROR(INDEX(Gamma_Catalogo!$E$3:$E$1451,MATCH(Brasil!E61,Gamma_Catalogo!$A$3:$A$1451,0)),"Revisar Ip Code"))</f>
        <v/>
      </c>
      <c r="O61" s="1" t="str">
        <f aca="false">IF(Brasil!C61="","","Brasil")</f>
        <v/>
      </c>
    </row>
    <row r="62" customFormat="false" ht="15" hidden="false" customHeight="true" outlineLevel="0" collapsed="false">
      <c r="A62" s="1" t="str">
        <f aca="false">IF(Brasil!C62="","",IFERROR(INDEX(Mercados!$C$2:$C$32,MATCH(Brasil!B62,Mercados!$A$2:$A$32,0)),"Revisar Tscode"))</f>
        <v/>
      </c>
      <c r="B62" s="1" t="str">
        <f aca="false">IF(Brasil!C62="","",Brasil!C62)</f>
        <v/>
      </c>
      <c r="C62" s="1" t="str">
        <f aca="false">IF(Brasil!C62="","",Brasil!A62)</f>
        <v/>
      </c>
      <c r="D62" s="1" t="str">
        <f aca="false">IF(Brasil!C62="","",Brasil!E62)</f>
        <v/>
      </c>
      <c r="E62" s="1" t="str">
        <f aca="false">IF(Brasil!C62="","",Brasil!F62)</f>
        <v/>
      </c>
      <c r="F62" s="1" t="str">
        <f aca="false">IF(Brasil!C62="","",Brasil!D62)</f>
        <v/>
      </c>
      <c r="I62" s="1" t="str">
        <f aca="false">IF(Brasil!C62="","",Brasil!H62)</f>
        <v/>
      </c>
      <c r="J62" s="1" t="str">
        <f aca="false">IF(Brasil!C62="","",Brasil!D62*Brasil!H62)</f>
        <v/>
      </c>
      <c r="K62" s="1" t="str">
        <f aca="false">IF(Brasil!C62="","","BR")</f>
        <v/>
      </c>
      <c r="L62" s="1" t="str">
        <f aca="false">IF(Brasil!C62="","",IFERROR(INDEX(Gamma_Catalogo!$D$3:$D$1451,MATCH(Brasil!E62,Gamma_Catalogo!$A$3:$A$1451,0)),"Revisar Ip Code"))</f>
        <v/>
      </c>
      <c r="M62" s="1" t="str">
        <f aca="false">IF(Brasil!C62="","",IFERROR(INDEX(Gamma_Catalogo!$C$3:$C$1451,MATCH(Brasil!E62,Gamma_Catalogo!$A$3:$A$1451,0)),"Revisar Ip Code"))</f>
        <v/>
      </c>
      <c r="N62" s="1" t="str">
        <f aca="false">IF(Brasil!C62="","",IFERROR(INDEX(Gamma_Catalogo!$E$3:$E$1451,MATCH(Brasil!E62,Gamma_Catalogo!$A$3:$A$1451,0)),"Revisar Ip Code"))</f>
        <v/>
      </c>
      <c r="O62" s="1" t="str">
        <f aca="false">IF(Brasil!C62="","","Brasil")</f>
        <v/>
      </c>
    </row>
    <row r="63" customFormat="false" ht="15" hidden="false" customHeight="true" outlineLevel="0" collapsed="false">
      <c r="A63" s="1" t="str">
        <f aca="false">IF(Brasil!C63="","",IFERROR(INDEX(Mercados!$C$2:$C$32,MATCH(Brasil!B63,Mercados!$A$2:$A$32,0)),"Revisar Tscode"))</f>
        <v/>
      </c>
      <c r="B63" s="1" t="str">
        <f aca="false">IF(Brasil!C63="","",Brasil!C63)</f>
        <v/>
      </c>
      <c r="C63" s="1" t="str">
        <f aca="false">IF(Brasil!C63="","",Brasil!A63)</f>
        <v/>
      </c>
      <c r="D63" s="1" t="str">
        <f aca="false">IF(Brasil!C63="","",Brasil!E63)</f>
        <v/>
      </c>
      <c r="E63" s="1" t="str">
        <f aca="false">IF(Brasil!C63="","",Brasil!F63)</f>
        <v/>
      </c>
      <c r="F63" s="1" t="str">
        <f aca="false">IF(Brasil!C63="","",Brasil!D63)</f>
        <v/>
      </c>
      <c r="I63" s="1" t="str">
        <f aca="false">IF(Brasil!C63="","",Brasil!H63)</f>
        <v/>
      </c>
      <c r="J63" s="1" t="str">
        <f aca="false">IF(Brasil!C63="","",Brasil!D63*Brasil!H63)</f>
        <v/>
      </c>
      <c r="K63" s="1" t="str">
        <f aca="false">IF(Brasil!C63="","","BR")</f>
        <v/>
      </c>
      <c r="L63" s="1" t="str">
        <f aca="false">IF(Brasil!C63="","",IFERROR(INDEX(Gamma_Catalogo!$D$3:$D$1451,MATCH(Brasil!E63,Gamma_Catalogo!$A$3:$A$1451,0)),"Revisar Ip Code"))</f>
        <v/>
      </c>
      <c r="M63" s="1" t="str">
        <f aca="false">IF(Brasil!C63="","",IFERROR(INDEX(Gamma_Catalogo!$C$3:$C$1451,MATCH(Brasil!E63,Gamma_Catalogo!$A$3:$A$1451,0)),"Revisar Ip Code"))</f>
        <v/>
      </c>
      <c r="N63" s="1" t="str">
        <f aca="false">IF(Brasil!C63="","",IFERROR(INDEX(Gamma_Catalogo!$E$3:$E$1451,MATCH(Brasil!E63,Gamma_Catalogo!$A$3:$A$1451,0)),"Revisar Ip Code"))</f>
        <v/>
      </c>
      <c r="O63" s="1" t="str">
        <f aca="false">IF(Brasil!C63="","","Brasil")</f>
        <v/>
      </c>
    </row>
    <row r="64" customFormat="false" ht="15" hidden="false" customHeight="true" outlineLevel="0" collapsed="false">
      <c r="A64" s="1" t="str">
        <f aca="false">IF(Brasil!C64="","",IFERROR(INDEX(Mercados!$C$2:$C$32,MATCH(Brasil!B64,Mercados!$A$2:$A$32,0)),"Revisar Tscode"))</f>
        <v/>
      </c>
      <c r="B64" s="1" t="str">
        <f aca="false">IF(Brasil!C64="","",Brasil!C64)</f>
        <v/>
      </c>
      <c r="C64" s="1" t="str">
        <f aca="false">IF(Brasil!C64="","",Brasil!A64)</f>
        <v/>
      </c>
      <c r="D64" s="1" t="str">
        <f aca="false">IF(Brasil!C64="","",Brasil!E64)</f>
        <v/>
      </c>
      <c r="E64" s="1" t="str">
        <f aca="false">IF(Brasil!C64="","",Brasil!F64)</f>
        <v/>
      </c>
      <c r="F64" s="1" t="str">
        <f aca="false">IF(Brasil!C64="","",Brasil!D64)</f>
        <v/>
      </c>
      <c r="I64" s="1" t="str">
        <f aca="false">IF(Brasil!C64="","",Brasil!H64)</f>
        <v/>
      </c>
      <c r="J64" s="1" t="str">
        <f aca="false">IF(Brasil!C64="","",Brasil!D64*Brasil!H64)</f>
        <v/>
      </c>
      <c r="K64" s="1" t="str">
        <f aca="false">IF(Brasil!C64="","","BR")</f>
        <v/>
      </c>
      <c r="L64" s="1" t="str">
        <f aca="false">IF(Brasil!C64="","",IFERROR(INDEX(Gamma_Catalogo!$D$3:$D$1451,MATCH(Brasil!E64,Gamma_Catalogo!$A$3:$A$1451,0)),"Revisar Ip Code"))</f>
        <v/>
      </c>
      <c r="M64" s="1" t="str">
        <f aca="false">IF(Brasil!C64="","",IFERROR(INDEX(Gamma_Catalogo!$C$3:$C$1451,MATCH(Brasil!E64,Gamma_Catalogo!$A$3:$A$1451,0)),"Revisar Ip Code"))</f>
        <v/>
      </c>
      <c r="N64" s="1" t="str">
        <f aca="false">IF(Brasil!C64="","",IFERROR(INDEX(Gamma_Catalogo!$E$3:$E$1451,MATCH(Brasil!E64,Gamma_Catalogo!$A$3:$A$1451,0)),"Revisar Ip Code"))</f>
        <v/>
      </c>
      <c r="O64" s="1" t="str">
        <f aca="false">IF(Brasil!C64="","","Brasil")</f>
        <v/>
      </c>
    </row>
    <row r="65" customFormat="false" ht="15" hidden="false" customHeight="true" outlineLevel="0" collapsed="false">
      <c r="A65" s="1" t="str">
        <f aca="false">IF(Brasil!C65="","",IFERROR(INDEX(Mercados!$C$2:$C$32,MATCH(Brasil!B65,Mercados!$A$2:$A$32,0)),"Revisar Tscode"))</f>
        <v/>
      </c>
      <c r="B65" s="1" t="str">
        <f aca="false">IF(Brasil!C65="","",Brasil!C65)</f>
        <v/>
      </c>
      <c r="C65" s="1" t="str">
        <f aca="false">IF(Brasil!C65="","",Brasil!A65)</f>
        <v/>
      </c>
      <c r="D65" s="1" t="str">
        <f aca="false">IF(Brasil!C65="","",Brasil!E65)</f>
        <v/>
      </c>
      <c r="E65" s="1" t="str">
        <f aca="false">IF(Brasil!C65="","",Brasil!F65)</f>
        <v/>
      </c>
      <c r="F65" s="1" t="str">
        <f aca="false">IF(Brasil!C65="","",Brasil!D65)</f>
        <v/>
      </c>
      <c r="I65" s="1" t="str">
        <f aca="false">IF(Brasil!C65="","",Brasil!H65)</f>
        <v/>
      </c>
      <c r="J65" s="1" t="str">
        <f aca="false">IF(Brasil!C65="","",Brasil!D65*Brasil!H65)</f>
        <v/>
      </c>
      <c r="K65" s="1" t="str">
        <f aca="false">IF(Brasil!C65="","","BR")</f>
        <v/>
      </c>
      <c r="L65" s="1" t="str">
        <f aca="false">IF(Brasil!C65="","",IFERROR(INDEX(Gamma_Catalogo!$D$3:$D$1451,MATCH(Brasil!E65,Gamma_Catalogo!$A$3:$A$1451,0)),"Revisar Ip Code"))</f>
        <v/>
      </c>
      <c r="M65" s="1" t="str">
        <f aca="false">IF(Brasil!C65="","",IFERROR(INDEX(Gamma_Catalogo!$C$3:$C$1451,MATCH(Brasil!E65,Gamma_Catalogo!$A$3:$A$1451,0)),"Revisar Ip Code"))</f>
        <v/>
      </c>
      <c r="N65" s="1" t="str">
        <f aca="false">IF(Brasil!C65="","",IFERROR(INDEX(Gamma_Catalogo!$E$3:$E$1451,MATCH(Brasil!E65,Gamma_Catalogo!$A$3:$A$1451,0)),"Revisar Ip Code"))</f>
        <v/>
      </c>
      <c r="O65" s="1" t="str">
        <f aca="false">IF(Brasil!C65="","","Brasil")</f>
        <v/>
      </c>
    </row>
    <row r="66" customFormat="false" ht="15" hidden="false" customHeight="true" outlineLevel="0" collapsed="false">
      <c r="A66" s="1" t="str">
        <f aca="false">IF(Brasil!C66="","",IFERROR(INDEX(Mercados!$C$2:$C$32,MATCH(Brasil!B66,Mercados!$A$2:$A$32,0)),"Revisar Tscode"))</f>
        <v/>
      </c>
      <c r="B66" s="1" t="str">
        <f aca="false">IF(Brasil!C66="","",Brasil!C66)</f>
        <v/>
      </c>
      <c r="C66" s="1" t="str">
        <f aca="false">IF(Brasil!C66="","",Brasil!A66)</f>
        <v/>
      </c>
      <c r="D66" s="1" t="str">
        <f aca="false">IF(Brasil!C66="","",Brasil!E66)</f>
        <v/>
      </c>
      <c r="E66" s="1" t="str">
        <f aca="false">IF(Brasil!C66="","",Brasil!F66)</f>
        <v/>
      </c>
      <c r="F66" s="1" t="str">
        <f aca="false">IF(Brasil!C66="","",Brasil!D66)</f>
        <v/>
      </c>
      <c r="I66" s="1" t="str">
        <f aca="false">IF(Brasil!C66="","",Brasil!H66)</f>
        <v/>
      </c>
      <c r="J66" s="1" t="str">
        <f aca="false">IF(Brasil!C66="","",Brasil!D66*Brasil!H66)</f>
        <v/>
      </c>
      <c r="K66" s="1" t="str">
        <f aca="false">IF(Brasil!C66="","","BR")</f>
        <v/>
      </c>
      <c r="L66" s="1" t="str">
        <f aca="false">IF(Brasil!C66="","",IFERROR(INDEX(Gamma_Catalogo!$D$3:$D$1451,MATCH(Brasil!E66,Gamma_Catalogo!$A$3:$A$1451,0)),"Revisar Ip Code"))</f>
        <v/>
      </c>
      <c r="M66" s="1" t="str">
        <f aca="false">IF(Brasil!C66="","",IFERROR(INDEX(Gamma_Catalogo!$C$3:$C$1451,MATCH(Brasil!E66,Gamma_Catalogo!$A$3:$A$1451,0)),"Revisar Ip Code"))</f>
        <v/>
      </c>
      <c r="N66" s="1" t="str">
        <f aca="false">IF(Brasil!C66="","",IFERROR(INDEX(Gamma_Catalogo!$E$3:$E$1451,MATCH(Brasil!E66,Gamma_Catalogo!$A$3:$A$1451,0)),"Revisar Ip Code"))</f>
        <v/>
      </c>
      <c r="O66" s="1" t="str">
        <f aca="false">IF(Brasil!C66="","","Brasil")</f>
        <v/>
      </c>
    </row>
    <row r="67" customFormat="false" ht="15" hidden="false" customHeight="true" outlineLevel="0" collapsed="false">
      <c r="A67" s="1" t="str">
        <f aca="false">IF(Brasil!C67="","",IFERROR(INDEX(Mercados!$C$2:$C$32,MATCH(Brasil!B67,Mercados!$A$2:$A$32,0)),"Revisar Tscode"))</f>
        <v/>
      </c>
      <c r="B67" s="1" t="str">
        <f aca="false">IF(Brasil!C67="","",Brasil!C67)</f>
        <v/>
      </c>
      <c r="C67" s="1" t="str">
        <f aca="false">IF(Brasil!C67="","",Brasil!A67)</f>
        <v/>
      </c>
      <c r="D67" s="1" t="str">
        <f aca="false">IF(Brasil!C67="","",Brasil!E67)</f>
        <v/>
      </c>
      <c r="E67" s="1" t="str">
        <f aca="false">IF(Brasil!C67="","",Brasil!F67)</f>
        <v/>
      </c>
      <c r="F67" s="1" t="str">
        <f aca="false">IF(Brasil!C67="","",Brasil!D67)</f>
        <v/>
      </c>
      <c r="I67" s="1" t="str">
        <f aca="false">IF(Brasil!C67="","",Brasil!H67)</f>
        <v/>
      </c>
      <c r="J67" s="1" t="str">
        <f aca="false">IF(Brasil!C67="","",Brasil!D67*Brasil!H67)</f>
        <v/>
      </c>
      <c r="K67" s="1" t="str">
        <f aca="false">IF(Brasil!C67="","","BR")</f>
        <v/>
      </c>
      <c r="L67" s="1" t="str">
        <f aca="false">IF(Brasil!C67="","",IFERROR(INDEX(Gamma_Catalogo!$D$3:$D$1451,MATCH(Brasil!E67,Gamma_Catalogo!$A$3:$A$1451,0)),"Revisar Ip Code"))</f>
        <v/>
      </c>
      <c r="M67" s="1" t="str">
        <f aca="false">IF(Brasil!C67="","",IFERROR(INDEX(Gamma_Catalogo!$C$3:$C$1451,MATCH(Brasil!E67,Gamma_Catalogo!$A$3:$A$1451,0)),"Revisar Ip Code"))</f>
        <v/>
      </c>
      <c r="N67" s="1" t="str">
        <f aca="false">IF(Brasil!C67="","",IFERROR(INDEX(Gamma_Catalogo!$E$3:$E$1451,MATCH(Brasil!E67,Gamma_Catalogo!$A$3:$A$1451,0)),"Revisar Ip Code"))</f>
        <v/>
      </c>
      <c r="O67" s="1" t="str">
        <f aca="false">IF(Brasil!C67="","","Brasil")</f>
        <v/>
      </c>
    </row>
    <row r="68" customFormat="false" ht="15" hidden="false" customHeight="true" outlineLevel="0" collapsed="false">
      <c r="A68" s="1" t="str">
        <f aca="false">IF(Brasil!C68="","",IFERROR(INDEX(Mercados!$C$2:$C$32,MATCH(Brasil!B68,Mercados!$A$2:$A$32,0)),"Revisar Tscode"))</f>
        <v/>
      </c>
      <c r="B68" s="1" t="str">
        <f aca="false">IF(Brasil!C68="","",Brasil!C68)</f>
        <v/>
      </c>
      <c r="C68" s="1" t="str">
        <f aca="false">IF(Brasil!C68="","",Brasil!A68)</f>
        <v/>
      </c>
      <c r="D68" s="1" t="str">
        <f aca="false">IF(Brasil!C68="","",Brasil!E68)</f>
        <v/>
      </c>
      <c r="E68" s="1" t="str">
        <f aca="false">IF(Brasil!C68="","",Brasil!F68)</f>
        <v/>
      </c>
      <c r="F68" s="1" t="str">
        <f aca="false">IF(Brasil!C68="","",Brasil!D68)</f>
        <v/>
      </c>
      <c r="I68" s="1" t="str">
        <f aca="false">IF(Brasil!C68="","",Brasil!H68)</f>
        <v/>
      </c>
      <c r="J68" s="1" t="str">
        <f aca="false">IF(Brasil!C68="","",Brasil!D68*Brasil!H68)</f>
        <v/>
      </c>
      <c r="K68" s="1" t="str">
        <f aca="false">IF(Brasil!C68="","","BR")</f>
        <v/>
      </c>
      <c r="L68" s="1" t="str">
        <f aca="false">IF(Brasil!C68="","",IFERROR(INDEX(Gamma_Catalogo!$D$3:$D$1451,MATCH(Brasil!E68,Gamma_Catalogo!$A$3:$A$1451,0)),"Revisar Ip Code"))</f>
        <v/>
      </c>
      <c r="M68" s="1" t="str">
        <f aca="false">IF(Brasil!C68="","",IFERROR(INDEX(Gamma_Catalogo!$C$3:$C$1451,MATCH(Brasil!E68,Gamma_Catalogo!$A$3:$A$1451,0)),"Revisar Ip Code"))</f>
        <v/>
      </c>
      <c r="N68" s="1" t="str">
        <f aca="false">IF(Brasil!C68="","",IFERROR(INDEX(Gamma_Catalogo!$E$3:$E$1451,MATCH(Brasil!E68,Gamma_Catalogo!$A$3:$A$1451,0)),"Revisar Ip Code"))</f>
        <v/>
      </c>
      <c r="O68" s="1" t="str">
        <f aca="false">IF(Brasil!C68="","","Brasil")</f>
        <v/>
      </c>
    </row>
    <row r="69" customFormat="false" ht="15" hidden="false" customHeight="true" outlineLevel="0" collapsed="false">
      <c r="A69" s="1" t="str">
        <f aca="false">IF(Brasil!C69="","",IFERROR(INDEX(Mercados!$C$2:$C$32,MATCH(Brasil!B69,Mercados!$A$2:$A$32,0)),"Revisar Tscode"))</f>
        <v/>
      </c>
      <c r="B69" s="1" t="str">
        <f aca="false">IF(Brasil!C69="","",Brasil!C69)</f>
        <v/>
      </c>
      <c r="C69" s="1" t="str">
        <f aca="false">IF(Brasil!C69="","",Brasil!A69)</f>
        <v/>
      </c>
      <c r="D69" s="1" t="str">
        <f aca="false">IF(Brasil!C69="","",Brasil!E69)</f>
        <v/>
      </c>
      <c r="E69" s="1" t="str">
        <f aca="false">IF(Brasil!C69="","",Brasil!F69)</f>
        <v/>
      </c>
      <c r="F69" s="1" t="str">
        <f aca="false">IF(Brasil!C69="","",Brasil!D69)</f>
        <v/>
      </c>
      <c r="I69" s="1" t="str">
        <f aca="false">IF(Brasil!C69="","",Brasil!H69)</f>
        <v/>
      </c>
      <c r="J69" s="1" t="str">
        <f aca="false">IF(Brasil!C69="","",Brasil!D69*Brasil!H69)</f>
        <v/>
      </c>
      <c r="K69" s="1" t="str">
        <f aca="false">IF(Brasil!C69="","","BR")</f>
        <v/>
      </c>
      <c r="L69" s="1" t="str">
        <f aca="false">IF(Brasil!C69="","",IFERROR(INDEX(Gamma_Catalogo!$D$3:$D$1451,MATCH(Brasil!E69,Gamma_Catalogo!$A$3:$A$1451,0)),"Revisar Ip Code"))</f>
        <v/>
      </c>
      <c r="M69" s="1" t="str">
        <f aca="false">IF(Brasil!C69="","",IFERROR(INDEX(Gamma_Catalogo!$C$3:$C$1451,MATCH(Brasil!E69,Gamma_Catalogo!$A$3:$A$1451,0)),"Revisar Ip Code"))</f>
        <v/>
      </c>
      <c r="N69" s="1" t="str">
        <f aca="false">IF(Brasil!C69="","",IFERROR(INDEX(Gamma_Catalogo!$E$3:$E$1451,MATCH(Brasil!E69,Gamma_Catalogo!$A$3:$A$1451,0)),"Revisar Ip Code"))</f>
        <v/>
      </c>
      <c r="O69" s="1" t="str">
        <f aca="false">IF(Brasil!C69="","","Brasil")</f>
        <v/>
      </c>
    </row>
    <row r="70" customFormat="false" ht="15" hidden="false" customHeight="true" outlineLevel="0" collapsed="false">
      <c r="A70" s="1" t="str">
        <f aca="false">IF(Brasil!C70="","",IFERROR(INDEX(Mercados!$C$2:$C$32,MATCH(Brasil!B70,Mercados!$A$2:$A$32,0)),"Revisar Tscode"))</f>
        <v/>
      </c>
      <c r="B70" s="1" t="str">
        <f aca="false">IF(Brasil!C70="","",Brasil!C70)</f>
        <v/>
      </c>
      <c r="C70" s="1" t="str">
        <f aca="false">IF(Brasil!C70="","",Brasil!A70)</f>
        <v/>
      </c>
      <c r="D70" s="1" t="str">
        <f aca="false">IF(Brasil!C70="","",Brasil!E70)</f>
        <v/>
      </c>
      <c r="E70" s="1" t="str">
        <f aca="false">IF(Brasil!C70="","",Brasil!F70)</f>
        <v/>
      </c>
      <c r="F70" s="1" t="str">
        <f aca="false">IF(Brasil!C70="","",Brasil!D70)</f>
        <v/>
      </c>
      <c r="I70" s="1" t="str">
        <f aca="false">IF(Brasil!C70="","",Brasil!H70)</f>
        <v/>
      </c>
      <c r="J70" s="1" t="str">
        <f aca="false">IF(Brasil!C70="","",Brasil!D70*Brasil!H70)</f>
        <v/>
      </c>
      <c r="K70" s="1" t="str">
        <f aca="false">IF(Brasil!C70="","","BR")</f>
        <v/>
      </c>
      <c r="L70" s="1" t="str">
        <f aca="false">IF(Brasil!C70="","",IFERROR(INDEX(Gamma_Catalogo!$D$3:$D$1451,MATCH(Brasil!E70,Gamma_Catalogo!$A$3:$A$1451,0)),"Revisar Ip Code"))</f>
        <v/>
      </c>
      <c r="M70" s="1" t="str">
        <f aca="false">IF(Brasil!C70="","",IFERROR(INDEX(Gamma_Catalogo!$C$3:$C$1451,MATCH(Brasil!E70,Gamma_Catalogo!$A$3:$A$1451,0)),"Revisar Ip Code"))</f>
        <v/>
      </c>
      <c r="N70" s="1" t="str">
        <f aca="false">IF(Brasil!C70="","",IFERROR(INDEX(Gamma_Catalogo!$E$3:$E$1451,MATCH(Brasil!E70,Gamma_Catalogo!$A$3:$A$1451,0)),"Revisar Ip Code"))</f>
        <v/>
      </c>
      <c r="O70" s="1" t="str">
        <f aca="false">IF(Brasil!C70="","","Brasil")</f>
        <v/>
      </c>
    </row>
    <row r="71" customFormat="false" ht="15" hidden="false" customHeight="true" outlineLevel="0" collapsed="false">
      <c r="A71" s="1" t="str">
        <f aca="false">IF(Brasil!C71="","",IFERROR(INDEX(Mercados!$C$2:$C$32,MATCH(Brasil!B71,Mercados!$A$2:$A$32,0)),"Revisar Tscode"))</f>
        <v/>
      </c>
      <c r="B71" s="1" t="str">
        <f aca="false">IF(Brasil!C71="","",Brasil!C71)</f>
        <v/>
      </c>
      <c r="C71" s="1" t="str">
        <f aca="false">IF(Brasil!C71="","",Brasil!A71)</f>
        <v/>
      </c>
      <c r="D71" s="1" t="str">
        <f aca="false">IF(Brasil!C71="","",Brasil!E71)</f>
        <v/>
      </c>
      <c r="E71" s="1" t="str">
        <f aca="false">IF(Brasil!C71="","",Brasil!F71)</f>
        <v/>
      </c>
      <c r="F71" s="1" t="str">
        <f aca="false">IF(Brasil!C71="","",Brasil!D71)</f>
        <v/>
      </c>
      <c r="I71" s="1" t="str">
        <f aca="false">IF(Brasil!C71="","",Brasil!H71)</f>
        <v/>
      </c>
      <c r="J71" s="1" t="str">
        <f aca="false">IF(Brasil!C71="","",Brasil!D71*Brasil!H71)</f>
        <v/>
      </c>
      <c r="K71" s="1" t="str">
        <f aca="false">IF(Brasil!C71="","","BR")</f>
        <v/>
      </c>
      <c r="L71" s="1" t="str">
        <f aca="false">IF(Brasil!C71="","",IFERROR(INDEX(Gamma_Catalogo!$D$3:$D$1451,MATCH(Brasil!E71,Gamma_Catalogo!$A$3:$A$1451,0)),"Revisar Ip Code"))</f>
        <v/>
      </c>
      <c r="M71" s="1" t="str">
        <f aca="false">IF(Brasil!C71="","",IFERROR(INDEX(Gamma_Catalogo!$C$3:$C$1451,MATCH(Brasil!E71,Gamma_Catalogo!$A$3:$A$1451,0)),"Revisar Ip Code"))</f>
        <v/>
      </c>
      <c r="N71" s="1" t="str">
        <f aca="false">IF(Brasil!C71="","",IFERROR(INDEX(Gamma_Catalogo!$E$3:$E$1451,MATCH(Brasil!E71,Gamma_Catalogo!$A$3:$A$1451,0)),"Revisar Ip Code"))</f>
        <v/>
      </c>
      <c r="O71" s="1" t="str">
        <f aca="false">IF(Brasil!C71="","","Brasil")</f>
        <v/>
      </c>
    </row>
    <row r="72" customFormat="false" ht="15" hidden="false" customHeight="true" outlineLevel="0" collapsed="false">
      <c r="A72" s="1" t="str">
        <f aca="false">IF(Brasil!C72="","",IFERROR(INDEX(Mercados!$C$2:$C$32,MATCH(Brasil!B72,Mercados!$A$2:$A$32,0)),"Revisar Tscode"))</f>
        <v/>
      </c>
      <c r="B72" s="1" t="str">
        <f aca="false">IF(Brasil!C72="","",Brasil!C72)</f>
        <v/>
      </c>
      <c r="C72" s="1" t="str">
        <f aca="false">IF(Brasil!C72="","",Brasil!A72)</f>
        <v/>
      </c>
      <c r="D72" s="1" t="str">
        <f aca="false">IF(Brasil!C72="","",Brasil!E72)</f>
        <v/>
      </c>
      <c r="E72" s="1" t="str">
        <f aca="false">IF(Brasil!C72="","",Brasil!F72)</f>
        <v/>
      </c>
      <c r="F72" s="1" t="str">
        <f aca="false">IF(Brasil!C72="","",Brasil!D72)</f>
        <v/>
      </c>
      <c r="I72" s="1" t="str">
        <f aca="false">IF(Brasil!C72="","",Brasil!H72)</f>
        <v/>
      </c>
      <c r="J72" s="1" t="str">
        <f aca="false">IF(Brasil!C72="","",Brasil!D72*Brasil!H72)</f>
        <v/>
      </c>
      <c r="K72" s="1" t="str">
        <f aca="false">IF(Brasil!C72="","","BR")</f>
        <v/>
      </c>
      <c r="L72" s="1" t="str">
        <f aca="false">IF(Brasil!C72="","",IFERROR(INDEX(Gamma_Catalogo!$D$3:$D$1451,MATCH(Brasil!E72,Gamma_Catalogo!$A$3:$A$1451,0)),"Revisar Ip Code"))</f>
        <v/>
      </c>
      <c r="M72" s="1" t="str">
        <f aca="false">IF(Brasil!C72="","",IFERROR(INDEX(Gamma_Catalogo!$C$3:$C$1451,MATCH(Brasil!E72,Gamma_Catalogo!$A$3:$A$1451,0)),"Revisar Ip Code"))</f>
        <v/>
      </c>
      <c r="N72" s="1" t="str">
        <f aca="false">IF(Brasil!C72="","",IFERROR(INDEX(Gamma_Catalogo!$E$3:$E$1451,MATCH(Brasil!E72,Gamma_Catalogo!$A$3:$A$1451,0)),"Revisar Ip Code"))</f>
        <v/>
      </c>
      <c r="O72" s="1" t="str">
        <f aca="false">IF(Brasil!C72="","","Brasil")</f>
        <v/>
      </c>
    </row>
    <row r="73" customFormat="false" ht="15" hidden="false" customHeight="true" outlineLevel="0" collapsed="false">
      <c r="A73" s="1" t="str">
        <f aca="false">IF(Brasil!C73="","",IFERROR(INDEX(Mercados!$C$2:$C$32,MATCH(Brasil!B73,Mercados!$A$2:$A$32,0)),"Revisar Tscode"))</f>
        <v/>
      </c>
      <c r="B73" s="1" t="str">
        <f aca="false">IF(Brasil!C73="","",Brasil!C73)</f>
        <v/>
      </c>
      <c r="C73" s="1" t="str">
        <f aca="false">IF(Brasil!C73="","",Brasil!A73)</f>
        <v/>
      </c>
      <c r="D73" s="1" t="str">
        <f aca="false">IF(Brasil!C73="","",Brasil!E73)</f>
        <v/>
      </c>
      <c r="E73" s="1" t="str">
        <f aca="false">IF(Brasil!C73="","",Brasil!F73)</f>
        <v/>
      </c>
      <c r="F73" s="1" t="str">
        <f aca="false">IF(Brasil!C73="","",Brasil!D73)</f>
        <v/>
      </c>
      <c r="I73" s="1" t="str">
        <f aca="false">IF(Brasil!C73="","",Brasil!H73)</f>
        <v/>
      </c>
      <c r="J73" s="1" t="str">
        <f aca="false">IF(Brasil!C73="","",Brasil!D73*Brasil!H73)</f>
        <v/>
      </c>
      <c r="K73" s="1" t="str">
        <f aca="false">IF(Brasil!C73="","","BR")</f>
        <v/>
      </c>
      <c r="L73" s="1" t="str">
        <f aca="false">IF(Brasil!C73="","",IFERROR(INDEX(Gamma_Catalogo!$D$3:$D$1451,MATCH(Brasil!E73,Gamma_Catalogo!$A$3:$A$1451,0)),"Revisar Ip Code"))</f>
        <v/>
      </c>
      <c r="M73" s="1" t="str">
        <f aca="false">IF(Brasil!C73="","",IFERROR(INDEX(Gamma_Catalogo!$C$3:$C$1451,MATCH(Brasil!E73,Gamma_Catalogo!$A$3:$A$1451,0)),"Revisar Ip Code"))</f>
        <v/>
      </c>
      <c r="N73" s="1" t="str">
        <f aca="false">IF(Brasil!C73="","",IFERROR(INDEX(Gamma_Catalogo!$E$3:$E$1451,MATCH(Brasil!E73,Gamma_Catalogo!$A$3:$A$1451,0)),"Revisar Ip Code"))</f>
        <v/>
      </c>
      <c r="O73" s="1" t="str">
        <f aca="false">IF(Brasil!C73="","","Brasil")</f>
        <v/>
      </c>
    </row>
    <row r="74" customFormat="false" ht="15" hidden="false" customHeight="true" outlineLevel="0" collapsed="false">
      <c r="A74" s="1" t="str">
        <f aca="false">IF(Brasil!C74="","",IFERROR(INDEX(Mercados!$C$2:$C$32,MATCH(Brasil!B74,Mercados!$A$2:$A$32,0)),"Revisar Tscode"))</f>
        <v/>
      </c>
      <c r="B74" s="1" t="str">
        <f aca="false">IF(Brasil!C74="","",Brasil!C74)</f>
        <v/>
      </c>
      <c r="C74" s="1" t="str">
        <f aca="false">IF(Brasil!C74="","",Brasil!A74)</f>
        <v/>
      </c>
      <c r="D74" s="1" t="str">
        <f aca="false">IF(Brasil!C74="","",Brasil!E74)</f>
        <v/>
      </c>
      <c r="E74" s="1" t="str">
        <f aca="false">IF(Brasil!C74="","",Brasil!F74)</f>
        <v/>
      </c>
      <c r="F74" s="1" t="str">
        <f aca="false">IF(Brasil!C74="","",Brasil!D74)</f>
        <v/>
      </c>
      <c r="I74" s="1" t="str">
        <f aca="false">IF(Brasil!C74="","",Brasil!H74)</f>
        <v/>
      </c>
      <c r="J74" s="1" t="str">
        <f aca="false">IF(Brasil!C74="","",Brasil!D74*Brasil!H74)</f>
        <v/>
      </c>
      <c r="K74" s="1" t="str">
        <f aca="false">IF(Brasil!C74="","","BR")</f>
        <v/>
      </c>
      <c r="L74" s="1" t="str">
        <f aca="false">IF(Brasil!C74="","",IFERROR(INDEX(Gamma_Catalogo!$D$3:$D$1451,MATCH(Brasil!E74,Gamma_Catalogo!$A$3:$A$1451,0)),"Revisar Ip Code"))</f>
        <v/>
      </c>
      <c r="M74" s="1" t="str">
        <f aca="false">IF(Brasil!C74="","",IFERROR(INDEX(Gamma_Catalogo!$C$3:$C$1451,MATCH(Brasil!E74,Gamma_Catalogo!$A$3:$A$1451,0)),"Revisar Ip Code"))</f>
        <v/>
      </c>
      <c r="N74" s="1" t="str">
        <f aca="false">IF(Brasil!C74="","",IFERROR(INDEX(Gamma_Catalogo!$E$3:$E$1451,MATCH(Brasil!E74,Gamma_Catalogo!$A$3:$A$1451,0)),"Revisar Ip Code"))</f>
        <v/>
      </c>
      <c r="O74" s="1" t="str">
        <f aca="false">IF(Brasil!C74="","","Brasil")</f>
        <v/>
      </c>
    </row>
    <row r="75" customFormat="false" ht="15" hidden="false" customHeight="true" outlineLevel="0" collapsed="false">
      <c r="A75" s="1" t="str">
        <f aca="false">IF(Brasil!C75="","",IFERROR(INDEX(Mercados!$C$2:$C$32,MATCH(Brasil!B75,Mercados!$A$2:$A$32,0)),"Revisar Tscode"))</f>
        <v/>
      </c>
      <c r="B75" s="1" t="str">
        <f aca="false">IF(Brasil!C75="","",Brasil!C75)</f>
        <v/>
      </c>
      <c r="C75" s="1" t="str">
        <f aca="false">IF(Brasil!C75="","",Brasil!A75)</f>
        <v/>
      </c>
      <c r="D75" s="1" t="str">
        <f aca="false">IF(Brasil!C75="","",Brasil!E75)</f>
        <v/>
      </c>
      <c r="E75" s="1" t="str">
        <f aca="false">IF(Brasil!C75="","",Brasil!F75)</f>
        <v/>
      </c>
      <c r="F75" s="1" t="str">
        <f aca="false">IF(Brasil!C75="","",Brasil!D75)</f>
        <v/>
      </c>
      <c r="I75" s="1" t="str">
        <f aca="false">IF(Brasil!C75="","",Brasil!H75)</f>
        <v/>
      </c>
      <c r="J75" s="1" t="str">
        <f aca="false">IF(Brasil!C75="","",Brasil!D75*Brasil!H75)</f>
        <v/>
      </c>
      <c r="K75" s="1" t="str">
        <f aca="false">IF(Brasil!C75="","","BR")</f>
        <v/>
      </c>
      <c r="L75" s="1" t="str">
        <f aca="false">IF(Brasil!C75="","",IFERROR(INDEX(Gamma_Catalogo!$D$3:$D$1451,MATCH(Brasil!E75,Gamma_Catalogo!$A$3:$A$1451,0)),"Revisar Ip Code"))</f>
        <v/>
      </c>
      <c r="M75" s="1" t="str">
        <f aca="false">IF(Brasil!C75="","",IFERROR(INDEX(Gamma_Catalogo!$C$3:$C$1451,MATCH(Brasil!E75,Gamma_Catalogo!$A$3:$A$1451,0)),"Revisar Ip Code"))</f>
        <v/>
      </c>
      <c r="N75" s="1" t="str">
        <f aca="false">IF(Brasil!C75="","",IFERROR(INDEX(Gamma_Catalogo!$E$3:$E$1451,MATCH(Brasil!E75,Gamma_Catalogo!$A$3:$A$1451,0)),"Revisar Ip Code"))</f>
        <v/>
      </c>
      <c r="O75" s="1" t="str">
        <f aca="false">IF(Brasil!C75="","","Brasil")</f>
        <v/>
      </c>
    </row>
    <row r="76" customFormat="false" ht="15" hidden="false" customHeight="true" outlineLevel="0" collapsed="false">
      <c r="A76" s="1" t="str">
        <f aca="false">IF(Brasil!C76="","",IFERROR(INDEX(Mercados!$C$2:$C$32,MATCH(Brasil!B76,Mercados!$A$2:$A$32,0)),"Revisar Tscode"))</f>
        <v/>
      </c>
      <c r="B76" s="1" t="str">
        <f aca="false">IF(Brasil!C76="","",Brasil!C76)</f>
        <v/>
      </c>
      <c r="C76" s="1" t="str">
        <f aca="false">IF(Brasil!C76="","",Brasil!A76)</f>
        <v/>
      </c>
      <c r="D76" s="1" t="str">
        <f aca="false">IF(Brasil!C76="","",Brasil!E76)</f>
        <v/>
      </c>
      <c r="E76" s="1" t="str">
        <f aca="false">IF(Brasil!C76="","",Brasil!F76)</f>
        <v/>
      </c>
      <c r="F76" s="1" t="str">
        <f aca="false">IF(Brasil!C76="","",Brasil!D76)</f>
        <v/>
      </c>
      <c r="I76" s="1" t="str">
        <f aca="false">IF(Brasil!C76="","",Brasil!H76)</f>
        <v/>
      </c>
      <c r="J76" s="1" t="str">
        <f aca="false">IF(Brasil!C76="","",Brasil!D76*Brasil!H76)</f>
        <v/>
      </c>
      <c r="K76" s="1" t="str">
        <f aca="false">IF(Brasil!C76="","","BR")</f>
        <v/>
      </c>
      <c r="L76" s="1" t="str">
        <f aca="false">IF(Brasil!C76="","",IFERROR(INDEX(Gamma_Catalogo!$D$3:$D$1451,MATCH(Brasil!E76,Gamma_Catalogo!$A$3:$A$1451,0)),"Revisar Ip Code"))</f>
        <v/>
      </c>
      <c r="M76" s="1" t="str">
        <f aca="false">IF(Brasil!C76="","",IFERROR(INDEX(Gamma_Catalogo!$C$3:$C$1451,MATCH(Brasil!E76,Gamma_Catalogo!$A$3:$A$1451,0)),"Revisar Ip Code"))</f>
        <v/>
      </c>
      <c r="N76" s="1" t="str">
        <f aca="false">IF(Brasil!C76="","",IFERROR(INDEX(Gamma_Catalogo!$E$3:$E$1451,MATCH(Brasil!E76,Gamma_Catalogo!$A$3:$A$1451,0)),"Revisar Ip Code"))</f>
        <v/>
      </c>
      <c r="O76" s="1" t="str">
        <f aca="false">IF(Brasil!C76="","","Brasil")</f>
        <v/>
      </c>
    </row>
    <row r="77" customFormat="false" ht="15" hidden="false" customHeight="true" outlineLevel="0" collapsed="false">
      <c r="A77" s="1" t="str">
        <f aca="false">IF(Brasil!C77="","",IFERROR(INDEX(Mercados!$C$2:$C$32,MATCH(Brasil!B77,Mercados!$A$2:$A$32,0)),"Revisar Tscode"))</f>
        <v/>
      </c>
      <c r="B77" s="1" t="str">
        <f aca="false">IF(Brasil!C77="","",Brasil!C77)</f>
        <v/>
      </c>
      <c r="C77" s="1" t="str">
        <f aca="false">IF(Brasil!C77="","",Brasil!A77)</f>
        <v/>
      </c>
      <c r="D77" s="1" t="str">
        <f aca="false">IF(Brasil!C77="","",Brasil!E77)</f>
        <v/>
      </c>
      <c r="E77" s="1" t="str">
        <f aca="false">IF(Brasil!C77="","",Brasil!F77)</f>
        <v/>
      </c>
      <c r="F77" s="1" t="str">
        <f aca="false">IF(Brasil!C77="","",Brasil!D77)</f>
        <v/>
      </c>
      <c r="I77" s="1" t="str">
        <f aca="false">IF(Brasil!C77="","",Brasil!H77)</f>
        <v/>
      </c>
      <c r="J77" s="1" t="str">
        <f aca="false">IF(Brasil!C77="","",Brasil!D77*Brasil!H77)</f>
        <v/>
      </c>
      <c r="K77" s="1" t="str">
        <f aca="false">IF(Brasil!C77="","","BR")</f>
        <v/>
      </c>
      <c r="L77" s="1" t="str">
        <f aca="false">IF(Brasil!C77="","",IFERROR(INDEX(Gamma_Catalogo!$D$3:$D$1451,MATCH(Brasil!E77,Gamma_Catalogo!$A$3:$A$1451,0)),"Revisar Ip Code"))</f>
        <v/>
      </c>
      <c r="M77" s="1" t="str">
        <f aca="false">IF(Brasil!C77="","",IFERROR(INDEX(Gamma_Catalogo!$C$3:$C$1451,MATCH(Brasil!E77,Gamma_Catalogo!$A$3:$A$1451,0)),"Revisar Ip Code"))</f>
        <v/>
      </c>
      <c r="N77" s="1" t="str">
        <f aca="false">IF(Brasil!C77="","",IFERROR(INDEX(Gamma_Catalogo!$E$3:$E$1451,MATCH(Brasil!E77,Gamma_Catalogo!$A$3:$A$1451,0)),"Revisar Ip Code"))</f>
        <v/>
      </c>
      <c r="O77" s="1" t="str">
        <f aca="false">IF(Brasil!C77="","","Brasil")</f>
        <v/>
      </c>
    </row>
    <row r="78" customFormat="false" ht="15" hidden="false" customHeight="true" outlineLevel="0" collapsed="false">
      <c r="A78" s="1" t="str">
        <f aca="false">IF(Brasil!C78="","",IFERROR(INDEX(Mercados!$C$2:$C$32,MATCH(Brasil!B78,Mercados!$A$2:$A$32,0)),"Revisar Tscode"))</f>
        <v/>
      </c>
      <c r="B78" s="1" t="str">
        <f aca="false">IF(Brasil!C78="","",Brasil!C78)</f>
        <v/>
      </c>
      <c r="C78" s="1" t="str">
        <f aca="false">IF(Brasil!C78="","",Brasil!A78)</f>
        <v/>
      </c>
      <c r="D78" s="1" t="str">
        <f aca="false">IF(Brasil!C78="","",Brasil!E78)</f>
        <v/>
      </c>
      <c r="E78" s="1" t="str">
        <f aca="false">IF(Brasil!C78="","",Brasil!F78)</f>
        <v/>
      </c>
      <c r="F78" s="1" t="str">
        <f aca="false">IF(Brasil!C78="","",Brasil!D78)</f>
        <v/>
      </c>
      <c r="I78" s="1" t="str">
        <f aca="false">IF(Brasil!C78="","",Brasil!H78)</f>
        <v/>
      </c>
      <c r="J78" s="1" t="str">
        <f aca="false">IF(Brasil!C78="","",Brasil!D78*Brasil!H78)</f>
        <v/>
      </c>
      <c r="K78" s="1" t="str">
        <f aca="false">IF(Brasil!C78="","","BR")</f>
        <v/>
      </c>
      <c r="L78" s="1" t="str">
        <f aca="false">IF(Brasil!C78="","",IFERROR(INDEX(Gamma_Catalogo!$D$3:$D$1451,MATCH(Brasil!E78,Gamma_Catalogo!$A$3:$A$1451,0)),"Revisar Ip Code"))</f>
        <v/>
      </c>
      <c r="M78" s="1" t="str">
        <f aca="false">IF(Brasil!C78="","",IFERROR(INDEX(Gamma_Catalogo!$C$3:$C$1451,MATCH(Brasil!E78,Gamma_Catalogo!$A$3:$A$1451,0)),"Revisar Ip Code"))</f>
        <v/>
      </c>
      <c r="N78" s="1" t="str">
        <f aca="false">IF(Brasil!C78="","",IFERROR(INDEX(Gamma_Catalogo!$E$3:$E$1451,MATCH(Brasil!E78,Gamma_Catalogo!$A$3:$A$1451,0)),"Revisar Ip Code"))</f>
        <v/>
      </c>
      <c r="O78" s="1" t="str">
        <f aca="false">IF(Brasil!C78="","","Brasil")</f>
        <v/>
      </c>
    </row>
    <row r="79" customFormat="false" ht="15" hidden="false" customHeight="true" outlineLevel="0" collapsed="false">
      <c r="A79" s="1" t="str">
        <f aca="false">IF(Brasil!C79="","",IFERROR(INDEX(Mercados!$C$2:$C$32,MATCH(Brasil!B79,Mercados!$A$2:$A$32,0)),"Revisar Tscode"))</f>
        <v/>
      </c>
      <c r="B79" s="1" t="str">
        <f aca="false">IF(Brasil!C79="","",Brasil!C79)</f>
        <v/>
      </c>
      <c r="C79" s="1" t="str">
        <f aca="false">IF(Brasil!C79="","",Brasil!A79)</f>
        <v/>
      </c>
      <c r="D79" s="1" t="str">
        <f aca="false">IF(Brasil!C79="","",Brasil!E79)</f>
        <v/>
      </c>
      <c r="E79" s="1" t="str">
        <f aca="false">IF(Brasil!C79="","",Brasil!F79)</f>
        <v/>
      </c>
      <c r="F79" s="1" t="str">
        <f aca="false">IF(Brasil!C79="","",Brasil!D79)</f>
        <v/>
      </c>
      <c r="I79" s="1" t="str">
        <f aca="false">IF(Brasil!C79="","",Brasil!H79)</f>
        <v/>
      </c>
      <c r="J79" s="1" t="str">
        <f aca="false">IF(Brasil!C79="","",Brasil!D79*Brasil!H79)</f>
        <v/>
      </c>
      <c r="K79" s="1" t="str">
        <f aca="false">IF(Brasil!C79="","","BR")</f>
        <v/>
      </c>
      <c r="L79" s="1" t="str">
        <f aca="false">IF(Brasil!C79="","",IFERROR(INDEX(Gamma_Catalogo!$D$3:$D$1451,MATCH(Brasil!E79,Gamma_Catalogo!$A$3:$A$1451,0)),"Revisar Ip Code"))</f>
        <v/>
      </c>
      <c r="M79" s="1" t="str">
        <f aca="false">IF(Brasil!C79="","",IFERROR(INDEX(Gamma_Catalogo!$C$3:$C$1451,MATCH(Brasil!E79,Gamma_Catalogo!$A$3:$A$1451,0)),"Revisar Ip Code"))</f>
        <v/>
      </c>
      <c r="N79" s="1" t="str">
        <f aca="false">IF(Brasil!C79="","",IFERROR(INDEX(Gamma_Catalogo!$E$3:$E$1451,MATCH(Brasil!E79,Gamma_Catalogo!$A$3:$A$1451,0)),"Revisar Ip Code"))</f>
        <v/>
      </c>
      <c r="O79" s="1" t="str">
        <f aca="false">IF(Brasil!C79="","","Brasil")</f>
        <v/>
      </c>
    </row>
    <row r="80" customFormat="false" ht="15" hidden="false" customHeight="true" outlineLevel="0" collapsed="false">
      <c r="A80" s="1" t="str">
        <f aca="false">IF(Brasil!C80="","",IFERROR(INDEX(Mercados!$C$2:$C$32,MATCH(Brasil!B80,Mercados!$A$2:$A$32,0)),"Revisar Tscode"))</f>
        <v/>
      </c>
      <c r="B80" s="1" t="str">
        <f aca="false">IF(Brasil!C80="","",Brasil!C80)</f>
        <v/>
      </c>
      <c r="C80" s="1" t="str">
        <f aca="false">IF(Brasil!C80="","",Brasil!A80)</f>
        <v/>
      </c>
      <c r="D80" s="1" t="str">
        <f aca="false">IF(Brasil!C80="","",Brasil!E80)</f>
        <v/>
      </c>
      <c r="E80" s="1" t="str">
        <f aca="false">IF(Brasil!C80="","",Brasil!F80)</f>
        <v/>
      </c>
      <c r="F80" s="1" t="str">
        <f aca="false">IF(Brasil!C80="","",Brasil!D80)</f>
        <v/>
      </c>
      <c r="I80" s="1" t="str">
        <f aca="false">IF(Brasil!C80="","",Brasil!H80)</f>
        <v/>
      </c>
      <c r="J80" s="1" t="str">
        <f aca="false">IF(Brasil!C80="","",Brasil!D80*Brasil!H80)</f>
        <v/>
      </c>
      <c r="K80" s="1" t="str">
        <f aca="false">IF(Brasil!C80="","","BR")</f>
        <v/>
      </c>
      <c r="L80" s="1" t="str">
        <f aca="false">IF(Brasil!C80="","",IFERROR(INDEX(Gamma_Catalogo!$D$3:$D$1451,MATCH(Brasil!E80,Gamma_Catalogo!$A$3:$A$1451,0)),"Revisar Ip Code"))</f>
        <v/>
      </c>
      <c r="M80" s="1" t="str">
        <f aca="false">IF(Brasil!C80="","",IFERROR(INDEX(Gamma_Catalogo!$C$3:$C$1451,MATCH(Brasil!E80,Gamma_Catalogo!$A$3:$A$1451,0)),"Revisar Ip Code"))</f>
        <v/>
      </c>
      <c r="N80" s="1" t="str">
        <f aca="false">IF(Brasil!C80="","",IFERROR(INDEX(Gamma_Catalogo!$E$3:$E$1451,MATCH(Brasil!E80,Gamma_Catalogo!$A$3:$A$1451,0)),"Revisar Ip Code"))</f>
        <v/>
      </c>
      <c r="O80" s="1" t="str">
        <f aca="false">IF(Brasil!C80="","","Brasil")</f>
        <v/>
      </c>
    </row>
    <row r="81" customFormat="false" ht="15" hidden="false" customHeight="true" outlineLevel="0" collapsed="false">
      <c r="A81" s="1" t="str">
        <f aca="false">IF(Brasil!C81="","",IFERROR(INDEX(Mercados!$C$2:$C$32,MATCH(Brasil!B81,Mercados!$A$2:$A$32,0)),"Revisar Tscode"))</f>
        <v/>
      </c>
      <c r="B81" s="1" t="str">
        <f aca="false">IF(Brasil!C81="","",Brasil!C81)</f>
        <v/>
      </c>
      <c r="C81" s="1" t="str">
        <f aca="false">IF(Brasil!C81="","",Brasil!A81)</f>
        <v/>
      </c>
      <c r="D81" s="1" t="str">
        <f aca="false">IF(Brasil!C81="","",Brasil!E81)</f>
        <v/>
      </c>
      <c r="E81" s="1" t="str">
        <f aca="false">IF(Brasil!C81="","",Brasil!F81)</f>
        <v/>
      </c>
      <c r="F81" s="1" t="str">
        <f aca="false">IF(Brasil!C81="","",Brasil!D81)</f>
        <v/>
      </c>
      <c r="I81" s="1" t="str">
        <f aca="false">IF(Brasil!C81="","",Brasil!H81)</f>
        <v/>
      </c>
      <c r="J81" s="1" t="str">
        <f aca="false">IF(Brasil!C81="","",Brasil!D81*Brasil!H81)</f>
        <v/>
      </c>
      <c r="K81" s="1" t="str">
        <f aca="false">IF(Brasil!C81="","","BR")</f>
        <v/>
      </c>
      <c r="L81" s="1" t="str">
        <f aca="false">IF(Brasil!C81="","",IFERROR(INDEX(Gamma_Catalogo!$D$3:$D$1451,MATCH(Brasil!E81,Gamma_Catalogo!$A$3:$A$1451,0)),"Revisar Ip Code"))</f>
        <v/>
      </c>
      <c r="M81" s="1" t="str">
        <f aca="false">IF(Brasil!C81="","",IFERROR(INDEX(Gamma_Catalogo!$C$3:$C$1451,MATCH(Brasil!E81,Gamma_Catalogo!$A$3:$A$1451,0)),"Revisar Ip Code"))</f>
        <v/>
      </c>
      <c r="N81" s="1" t="str">
        <f aca="false">IF(Brasil!C81="","",IFERROR(INDEX(Gamma_Catalogo!$E$3:$E$1451,MATCH(Brasil!E81,Gamma_Catalogo!$A$3:$A$1451,0)),"Revisar Ip Code"))</f>
        <v/>
      </c>
      <c r="O81" s="1" t="str">
        <f aca="false">IF(Brasil!C81="","","Brasil")</f>
        <v/>
      </c>
    </row>
    <row r="82" customFormat="false" ht="15" hidden="false" customHeight="true" outlineLevel="0" collapsed="false">
      <c r="A82" s="1" t="str">
        <f aca="false">IF(Brasil!C82="","",IFERROR(INDEX(Mercados!$C$2:$C$32,MATCH(Brasil!B82,Mercados!$A$2:$A$32,0)),"Revisar Tscode"))</f>
        <v/>
      </c>
      <c r="B82" s="1" t="str">
        <f aca="false">IF(Brasil!C82="","",Brasil!C82)</f>
        <v/>
      </c>
      <c r="C82" s="1" t="str">
        <f aca="false">IF(Brasil!C82="","",Brasil!A82)</f>
        <v/>
      </c>
      <c r="D82" s="1" t="str">
        <f aca="false">IF(Brasil!C82="","",Brasil!E82)</f>
        <v/>
      </c>
      <c r="E82" s="1" t="str">
        <f aca="false">IF(Brasil!C82="","",Brasil!F82)</f>
        <v/>
      </c>
      <c r="F82" s="1" t="str">
        <f aca="false">IF(Brasil!C82="","",Brasil!D82)</f>
        <v/>
      </c>
      <c r="I82" s="1" t="str">
        <f aca="false">IF(Brasil!C82="","",Brasil!H82)</f>
        <v/>
      </c>
      <c r="J82" s="1" t="str">
        <f aca="false">IF(Brasil!C82="","",Brasil!D82*Brasil!H82)</f>
        <v/>
      </c>
      <c r="K82" s="1" t="str">
        <f aca="false">IF(Brasil!C82="","","BR")</f>
        <v/>
      </c>
      <c r="L82" s="1" t="str">
        <f aca="false">IF(Brasil!C82="","",IFERROR(INDEX(Gamma_Catalogo!$D$3:$D$1451,MATCH(Brasil!E82,Gamma_Catalogo!$A$3:$A$1451,0)),"Revisar Ip Code"))</f>
        <v/>
      </c>
      <c r="M82" s="1" t="str">
        <f aca="false">IF(Brasil!C82="","",IFERROR(INDEX(Gamma_Catalogo!$C$3:$C$1451,MATCH(Brasil!E82,Gamma_Catalogo!$A$3:$A$1451,0)),"Revisar Ip Code"))</f>
        <v/>
      </c>
      <c r="N82" s="1" t="str">
        <f aca="false">IF(Brasil!C82="","",IFERROR(INDEX(Gamma_Catalogo!$E$3:$E$1451,MATCH(Brasil!E82,Gamma_Catalogo!$A$3:$A$1451,0)),"Revisar Ip Code"))</f>
        <v/>
      </c>
      <c r="O82" s="1" t="str">
        <f aca="false">IF(Brasil!C82="","","Brasil")</f>
        <v/>
      </c>
    </row>
    <row r="83" customFormat="false" ht="15" hidden="false" customHeight="true" outlineLevel="0" collapsed="false">
      <c r="A83" s="1" t="str">
        <f aca="false">IF(Brasil!C83="","",IFERROR(INDEX(Mercados!$C$2:$C$32,MATCH(Brasil!B83,Mercados!$A$2:$A$32,0)),"Revisar Tscode"))</f>
        <v/>
      </c>
      <c r="B83" s="1" t="str">
        <f aca="false">IF(Brasil!C83="","",Brasil!C83)</f>
        <v/>
      </c>
      <c r="C83" s="1" t="str">
        <f aca="false">IF(Brasil!C83="","",Brasil!A83)</f>
        <v/>
      </c>
      <c r="D83" s="1" t="str">
        <f aca="false">IF(Brasil!C83="","",Brasil!E83)</f>
        <v/>
      </c>
      <c r="E83" s="1" t="str">
        <f aca="false">IF(Brasil!C83="","",Brasil!F83)</f>
        <v/>
      </c>
      <c r="F83" s="1" t="str">
        <f aca="false">IF(Brasil!C83="","",Brasil!D83)</f>
        <v/>
      </c>
      <c r="I83" s="1" t="str">
        <f aca="false">IF(Brasil!C83="","",Brasil!H83)</f>
        <v/>
      </c>
      <c r="J83" s="1" t="str">
        <f aca="false">IF(Brasil!C83="","",Brasil!D83*Brasil!H83)</f>
        <v/>
      </c>
      <c r="K83" s="1" t="str">
        <f aca="false">IF(Brasil!C83="","","BR")</f>
        <v/>
      </c>
      <c r="L83" s="1" t="str">
        <f aca="false">IF(Brasil!C83="","",IFERROR(INDEX(Gamma_Catalogo!$D$3:$D$1451,MATCH(Brasil!E83,Gamma_Catalogo!$A$3:$A$1451,0)),"Revisar Ip Code"))</f>
        <v/>
      </c>
      <c r="M83" s="1" t="str">
        <f aca="false">IF(Brasil!C83="","",IFERROR(INDEX(Gamma_Catalogo!$C$3:$C$1451,MATCH(Brasil!E83,Gamma_Catalogo!$A$3:$A$1451,0)),"Revisar Ip Code"))</f>
        <v/>
      </c>
      <c r="N83" s="1" t="str">
        <f aca="false">IF(Brasil!C83="","",IFERROR(INDEX(Gamma_Catalogo!$E$3:$E$1451,MATCH(Brasil!E83,Gamma_Catalogo!$A$3:$A$1451,0)),"Revisar Ip Code"))</f>
        <v/>
      </c>
      <c r="O83" s="1" t="str">
        <f aca="false">IF(Brasil!C83="","","Brasil")</f>
        <v/>
      </c>
    </row>
    <row r="84" customFormat="false" ht="15" hidden="false" customHeight="true" outlineLevel="0" collapsed="false">
      <c r="A84" s="1" t="str">
        <f aca="false">IF(Brasil!C84="","",IFERROR(INDEX(Mercados!$C$2:$C$32,MATCH(Brasil!B84,Mercados!$A$2:$A$32,0)),"Revisar Tscode"))</f>
        <v/>
      </c>
      <c r="B84" s="1" t="str">
        <f aca="false">IF(Brasil!C84="","",Brasil!C84)</f>
        <v/>
      </c>
      <c r="C84" s="1" t="str">
        <f aca="false">IF(Brasil!C84="","",Brasil!A84)</f>
        <v/>
      </c>
      <c r="D84" s="1" t="str">
        <f aca="false">IF(Brasil!C84="","",Brasil!E84)</f>
        <v/>
      </c>
      <c r="E84" s="1" t="str">
        <f aca="false">IF(Brasil!C84="","",Brasil!F84)</f>
        <v/>
      </c>
      <c r="F84" s="1" t="str">
        <f aca="false">IF(Brasil!C84="","",Brasil!D84)</f>
        <v/>
      </c>
      <c r="I84" s="1" t="str">
        <f aca="false">IF(Brasil!C84="","",Brasil!H84)</f>
        <v/>
      </c>
      <c r="J84" s="1" t="str">
        <f aca="false">IF(Brasil!C84="","",Brasil!D84*Brasil!H84)</f>
        <v/>
      </c>
      <c r="K84" s="1" t="str">
        <f aca="false">IF(Brasil!C84="","","BR")</f>
        <v/>
      </c>
      <c r="L84" s="1" t="str">
        <f aca="false">IF(Brasil!C84="","",IFERROR(INDEX(Gamma_Catalogo!$D$3:$D$1451,MATCH(Brasil!E84,Gamma_Catalogo!$A$3:$A$1451,0)),"Revisar Ip Code"))</f>
        <v/>
      </c>
      <c r="M84" s="1" t="str">
        <f aca="false">IF(Brasil!C84="","",IFERROR(INDEX(Gamma_Catalogo!$C$3:$C$1451,MATCH(Brasil!E84,Gamma_Catalogo!$A$3:$A$1451,0)),"Revisar Ip Code"))</f>
        <v/>
      </c>
      <c r="N84" s="1" t="str">
        <f aca="false">IF(Brasil!C84="","",IFERROR(INDEX(Gamma_Catalogo!$E$3:$E$1451,MATCH(Brasil!E84,Gamma_Catalogo!$A$3:$A$1451,0)),"Revisar Ip Code"))</f>
        <v/>
      </c>
      <c r="O84" s="1" t="str">
        <f aca="false">IF(Brasil!C84="","","Brasil")</f>
        <v/>
      </c>
    </row>
    <row r="85" customFormat="false" ht="15" hidden="false" customHeight="true" outlineLevel="0" collapsed="false">
      <c r="A85" s="1" t="str">
        <f aca="false">IF(Brasil!C85="","",IFERROR(INDEX(Mercados!$C$2:$C$32,MATCH(Brasil!B85,Mercados!$A$2:$A$32,0)),"Revisar Tscode"))</f>
        <v/>
      </c>
      <c r="B85" s="1" t="str">
        <f aca="false">IF(Brasil!C85="","",Brasil!C85)</f>
        <v/>
      </c>
      <c r="C85" s="1" t="str">
        <f aca="false">IF(Brasil!C85="","",Brasil!A85)</f>
        <v/>
      </c>
      <c r="D85" s="1" t="str">
        <f aca="false">IF(Brasil!C85="","",Brasil!E85)</f>
        <v/>
      </c>
      <c r="E85" s="1" t="str">
        <f aca="false">IF(Brasil!C85="","",Brasil!F85)</f>
        <v/>
      </c>
      <c r="F85" s="1" t="str">
        <f aca="false">IF(Brasil!C85="","",Brasil!D85)</f>
        <v/>
      </c>
      <c r="I85" s="1" t="str">
        <f aca="false">IF(Brasil!C85="","",Brasil!H85)</f>
        <v/>
      </c>
      <c r="J85" s="1" t="str">
        <f aca="false">IF(Brasil!C85="","",Brasil!D85*Brasil!H85)</f>
        <v/>
      </c>
      <c r="K85" s="1" t="str">
        <f aca="false">IF(Brasil!C85="","","BR")</f>
        <v/>
      </c>
      <c r="L85" s="1" t="str">
        <f aca="false">IF(Brasil!C85="","",IFERROR(INDEX(Gamma_Catalogo!$D$3:$D$1451,MATCH(Brasil!E85,Gamma_Catalogo!$A$3:$A$1451,0)),"Revisar Ip Code"))</f>
        <v/>
      </c>
      <c r="M85" s="1" t="str">
        <f aca="false">IF(Brasil!C85="","",IFERROR(INDEX(Gamma_Catalogo!$C$3:$C$1451,MATCH(Brasil!E85,Gamma_Catalogo!$A$3:$A$1451,0)),"Revisar Ip Code"))</f>
        <v/>
      </c>
      <c r="N85" s="1" t="str">
        <f aca="false">IF(Brasil!C85="","",IFERROR(INDEX(Gamma_Catalogo!$E$3:$E$1451,MATCH(Brasil!E85,Gamma_Catalogo!$A$3:$A$1451,0)),"Revisar Ip Code"))</f>
        <v/>
      </c>
      <c r="O85" s="1" t="str">
        <f aca="false">IF(Brasil!C85="","","Brasil")</f>
        <v/>
      </c>
    </row>
    <row r="86" customFormat="false" ht="15" hidden="false" customHeight="true" outlineLevel="0" collapsed="false">
      <c r="A86" s="1" t="str">
        <f aca="false">IF(Brasil!C86="","",IFERROR(INDEX(Mercados!$C$2:$C$32,MATCH(Brasil!B86,Mercados!$A$2:$A$32,0)),"Revisar Tscode"))</f>
        <v/>
      </c>
      <c r="B86" s="1" t="str">
        <f aca="false">IF(Brasil!C86="","",Brasil!C86)</f>
        <v/>
      </c>
      <c r="C86" s="1" t="str">
        <f aca="false">IF(Brasil!C86="","",Brasil!A86)</f>
        <v/>
      </c>
      <c r="D86" s="1" t="str">
        <f aca="false">IF(Brasil!C86="","",Brasil!E86)</f>
        <v/>
      </c>
      <c r="E86" s="1" t="str">
        <f aca="false">IF(Brasil!C86="","",Brasil!F86)</f>
        <v/>
      </c>
      <c r="F86" s="1" t="str">
        <f aca="false">IF(Brasil!C86="","",Brasil!D86)</f>
        <v/>
      </c>
      <c r="I86" s="1" t="str">
        <f aca="false">IF(Brasil!C86="","",Brasil!H86)</f>
        <v/>
      </c>
      <c r="J86" s="1" t="str">
        <f aca="false">IF(Brasil!C86="","",Brasil!D86*Brasil!H86)</f>
        <v/>
      </c>
      <c r="K86" s="1" t="str">
        <f aca="false">IF(Brasil!C86="","","BR")</f>
        <v/>
      </c>
      <c r="L86" s="1" t="str">
        <f aca="false">IF(Brasil!C86="","",IFERROR(INDEX(Gamma_Catalogo!$D$3:$D$1451,MATCH(Brasil!E86,Gamma_Catalogo!$A$3:$A$1451,0)),"Revisar Ip Code"))</f>
        <v/>
      </c>
      <c r="M86" s="1" t="str">
        <f aca="false">IF(Brasil!C86="","",IFERROR(INDEX(Gamma_Catalogo!$C$3:$C$1451,MATCH(Brasil!E86,Gamma_Catalogo!$A$3:$A$1451,0)),"Revisar Ip Code"))</f>
        <v/>
      </c>
      <c r="N86" s="1" t="str">
        <f aca="false">IF(Brasil!C86="","",IFERROR(INDEX(Gamma_Catalogo!$E$3:$E$1451,MATCH(Brasil!E86,Gamma_Catalogo!$A$3:$A$1451,0)),"Revisar Ip Code"))</f>
        <v/>
      </c>
      <c r="O86" s="1" t="str">
        <f aca="false">IF(Brasil!C86="","","Brasil")</f>
        <v/>
      </c>
    </row>
    <row r="87" customFormat="false" ht="15" hidden="false" customHeight="true" outlineLevel="0" collapsed="false">
      <c r="A87" s="1" t="str">
        <f aca="false">IF(Brasil!C87="","",IFERROR(INDEX(Mercados!$C$2:$C$32,MATCH(Brasil!B87,Mercados!$A$2:$A$32,0)),"Revisar Tscode"))</f>
        <v/>
      </c>
      <c r="B87" s="1" t="str">
        <f aca="false">IF(Brasil!C87="","",Brasil!C87)</f>
        <v/>
      </c>
      <c r="C87" s="1" t="str">
        <f aca="false">IF(Brasil!C87="","",Brasil!A87)</f>
        <v/>
      </c>
      <c r="D87" s="1" t="str">
        <f aca="false">IF(Brasil!C87="","",Brasil!E87)</f>
        <v/>
      </c>
      <c r="E87" s="1" t="str">
        <f aca="false">IF(Brasil!C87="","",Brasil!F87)</f>
        <v/>
      </c>
      <c r="F87" s="1" t="str">
        <f aca="false">IF(Brasil!C87="","",Brasil!D87)</f>
        <v/>
      </c>
      <c r="I87" s="1" t="str">
        <f aca="false">IF(Brasil!C87="","",Brasil!H87)</f>
        <v/>
      </c>
      <c r="J87" s="1" t="str">
        <f aca="false">IF(Brasil!C87="","",Brasil!D87*Brasil!H87)</f>
        <v/>
      </c>
      <c r="K87" s="1" t="str">
        <f aca="false">IF(Brasil!C87="","","BR")</f>
        <v/>
      </c>
      <c r="L87" s="1" t="str">
        <f aca="false">IF(Brasil!C87="","",IFERROR(INDEX(Gamma_Catalogo!$D$3:$D$1451,MATCH(Brasil!E87,Gamma_Catalogo!$A$3:$A$1451,0)),"Revisar Ip Code"))</f>
        <v/>
      </c>
      <c r="M87" s="1" t="str">
        <f aca="false">IF(Brasil!C87="","",IFERROR(INDEX(Gamma_Catalogo!$C$3:$C$1451,MATCH(Brasil!E87,Gamma_Catalogo!$A$3:$A$1451,0)),"Revisar Ip Code"))</f>
        <v/>
      </c>
      <c r="N87" s="1" t="str">
        <f aca="false">IF(Brasil!C87="","",IFERROR(INDEX(Gamma_Catalogo!$E$3:$E$1451,MATCH(Brasil!E87,Gamma_Catalogo!$A$3:$A$1451,0)),"Revisar Ip Code"))</f>
        <v/>
      </c>
      <c r="O87" s="1" t="str">
        <f aca="false">IF(Brasil!C87="","","Brasil")</f>
        <v/>
      </c>
    </row>
    <row r="88" customFormat="false" ht="15" hidden="false" customHeight="true" outlineLevel="0" collapsed="false">
      <c r="A88" s="1" t="str">
        <f aca="false">IF(Brasil!C88="","",IFERROR(INDEX(Mercados!$C$2:$C$32,MATCH(Brasil!B88,Mercados!$A$2:$A$32,0)),"Revisar Tscode"))</f>
        <v/>
      </c>
      <c r="B88" s="1" t="str">
        <f aca="false">IF(Brasil!C88="","",Brasil!C88)</f>
        <v/>
      </c>
      <c r="C88" s="1" t="str">
        <f aca="false">IF(Brasil!C88="","",Brasil!A88)</f>
        <v/>
      </c>
      <c r="D88" s="1" t="str">
        <f aca="false">IF(Brasil!C88="","",Brasil!E88)</f>
        <v/>
      </c>
      <c r="E88" s="1" t="str">
        <f aca="false">IF(Brasil!C88="","",Brasil!F88)</f>
        <v/>
      </c>
      <c r="F88" s="1" t="str">
        <f aca="false">IF(Brasil!C88="","",Brasil!D88)</f>
        <v/>
      </c>
      <c r="I88" s="1" t="str">
        <f aca="false">IF(Brasil!C88="","",Brasil!H88)</f>
        <v/>
      </c>
      <c r="J88" s="1" t="str">
        <f aca="false">IF(Brasil!C88="","",Brasil!D88*Brasil!H88)</f>
        <v/>
      </c>
      <c r="K88" s="1" t="str">
        <f aca="false">IF(Brasil!C88="","","BR")</f>
        <v/>
      </c>
      <c r="L88" s="1" t="str">
        <f aca="false">IF(Brasil!C88="","",IFERROR(INDEX(Gamma_Catalogo!$D$3:$D$1451,MATCH(Brasil!E88,Gamma_Catalogo!$A$3:$A$1451,0)),"Revisar Ip Code"))</f>
        <v/>
      </c>
      <c r="M88" s="1" t="str">
        <f aca="false">IF(Brasil!C88="","",IFERROR(INDEX(Gamma_Catalogo!$C$3:$C$1451,MATCH(Brasil!E88,Gamma_Catalogo!$A$3:$A$1451,0)),"Revisar Ip Code"))</f>
        <v/>
      </c>
      <c r="N88" s="1" t="str">
        <f aca="false">IF(Brasil!C88="","",IFERROR(INDEX(Gamma_Catalogo!$E$3:$E$1451,MATCH(Brasil!E88,Gamma_Catalogo!$A$3:$A$1451,0)),"Revisar Ip Code"))</f>
        <v/>
      </c>
      <c r="O88" s="1" t="str">
        <f aca="false">IF(Brasil!C88="","","Brasil")</f>
        <v/>
      </c>
    </row>
    <row r="89" customFormat="false" ht="15" hidden="false" customHeight="true" outlineLevel="0" collapsed="false">
      <c r="A89" s="1" t="str">
        <f aca="false">IF(Brasil!C89="","",IFERROR(INDEX(Mercados!$C$2:$C$32,MATCH(Brasil!B89,Mercados!$A$2:$A$32,0)),"Revisar Tscode"))</f>
        <v/>
      </c>
      <c r="B89" s="1" t="str">
        <f aca="false">IF(Brasil!C89="","",Brasil!C89)</f>
        <v/>
      </c>
      <c r="C89" s="1" t="str">
        <f aca="false">IF(Brasil!C89="","",Brasil!A89)</f>
        <v/>
      </c>
      <c r="D89" s="1" t="str">
        <f aca="false">IF(Brasil!C89="","",Brasil!E89)</f>
        <v/>
      </c>
      <c r="E89" s="1" t="str">
        <f aca="false">IF(Brasil!C89="","",Brasil!F89)</f>
        <v/>
      </c>
      <c r="F89" s="1" t="str">
        <f aca="false">IF(Brasil!C89="","",Brasil!D89)</f>
        <v/>
      </c>
      <c r="I89" s="1" t="str">
        <f aca="false">IF(Brasil!C89="","",Brasil!H89)</f>
        <v/>
      </c>
      <c r="J89" s="1" t="str">
        <f aca="false">IF(Brasil!C89="","",Brasil!D89*Brasil!H89)</f>
        <v/>
      </c>
      <c r="K89" s="1" t="str">
        <f aca="false">IF(Brasil!C89="","","BR")</f>
        <v/>
      </c>
      <c r="L89" s="1" t="str">
        <f aca="false">IF(Brasil!C89="","",IFERROR(INDEX(Gamma_Catalogo!$D$3:$D$1451,MATCH(Brasil!E89,Gamma_Catalogo!$A$3:$A$1451,0)),"Revisar Ip Code"))</f>
        <v/>
      </c>
      <c r="M89" s="1" t="str">
        <f aca="false">IF(Brasil!C89="","",IFERROR(INDEX(Gamma_Catalogo!$C$3:$C$1451,MATCH(Brasil!E89,Gamma_Catalogo!$A$3:$A$1451,0)),"Revisar Ip Code"))</f>
        <v/>
      </c>
      <c r="N89" s="1" t="str">
        <f aca="false">IF(Brasil!C89="","",IFERROR(INDEX(Gamma_Catalogo!$E$3:$E$1451,MATCH(Brasil!E89,Gamma_Catalogo!$A$3:$A$1451,0)),"Revisar Ip Code"))</f>
        <v/>
      </c>
      <c r="O89" s="1" t="str">
        <f aca="false">IF(Brasil!C89="","","Brasil")</f>
        <v/>
      </c>
    </row>
    <row r="90" customFormat="false" ht="15" hidden="false" customHeight="true" outlineLevel="0" collapsed="false">
      <c r="A90" s="1" t="str">
        <f aca="false">IF(Brasil!C90="","",IFERROR(INDEX(Mercados!$C$2:$C$32,MATCH(Brasil!B90,Mercados!$A$2:$A$32,0)),"Revisar Tscode"))</f>
        <v/>
      </c>
      <c r="B90" s="1" t="str">
        <f aca="false">IF(Brasil!C90="","",Brasil!C90)</f>
        <v/>
      </c>
      <c r="C90" s="1" t="str">
        <f aca="false">IF(Brasil!C90="","",Brasil!A90)</f>
        <v/>
      </c>
      <c r="D90" s="1" t="str">
        <f aca="false">IF(Brasil!C90="","",Brasil!E90)</f>
        <v/>
      </c>
      <c r="E90" s="1" t="str">
        <f aca="false">IF(Brasil!C90="","",Brasil!F90)</f>
        <v/>
      </c>
      <c r="F90" s="1" t="str">
        <f aca="false">IF(Brasil!C90="","",Brasil!D90)</f>
        <v/>
      </c>
      <c r="I90" s="1" t="str">
        <f aca="false">IF(Brasil!C90="","",Brasil!H90)</f>
        <v/>
      </c>
      <c r="J90" s="1" t="str">
        <f aca="false">IF(Brasil!C90="","",Brasil!D90*Brasil!H90)</f>
        <v/>
      </c>
      <c r="K90" s="1" t="str">
        <f aca="false">IF(Brasil!C90="","","BR")</f>
        <v/>
      </c>
      <c r="L90" s="1" t="str">
        <f aca="false">IF(Brasil!C90="","",IFERROR(INDEX(Gamma_Catalogo!$D$3:$D$1451,MATCH(Brasil!E90,Gamma_Catalogo!$A$3:$A$1451,0)),"Revisar Ip Code"))</f>
        <v/>
      </c>
      <c r="M90" s="1" t="str">
        <f aca="false">IF(Brasil!C90="","",IFERROR(INDEX(Gamma_Catalogo!$C$3:$C$1451,MATCH(Brasil!E90,Gamma_Catalogo!$A$3:$A$1451,0)),"Revisar Ip Code"))</f>
        <v/>
      </c>
      <c r="N90" s="1" t="str">
        <f aca="false">IF(Brasil!C90="","",IFERROR(INDEX(Gamma_Catalogo!$E$3:$E$1451,MATCH(Brasil!E90,Gamma_Catalogo!$A$3:$A$1451,0)),"Revisar Ip Code"))</f>
        <v/>
      </c>
      <c r="O90" s="1" t="str">
        <f aca="false">IF(Brasil!C90="","","Brasil")</f>
        <v/>
      </c>
    </row>
    <row r="91" customFormat="false" ht="15" hidden="false" customHeight="true" outlineLevel="0" collapsed="false">
      <c r="A91" s="1" t="str">
        <f aca="false">IF(Brasil!C91="","",IFERROR(INDEX(Mercados!$C$2:$C$32,MATCH(Brasil!B91,Mercados!$A$2:$A$32,0)),"Revisar Tscode"))</f>
        <v/>
      </c>
      <c r="B91" s="1" t="str">
        <f aca="false">IF(Brasil!C91="","",Brasil!C91)</f>
        <v/>
      </c>
      <c r="C91" s="1" t="str">
        <f aca="false">IF(Brasil!C91="","",Brasil!A91)</f>
        <v/>
      </c>
      <c r="D91" s="1" t="str">
        <f aca="false">IF(Brasil!C91="","",Brasil!E91)</f>
        <v/>
      </c>
      <c r="E91" s="1" t="str">
        <f aca="false">IF(Brasil!C91="","",Brasil!F91)</f>
        <v/>
      </c>
      <c r="F91" s="1" t="str">
        <f aca="false">IF(Brasil!C91="","",Brasil!D91)</f>
        <v/>
      </c>
      <c r="I91" s="1" t="str">
        <f aca="false">IF(Brasil!C91="","",Brasil!H91)</f>
        <v/>
      </c>
      <c r="J91" s="1" t="str">
        <f aca="false">IF(Brasil!C91="","",Brasil!D91*Brasil!H91)</f>
        <v/>
      </c>
      <c r="K91" s="1" t="str">
        <f aca="false">IF(Brasil!C91="","","BR")</f>
        <v/>
      </c>
      <c r="L91" s="1" t="str">
        <f aca="false">IF(Brasil!C91="","",IFERROR(INDEX(Gamma_Catalogo!$D$3:$D$1451,MATCH(Brasil!E91,Gamma_Catalogo!$A$3:$A$1451,0)),"Revisar Ip Code"))</f>
        <v/>
      </c>
      <c r="M91" s="1" t="str">
        <f aca="false">IF(Brasil!C91="","",IFERROR(INDEX(Gamma_Catalogo!$C$3:$C$1451,MATCH(Brasil!E91,Gamma_Catalogo!$A$3:$A$1451,0)),"Revisar Ip Code"))</f>
        <v/>
      </c>
      <c r="N91" s="1" t="str">
        <f aca="false">IF(Brasil!C91="","",IFERROR(INDEX(Gamma_Catalogo!$E$3:$E$1451,MATCH(Brasil!E91,Gamma_Catalogo!$A$3:$A$1451,0)),"Revisar Ip Code"))</f>
        <v/>
      </c>
      <c r="O91" s="1" t="str">
        <f aca="false">IF(Brasil!C91="","","Brasil")</f>
        <v/>
      </c>
    </row>
    <row r="92" customFormat="false" ht="15" hidden="false" customHeight="true" outlineLevel="0" collapsed="false">
      <c r="A92" s="1" t="str">
        <f aca="false">IF(Brasil!C92="","",IFERROR(INDEX(Mercados!$C$2:$C$32,MATCH(Brasil!B92,Mercados!$A$2:$A$32,0)),"Revisar Tscode"))</f>
        <v/>
      </c>
      <c r="B92" s="1" t="str">
        <f aca="false">IF(Brasil!C92="","",Brasil!C92)</f>
        <v/>
      </c>
      <c r="C92" s="1" t="str">
        <f aca="false">IF(Brasil!C92="","",Brasil!A92)</f>
        <v/>
      </c>
      <c r="D92" s="1" t="str">
        <f aca="false">IF(Brasil!C92="","",Brasil!E92)</f>
        <v/>
      </c>
      <c r="E92" s="1" t="str">
        <f aca="false">IF(Brasil!C92="","",Brasil!F92)</f>
        <v/>
      </c>
      <c r="F92" s="1" t="str">
        <f aca="false">IF(Brasil!C92="","",Brasil!D92)</f>
        <v/>
      </c>
      <c r="I92" s="1" t="str">
        <f aca="false">IF(Brasil!C92="","",Brasil!H92)</f>
        <v/>
      </c>
      <c r="J92" s="1" t="str">
        <f aca="false">IF(Brasil!C92="","",Brasil!D92*Brasil!H92)</f>
        <v/>
      </c>
      <c r="K92" s="1" t="str">
        <f aca="false">IF(Brasil!C92="","","BR")</f>
        <v/>
      </c>
      <c r="L92" s="1" t="str">
        <f aca="false">IF(Brasil!C92="","",IFERROR(INDEX(Gamma_Catalogo!$D$3:$D$1451,MATCH(Brasil!E92,Gamma_Catalogo!$A$3:$A$1451,0)),"Revisar Ip Code"))</f>
        <v/>
      </c>
      <c r="M92" s="1" t="str">
        <f aca="false">IF(Brasil!C92="","",IFERROR(INDEX(Gamma_Catalogo!$C$3:$C$1451,MATCH(Brasil!E92,Gamma_Catalogo!$A$3:$A$1451,0)),"Revisar Ip Code"))</f>
        <v/>
      </c>
      <c r="N92" s="1" t="str">
        <f aca="false">IF(Brasil!C92="","",IFERROR(INDEX(Gamma_Catalogo!$E$3:$E$1451,MATCH(Brasil!E92,Gamma_Catalogo!$A$3:$A$1451,0)),"Revisar Ip Code"))</f>
        <v/>
      </c>
      <c r="O92" s="1" t="str">
        <f aca="false">IF(Brasil!C92="","","Brasil")</f>
        <v/>
      </c>
    </row>
    <row r="93" customFormat="false" ht="15" hidden="false" customHeight="true" outlineLevel="0" collapsed="false">
      <c r="A93" s="1" t="str">
        <f aca="false">IF(Brasil!C93="","",IFERROR(INDEX(Mercados!$C$2:$C$32,MATCH(Brasil!B93,Mercados!$A$2:$A$32,0)),"Revisar Tscode"))</f>
        <v/>
      </c>
      <c r="B93" s="1" t="str">
        <f aca="false">IF(Brasil!C93="","",Brasil!C93)</f>
        <v/>
      </c>
      <c r="C93" s="1" t="str">
        <f aca="false">IF(Brasil!C93="","",Brasil!A93)</f>
        <v/>
      </c>
      <c r="D93" s="1" t="str">
        <f aca="false">IF(Brasil!C93="","",Brasil!E93)</f>
        <v/>
      </c>
      <c r="E93" s="1" t="str">
        <f aca="false">IF(Brasil!C93="","",Brasil!F93)</f>
        <v/>
      </c>
      <c r="F93" s="1" t="str">
        <f aca="false">IF(Brasil!C93="","",Brasil!D93)</f>
        <v/>
      </c>
      <c r="I93" s="1" t="str">
        <f aca="false">IF(Brasil!C93="","",Brasil!H93)</f>
        <v/>
      </c>
      <c r="J93" s="1" t="str">
        <f aca="false">IF(Brasil!C93="","",Brasil!D93*Brasil!H93)</f>
        <v/>
      </c>
      <c r="K93" s="1" t="str">
        <f aca="false">IF(Brasil!C93="","","BR")</f>
        <v/>
      </c>
      <c r="L93" s="1" t="str">
        <f aca="false">IF(Brasil!C93="","",IFERROR(INDEX(Gamma_Catalogo!$D$3:$D$1451,MATCH(Brasil!E93,Gamma_Catalogo!$A$3:$A$1451,0)),"Revisar Ip Code"))</f>
        <v/>
      </c>
      <c r="M93" s="1" t="str">
        <f aca="false">IF(Brasil!C93="","",IFERROR(INDEX(Gamma_Catalogo!$C$3:$C$1451,MATCH(Brasil!E93,Gamma_Catalogo!$A$3:$A$1451,0)),"Revisar Ip Code"))</f>
        <v/>
      </c>
      <c r="N93" s="1" t="str">
        <f aca="false">IF(Brasil!C93="","",IFERROR(INDEX(Gamma_Catalogo!$E$3:$E$1451,MATCH(Brasil!E93,Gamma_Catalogo!$A$3:$A$1451,0)),"Revisar Ip Code"))</f>
        <v/>
      </c>
      <c r="O93" s="1" t="str">
        <f aca="false">IF(Brasil!C93="","","Brasil")</f>
        <v/>
      </c>
    </row>
    <row r="94" customFormat="false" ht="15" hidden="false" customHeight="true" outlineLevel="0" collapsed="false">
      <c r="A94" s="1" t="str">
        <f aca="false">IF(Brasil!C94="","",IFERROR(INDEX(Mercados!$C$2:$C$32,MATCH(Brasil!B94,Mercados!$A$2:$A$32,0)),"Revisar Tscode"))</f>
        <v/>
      </c>
      <c r="B94" s="1" t="str">
        <f aca="false">IF(Brasil!C94="","",Brasil!C94)</f>
        <v/>
      </c>
      <c r="C94" s="1" t="str">
        <f aca="false">IF(Brasil!C94="","",Brasil!A94)</f>
        <v/>
      </c>
      <c r="D94" s="1" t="str">
        <f aca="false">IF(Brasil!C94="","",Brasil!E94)</f>
        <v/>
      </c>
      <c r="E94" s="1" t="str">
        <f aca="false">IF(Brasil!C94="","",Brasil!F94)</f>
        <v/>
      </c>
      <c r="F94" s="1" t="str">
        <f aca="false">IF(Brasil!C94="","",Brasil!D94)</f>
        <v/>
      </c>
      <c r="I94" s="1" t="str">
        <f aca="false">IF(Brasil!C94="","",Brasil!H94)</f>
        <v/>
      </c>
      <c r="J94" s="1" t="str">
        <f aca="false">IF(Brasil!C94="","",Brasil!D94*Brasil!H94)</f>
        <v/>
      </c>
      <c r="K94" s="1" t="str">
        <f aca="false">IF(Brasil!C94="","","BR")</f>
        <v/>
      </c>
      <c r="L94" s="1" t="str">
        <f aca="false">IF(Brasil!C94="","",IFERROR(INDEX(Gamma_Catalogo!$D$3:$D$1451,MATCH(Brasil!E94,Gamma_Catalogo!$A$3:$A$1451,0)),"Revisar Ip Code"))</f>
        <v/>
      </c>
      <c r="M94" s="1" t="str">
        <f aca="false">IF(Brasil!C94="","",IFERROR(INDEX(Gamma_Catalogo!$C$3:$C$1451,MATCH(Brasil!E94,Gamma_Catalogo!$A$3:$A$1451,0)),"Revisar Ip Code"))</f>
        <v/>
      </c>
      <c r="N94" s="1" t="str">
        <f aca="false">IF(Brasil!C94="","",IFERROR(INDEX(Gamma_Catalogo!$E$3:$E$1451,MATCH(Brasil!E94,Gamma_Catalogo!$A$3:$A$1451,0)),"Revisar Ip Code"))</f>
        <v/>
      </c>
      <c r="O94" s="1" t="str">
        <f aca="false">IF(Brasil!C94="","","Brasil")</f>
        <v/>
      </c>
    </row>
    <row r="95" customFormat="false" ht="15" hidden="false" customHeight="true" outlineLevel="0" collapsed="false">
      <c r="A95" s="1" t="str">
        <f aca="false">IF(Brasil!C95="","",IFERROR(INDEX(Mercados!$C$2:$C$32,MATCH(Brasil!B95,Mercados!$A$2:$A$32,0)),"Revisar Tscode"))</f>
        <v/>
      </c>
      <c r="B95" s="1" t="str">
        <f aca="false">IF(Brasil!C95="","",Brasil!C95)</f>
        <v/>
      </c>
      <c r="C95" s="1" t="str">
        <f aca="false">IF(Brasil!C95="","",Brasil!A95)</f>
        <v/>
      </c>
      <c r="D95" s="1" t="str">
        <f aca="false">IF(Brasil!C95="","",Brasil!E95)</f>
        <v/>
      </c>
      <c r="E95" s="1" t="str">
        <f aca="false">IF(Brasil!C95="","",Brasil!F95)</f>
        <v/>
      </c>
      <c r="F95" s="1" t="str">
        <f aca="false">IF(Brasil!C95="","",Brasil!D95)</f>
        <v/>
      </c>
      <c r="I95" s="1" t="str">
        <f aca="false">IF(Brasil!C95="","",Brasil!H95)</f>
        <v/>
      </c>
      <c r="J95" s="1" t="str">
        <f aca="false">IF(Brasil!C95="","",Brasil!D95*Brasil!H95)</f>
        <v/>
      </c>
      <c r="K95" s="1" t="str">
        <f aca="false">IF(Brasil!C95="","","BR")</f>
        <v/>
      </c>
      <c r="L95" s="1" t="str">
        <f aca="false">IF(Brasil!C95="","",IFERROR(INDEX(Gamma_Catalogo!$D$3:$D$1451,MATCH(Brasil!E95,Gamma_Catalogo!$A$3:$A$1451,0)),"Revisar Ip Code"))</f>
        <v/>
      </c>
      <c r="M95" s="1" t="str">
        <f aca="false">IF(Brasil!C95="","",IFERROR(INDEX(Gamma_Catalogo!$C$3:$C$1451,MATCH(Brasil!E95,Gamma_Catalogo!$A$3:$A$1451,0)),"Revisar Ip Code"))</f>
        <v/>
      </c>
      <c r="N95" s="1" t="str">
        <f aca="false">IF(Brasil!C95="","",IFERROR(INDEX(Gamma_Catalogo!$E$3:$E$1451,MATCH(Brasil!E95,Gamma_Catalogo!$A$3:$A$1451,0)),"Revisar Ip Code"))</f>
        <v/>
      </c>
      <c r="O95" s="1" t="str">
        <f aca="false">IF(Brasil!C95="","","Brasil")</f>
        <v/>
      </c>
    </row>
    <row r="96" customFormat="false" ht="15" hidden="false" customHeight="true" outlineLevel="0" collapsed="false">
      <c r="A96" s="1" t="str">
        <f aca="false">IF(Brasil!C96="","",IFERROR(INDEX(Mercados!$C$2:$C$32,MATCH(Brasil!B96,Mercados!$A$2:$A$32,0)),"Revisar Tscode"))</f>
        <v/>
      </c>
      <c r="B96" s="1" t="str">
        <f aca="false">IF(Brasil!C96="","",Brasil!C96)</f>
        <v/>
      </c>
      <c r="C96" s="1" t="str">
        <f aca="false">IF(Brasil!C96="","",Brasil!A96)</f>
        <v/>
      </c>
      <c r="D96" s="1" t="str">
        <f aca="false">IF(Brasil!C96="","",Brasil!E96)</f>
        <v/>
      </c>
      <c r="E96" s="1" t="str">
        <f aca="false">IF(Brasil!C96="","",Brasil!F96)</f>
        <v/>
      </c>
      <c r="F96" s="1" t="str">
        <f aca="false">IF(Brasil!C96="","",Brasil!D96)</f>
        <v/>
      </c>
      <c r="I96" s="1" t="str">
        <f aca="false">IF(Brasil!C96="","",Brasil!H96)</f>
        <v/>
      </c>
      <c r="J96" s="1" t="str">
        <f aca="false">IF(Brasil!C96="","",Brasil!D96*Brasil!H96)</f>
        <v/>
      </c>
      <c r="K96" s="1" t="str">
        <f aca="false">IF(Brasil!C96="","","BR")</f>
        <v/>
      </c>
      <c r="L96" s="1" t="str">
        <f aca="false">IF(Brasil!C96="","",IFERROR(INDEX(Gamma_Catalogo!$D$3:$D$1451,MATCH(Brasil!E96,Gamma_Catalogo!$A$3:$A$1451,0)),"Revisar Ip Code"))</f>
        <v/>
      </c>
      <c r="M96" s="1" t="str">
        <f aca="false">IF(Brasil!C96="","",IFERROR(INDEX(Gamma_Catalogo!$C$3:$C$1451,MATCH(Brasil!E96,Gamma_Catalogo!$A$3:$A$1451,0)),"Revisar Ip Code"))</f>
        <v/>
      </c>
      <c r="N96" s="1" t="str">
        <f aca="false">IF(Brasil!C96="","",IFERROR(INDEX(Gamma_Catalogo!$E$3:$E$1451,MATCH(Brasil!E96,Gamma_Catalogo!$A$3:$A$1451,0)),"Revisar Ip Code"))</f>
        <v/>
      </c>
      <c r="O96" s="1" t="str">
        <f aca="false">IF(Brasil!C96="","","Brasil")</f>
        <v/>
      </c>
    </row>
    <row r="97" customFormat="false" ht="15" hidden="false" customHeight="true" outlineLevel="0" collapsed="false">
      <c r="A97" s="1" t="str">
        <f aca="false">IF(Brasil!C97="","",IFERROR(INDEX(Mercados!$C$2:$C$32,MATCH(Brasil!B97,Mercados!$A$2:$A$32,0)),"Revisar Tscode"))</f>
        <v/>
      </c>
      <c r="B97" s="1" t="str">
        <f aca="false">IF(Brasil!C97="","",Brasil!C97)</f>
        <v/>
      </c>
      <c r="C97" s="1" t="str">
        <f aca="false">IF(Brasil!C97="","",Brasil!A97)</f>
        <v/>
      </c>
      <c r="D97" s="1" t="str">
        <f aca="false">IF(Brasil!C97="","",Brasil!E97)</f>
        <v/>
      </c>
      <c r="E97" s="1" t="str">
        <f aca="false">IF(Brasil!C97="","",Brasil!F97)</f>
        <v/>
      </c>
      <c r="F97" s="1" t="str">
        <f aca="false">IF(Brasil!C97="","",Brasil!D97)</f>
        <v/>
      </c>
      <c r="I97" s="1" t="str">
        <f aca="false">IF(Brasil!C97="","",Brasil!H97)</f>
        <v/>
      </c>
      <c r="J97" s="1" t="str">
        <f aca="false">IF(Brasil!C97="","",Brasil!D97*Brasil!H97)</f>
        <v/>
      </c>
      <c r="K97" s="1" t="str">
        <f aca="false">IF(Brasil!C97="","","BR")</f>
        <v/>
      </c>
      <c r="L97" s="1" t="str">
        <f aca="false">IF(Brasil!C97="","",IFERROR(INDEX(Gamma_Catalogo!$D$3:$D$1451,MATCH(Brasil!E97,Gamma_Catalogo!$A$3:$A$1451,0)),"Revisar Ip Code"))</f>
        <v/>
      </c>
      <c r="M97" s="1" t="str">
        <f aca="false">IF(Brasil!C97="","",IFERROR(INDEX(Gamma_Catalogo!$C$3:$C$1451,MATCH(Brasil!E97,Gamma_Catalogo!$A$3:$A$1451,0)),"Revisar Ip Code"))</f>
        <v/>
      </c>
      <c r="N97" s="1" t="str">
        <f aca="false">IF(Brasil!C97="","",IFERROR(INDEX(Gamma_Catalogo!$E$3:$E$1451,MATCH(Brasil!E97,Gamma_Catalogo!$A$3:$A$1451,0)),"Revisar Ip Code"))</f>
        <v/>
      </c>
      <c r="O97" s="1" t="str">
        <f aca="false">IF(Brasil!C97="","","Brasil")</f>
        <v/>
      </c>
    </row>
    <row r="98" customFormat="false" ht="15" hidden="false" customHeight="true" outlineLevel="0" collapsed="false">
      <c r="A98" s="1" t="str">
        <f aca="false">IF(Brasil!C98="","",IFERROR(INDEX(Mercados!$C$2:$C$32,MATCH(Brasil!B98,Mercados!$A$2:$A$32,0)),"Revisar Tscode"))</f>
        <v/>
      </c>
      <c r="B98" s="1" t="str">
        <f aca="false">IF(Brasil!C98="","",Brasil!C98)</f>
        <v/>
      </c>
      <c r="C98" s="1" t="str">
        <f aca="false">IF(Brasil!C98="","",Brasil!A98)</f>
        <v/>
      </c>
      <c r="D98" s="1" t="str">
        <f aca="false">IF(Brasil!C98="","",Brasil!E98)</f>
        <v/>
      </c>
      <c r="E98" s="1" t="str">
        <f aca="false">IF(Brasil!C98="","",Brasil!F98)</f>
        <v/>
      </c>
      <c r="F98" s="1" t="str">
        <f aca="false">IF(Brasil!C98="","",Brasil!D98)</f>
        <v/>
      </c>
      <c r="I98" s="1" t="str">
        <f aca="false">IF(Brasil!C98="","",Brasil!H98)</f>
        <v/>
      </c>
      <c r="J98" s="1" t="str">
        <f aca="false">IF(Brasil!C98="","",Brasil!D98*Brasil!H98)</f>
        <v/>
      </c>
      <c r="K98" s="1" t="str">
        <f aca="false">IF(Brasil!C98="","","BR")</f>
        <v/>
      </c>
      <c r="L98" s="1" t="str">
        <f aca="false">IF(Brasil!C98="","",IFERROR(INDEX(Gamma_Catalogo!$D$3:$D$1451,MATCH(Brasil!E98,Gamma_Catalogo!$A$3:$A$1451,0)),"Revisar Ip Code"))</f>
        <v/>
      </c>
      <c r="M98" s="1" t="str">
        <f aca="false">IF(Brasil!C98="","",IFERROR(INDEX(Gamma_Catalogo!$C$3:$C$1451,MATCH(Brasil!E98,Gamma_Catalogo!$A$3:$A$1451,0)),"Revisar Ip Code"))</f>
        <v/>
      </c>
      <c r="N98" s="1" t="str">
        <f aca="false">IF(Brasil!C98="","",IFERROR(INDEX(Gamma_Catalogo!$E$3:$E$1451,MATCH(Brasil!E98,Gamma_Catalogo!$A$3:$A$1451,0)),"Revisar Ip Code"))</f>
        <v/>
      </c>
      <c r="O98" s="1" t="str">
        <f aca="false">IF(Brasil!C98="","","Brasil")</f>
        <v/>
      </c>
    </row>
    <row r="99" customFormat="false" ht="15" hidden="false" customHeight="true" outlineLevel="0" collapsed="false">
      <c r="A99" s="1" t="str">
        <f aca="false">IF(Brasil!C99="","",IFERROR(INDEX(Mercados!$C$2:$C$32,MATCH(Brasil!B99,Mercados!$A$2:$A$32,0)),"Revisar Tscode"))</f>
        <v/>
      </c>
      <c r="B99" s="1" t="str">
        <f aca="false">IF(Brasil!C99="","",Brasil!C99)</f>
        <v/>
      </c>
      <c r="C99" s="1" t="str">
        <f aca="false">IF(Brasil!C99="","",Brasil!A99)</f>
        <v/>
      </c>
      <c r="D99" s="1" t="str">
        <f aca="false">IF(Brasil!C99="","",Brasil!E99)</f>
        <v/>
      </c>
      <c r="E99" s="1" t="str">
        <f aca="false">IF(Brasil!C99="","",Brasil!F99)</f>
        <v/>
      </c>
      <c r="F99" s="1" t="str">
        <f aca="false">IF(Brasil!C99="","",Brasil!D99)</f>
        <v/>
      </c>
      <c r="I99" s="1" t="str">
        <f aca="false">IF(Brasil!C99="","",Brasil!H99)</f>
        <v/>
      </c>
      <c r="J99" s="1" t="str">
        <f aca="false">IF(Brasil!C99="","",Brasil!D99*Brasil!H99)</f>
        <v/>
      </c>
      <c r="K99" s="1" t="str">
        <f aca="false">IF(Brasil!C99="","","BR")</f>
        <v/>
      </c>
      <c r="L99" s="1" t="str">
        <f aca="false">IF(Brasil!C99="","",IFERROR(INDEX(Gamma_Catalogo!$D$3:$D$1451,MATCH(Brasil!E99,Gamma_Catalogo!$A$3:$A$1451,0)),"Revisar Ip Code"))</f>
        <v/>
      </c>
      <c r="M99" s="1" t="str">
        <f aca="false">IF(Brasil!C99="","",IFERROR(INDEX(Gamma_Catalogo!$C$3:$C$1451,MATCH(Brasil!E99,Gamma_Catalogo!$A$3:$A$1451,0)),"Revisar Ip Code"))</f>
        <v/>
      </c>
      <c r="N99" s="1" t="str">
        <f aca="false">IF(Brasil!C99="","",IFERROR(INDEX(Gamma_Catalogo!$E$3:$E$1451,MATCH(Brasil!E99,Gamma_Catalogo!$A$3:$A$1451,0)),"Revisar Ip Code"))</f>
        <v/>
      </c>
      <c r="O99" s="1" t="str">
        <f aca="false">IF(Brasil!C99="","","Brasil")</f>
        <v/>
      </c>
    </row>
    <row r="100" customFormat="false" ht="15" hidden="false" customHeight="true" outlineLevel="0" collapsed="false">
      <c r="A100" s="1" t="str">
        <f aca="false">IF(Brasil!C100="","",IFERROR(INDEX(Mercados!$C$2:$C$32,MATCH(Brasil!B100,Mercados!$A$2:$A$32,0)),"Revisar Tscode"))</f>
        <v/>
      </c>
      <c r="B100" s="1" t="str">
        <f aca="false">IF(Brasil!C100="","",Brasil!C100)</f>
        <v/>
      </c>
      <c r="C100" s="1" t="str">
        <f aca="false">IF(Brasil!C100="","",Brasil!A100)</f>
        <v/>
      </c>
      <c r="D100" s="1" t="str">
        <f aca="false">IF(Brasil!C100="","",Brasil!E100)</f>
        <v/>
      </c>
      <c r="E100" s="1" t="str">
        <f aca="false">IF(Brasil!C100="","",Brasil!F100)</f>
        <v/>
      </c>
      <c r="F100" s="1" t="str">
        <f aca="false">IF(Brasil!C100="","",Brasil!D100)</f>
        <v/>
      </c>
      <c r="I100" s="1" t="str">
        <f aca="false">IF(Brasil!C100="","",Brasil!H100)</f>
        <v/>
      </c>
      <c r="J100" s="1" t="str">
        <f aca="false">IF(Brasil!C100="","",Brasil!D100*Brasil!H100)</f>
        <v/>
      </c>
      <c r="K100" s="1" t="str">
        <f aca="false">IF(Brasil!C100="","","BR")</f>
        <v/>
      </c>
      <c r="L100" s="1" t="str">
        <f aca="false">IF(Brasil!C100="","",IFERROR(INDEX(Gamma_Catalogo!$D$3:$D$1451,MATCH(Brasil!E100,Gamma_Catalogo!$A$3:$A$1451,0)),"Revisar Ip Code"))</f>
        <v/>
      </c>
      <c r="M100" s="1" t="str">
        <f aca="false">IF(Brasil!C100="","",IFERROR(INDEX(Gamma_Catalogo!$C$3:$C$1451,MATCH(Brasil!E100,Gamma_Catalogo!$A$3:$A$1451,0)),"Revisar Ip Code"))</f>
        <v/>
      </c>
      <c r="N100" s="1" t="str">
        <f aca="false">IF(Brasil!C100="","",IFERROR(INDEX(Gamma_Catalogo!$E$3:$E$1451,MATCH(Brasil!E100,Gamma_Catalogo!$A$3:$A$1451,0)),"Revisar Ip Code"))</f>
        <v/>
      </c>
      <c r="O100" s="1" t="str">
        <f aca="false">IF(Brasil!C100="","","Brasil")</f>
        <v/>
      </c>
    </row>
    <row r="101" customFormat="false" ht="15" hidden="false" customHeight="true" outlineLevel="0" collapsed="false">
      <c r="A101" s="1" t="str">
        <f aca="false">IF(Brasil!C101="","",IFERROR(INDEX(Mercados!$C$2:$C$32,MATCH(Brasil!B101,Mercados!$A$2:$A$32,0)),"Revisar Tscode"))</f>
        <v/>
      </c>
      <c r="B101" s="1" t="str">
        <f aca="false">IF(Brasil!C101="","",Brasil!C101)</f>
        <v/>
      </c>
      <c r="C101" s="1" t="str">
        <f aca="false">IF(Brasil!C101="","",Brasil!A101)</f>
        <v/>
      </c>
      <c r="D101" s="1" t="str">
        <f aca="false">IF(Brasil!C101="","",Brasil!E101)</f>
        <v/>
      </c>
      <c r="E101" s="1" t="str">
        <f aca="false">IF(Brasil!C101="","",Brasil!F101)</f>
        <v/>
      </c>
      <c r="F101" s="1" t="str">
        <f aca="false">IF(Brasil!C101="","",Brasil!D101)</f>
        <v/>
      </c>
      <c r="I101" s="1" t="str">
        <f aca="false">IF(Brasil!C101="","",Brasil!H101)</f>
        <v/>
      </c>
      <c r="J101" s="1" t="str">
        <f aca="false">IF(Brasil!C101="","",Brasil!D101*Brasil!H101)</f>
        <v/>
      </c>
      <c r="K101" s="1" t="str">
        <f aca="false">IF(Brasil!C101="","","BR")</f>
        <v/>
      </c>
      <c r="L101" s="1" t="str">
        <f aca="false">IF(Brasil!C101="","",IFERROR(INDEX(Gamma_Catalogo!$D$3:$D$1451,MATCH(Brasil!E101,Gamma_Catalogo!$A$3:$A$1451,0)),"Revisar Ip Code"))</f>
        <v/>
      </c>
      <c r="M101" s="1" t="str">
        <f aca="false">IF(Brasil!C101="","",IFERROR(INDEX(Gamma_Catalogo!$C$3:$C$1451,MATCH(Brasil!E101,Gamma_Catalogo!$A$3:$A$1451,0)),"Revisar Ip Code"))</f>
        <v/>
      </c>
      <c r="N101" s="1" t="str">
        <f aca="false">IF(Brasil!C101="","",IFERROR(INDEX(Gamma_Catalogo!$E$3:$E$1451,MATCH(Brasil!E101,Gamma_Catalogo!$A$3:$A$1451,0)),"Revisar Ip Code"))</f>
        <v/>
      </c>
      <c r="O101" s="1" t="str">
        <f aca="false">IF(Brasil!C101="","","Brasil")</f>
        <v/>
      </c>
    </row>
    <row r="102" customFormat="false" ht="15" hidden="false" customHeight="true" outlineLevel="0" collapsed="false">
      <c r="A102" s="1" t="str">
        <f aca="false">IF(Brasil!C102="","",IFERROR(INDEX(Mercados!$C$2:$C$32,MATCH(Brasil!B102,Mercados!$A$2:$A$32,0)),"Revisar Tscode"))</f>
        <v/>
      </c>
      <c r="B102" s="1" t="str">
        <f aca="false">IF(Brasil!C102="","",Brasil!C102)</f>
        <v/>
      </c>
      <c r="C102" s="1" t="str">
        <f aca="false">IF(Brasil!C102="","",Brasil!A102)</f>
        <v/>
      </c>
      <c r="D102" s="1" t="str">
        <f aca="false">IF(Brasil!C102="","",Brasil!E102)</f>
        <v/>
      </c>
      <c r="E102" s="1" t="str">
        <f aca="false">IF(Brasil!C102="","",Brasil!F102)</f>
        <v/>
      </c>
      <c r="F102" s="1" t="str">
        <f aca="false">IF(Brasil!C102="","",Brasil!D102)</f>
        <v/>
      </c>
      <c r="I102" s="1" t="str">
        <f aca="false">IF(Brasil!C102="","",Brasil!H102)</f>
        <v/>
      </c>
      <c r="J102" s="1" t="str">
        <f aca="false">IF(Brasil!C102="","",Brasil!D102*Brasil!H102)</f>
        <v/>
      </c>
      <c r="K102" s="1" t="str">
        <f aca="false">IF(Brasil!C102="","","BR")</f>
        <v/>
      </c>
      <c r="L102" s="1" t="str">
        <f aca="false">IF(Brasil!C102="","",IFERROR(INDEX(Gamma_Catalogo!$D$3:$D$1451,MATCH(Brasil!E102,Gamma_Catalogo!$A$3:$A$1451,0)),"Revisar Ip Code"))</f>
        <v/>
      </c>
      <c r="M102" s="1" t="str">
        <f aca="false">IF(Brasil!C102="","",IFERROR(INDEX(Gamma_Catalogo!$C$3:$C$1451,MATCH(Brasil!E102,Gamma_Catalogo!$A$3:$A$1451,0)),"Revisar Ip Code"))</f>
        <v/>
      </c>
      <c r="N102" s="1" t="str">
        <f aca="false">IF(Brasil!C102="","",IFERROR(INDEX(Gamma_Catalogo!$E$3:$E$1451,MATCH(Brasil!E102,Gamma_Catalogo!$A$3:$A$1451,0)),"Revisar Ip Code"))</f>
        <v/>
      </c>
      <c r="O102" s="1" t="str">
        <f aca="false">IF(Brasil!C102="","","Brasil")</f>
        <v/>
      </c>
    </row>
    <row r="103" customFormat="false" ht="15" hidden="false" customHeight="true" outlineLevel="0" collapsed="false">
      <c r="A103" s="1" t="str">
        <f aca="false">IF(Brasil!C103="","",IFERROR(INDEX(Mercados!$C$2:$C$32,MATCH(Brasil!B103,Mercados!$A$2:$A$32,0)),"Revisar Tscode"))</f>
        <v/>
      </c>
      <c r="B103" s="1" t="str">
        <f aca="false">IF(Brasil!C103="","",Brasil!C103)</f>
        <v/>
      </c>
      <c r="C103" s="1" t="str">
        <f aca="false">IF(Brasil!C103="","",Brasil!A103)</f>
        <v/>
      </c>
      <c r="D103" s="1" t="str">
        <f aca="false">IF(Brasil!C103="","",Brasil!E103)</f>
        <v/>
      </c>
      <c r="E103" s="1" t="str">
        <f aca="false">IF(Brasil!C103="","",Brasil!F103)</f>
        <v/>
      </c>
      <c r="F103" s="1" t="str">
        <f aca="false">IF(Brasil!C103="","",Brasil!D103)</f>
        <v/>
      </c>
      <c r="I103" s="1" t="str">
        <f aca="false">IF(Brasil!C103="","",Brasil!H103)</f>
        <v/>
      </c>
      <c r="J103" s="1" t="str">
        <f aca="false">IF(Brasil!C103="","",Brasil!D103*Brasil!H103)</f>
        <v/>
      </c>
      <c r="K103" s="1" t="str">
        <f aca="false">IF(Brasil!C103="","","BR")</f>
        <v/>
      </c>
      <c r="L103" s="1" t="str">
        <f aca="false">IF(Brasil!C103="","",IFERROR(INDEX(Gamma_Catalogo!$D$3:$D$1451,MATCH(Brasil!E103,Gamma_Catalogo!$A$3:$A$1451,0)),"Revisar Ip Code"))</f>
        <v/>
      </c>
      <c r="M103" s="1" t="str">
        <f aca="false">IF(Brasil!C103="","",IFERROR(INDEX(Gamma_Catalogo!$C$3:$C$1451,MATCH(Brasil!E103,Gamma_Catalogo!$A$3:$A$1451,0)),"Revisar Ip Code"))</f>
        <v/>
      </c>
      <c r="N103" s="1" t="str">
        <f aca="false">IF(Brasil!C103="","",IFERROR(INDEX(Gamma_Catalogo!$E$3:$E$1451,MATCH(Brasil!E103,Gamma_Catalogo!$A$3:$A$1451,0)),"Revisar Ip Code"))</f>
        <v/>
      </c>
      <c r="O103" s="1" t="str">
        <f aca="false">IF(Brasil!C103="","","Brasil")</f>
        <v/>
      </c>
    </row>
    <row r="104" customFormat="false" ht="15" hidden="false" customHeight="true" outlineLevel="0" collapsed="false">
      <c r="A104" s="1" t="str">
        <f aca="false">IF(Brasil!C104="","",IFERROR(INDEX(Mercados!$C$2:$C$32,MATCH(Brasil!B104,Mercados!$A$2:$A$32,0)),"Revisar Tscode"))</f>
        <v/>
      </c>
      <c r="B104" s="1" t="str">
        <f aca="false">IF(Brasil!C104="","",Brasil!C104)</f>
        <v/>
      </c>
      <c r="C104" s="1" t="str">
        <f aca="false">IF(Brasil!C104="","",Brasil!A104)</f>
        <v/>
      </c>
      <c r="D104" s="1" t="str">
        <f aca="false">IF(Brasil!C104="","",Brasil!E104)</f>
        <v/>
      </c>
      <c r="E104" s="1" t="str">
        <f aca="false">IF(Brasil!C104="","",Brasil!F104)</f>
        <v/>
      </c>
      <c r="F104" s="1" t="str">
        <f aca="false">IF(Brasil!C104="","",Brasil!D104)</f>
        <v/>
      </c>
      <c r="I104" s="1" t="str">
        <f aca="false">IF(Brasil!C104="","",Brasil!H104)</f>
        <v/>
      </c>
      <c r="J104" s="1" t="str">
        <f aca="false">IF(Brasil!C104="","",Brasil!D104*Brasil!H104)</f>
        <v/>
      </c>
      <c r="K104" s="1" t="str">
        <f aca="false">IF(Brasil!C104="","","BR")</f>
        <v/>
      </c>
      <c r="L104" s="1" t="str">
        <f aca="false">IF(Brasil!C104="","",IFERROR(INDEX(Gamma_Catalogo!$D$3:$D$1451,MATCH(Brasil!E104,Gamma_Catalogo!$A$3:$A$1451,0)),"Revisar Ip Code"))</f>
        <v/>
      </c>
      <c r="M104" s="1" t="str">
        <f aca="false">IF(Brasil!C104="","",IFERROR(INDEX(Gamma_Catalogo!$C$3:$C$1451,MATCH(Brasil!E104,Gamma_Catalogo!$A$3:$A$1451,0)),"Revisar Ip Code"))</f>
        <v/>
      </c>
      <c r="N104" s="1" t="str">
        <f aca="false">IF(Brasil!C104="","",IFERROR(INDEX(Gamma_Catalogo!$E$3:$E$1451,MATCH(Brasil!E104,Gamma_Catalogo!$A$3:$A$1451,0)),"Revisar Ip Code"))</f>
        <v/>
      </c>
      <c r="O104" s="1" t="str">
        <f aca="false">IF(Brasil!C104="","","Brasil")</f>
        <v/>
      </c>
    </row>
    <row r="105" customFormat="false" ht="15" hidden="false" customHeight="true" outlineLevel="0" collapsed="false">
      <c r="A105" s="1" t="str">
        <f aca="false">IF(Brasil!C105="","",IFERROR(INDEX(Mercados!$C$2:$C$32,MATCH(Brasil!B105,Mercados!$A$2:$A$32,0)),"Revisar Tscode"))</f>
        <v/>
      </c>
      <c r="B105" s="1" t="str">
        <f aca="false">IF(Brasil!C105="","",Brasil!C105)</f>
        <v/>
      </c>
      <c r="C105" s="1" t="str">
        <f aca="false">IF(Brasil!C105="","",Brasil!A105)</f>
        <v/>
      </c>
      <c r="D105" s="1" t="str">
        <f aca="false">IF(Brasil!C105="","",Brasil!E105)</f>
        <v/>
      </c>
      <c r="E105" s="1" t="str">
        <f aca="false">IF(Brasil!C105="","",Brasil!F105)</f>
        <v/>
      </c>
      <c r="F105" s="1" t="str">
        <f aca="false">IF(Brasil!C105="","",Brasil!D105)</f>
        <v/>
      </c>
      <c r="I105" s="1" t="str">
        <f aca="false">IF(Brasil!C105="","",Brasil!H105)</f>
        <v/>
      </c>
      <c r="J105" s="1" t="str">
        <f aca="false">IF(Brasil!C105="","",Brasil!D105*Brasil!H105)</f>
        <v/>
      </c>
      <c r="K105" s="1" t="str">
        <f aca="false">IF(Brasil!C105="","","BR")</f>
        <v/>
      </c>
      <c r="L105" s="1" t="str">
        <f aca="false">IF(Brasil!C105="","",IFERROR(INDEX(Gamma_Catalogo!$D$3:$D$1451,MATCH(Brasil!E105,Gamma_Catalogo!$A$3:$A$1451,0)),"Revisar Ip Code"))</f>
        <v/>
      </c>
      <c r="M105" s="1" t="str">
        <f aca="false">IF(Brasil!C105="","",IFERROR(INDEX(Gamma_Catalogo!$C$3:$C$1451,MATCH(Brasil!E105,Gamma_Catalogo!$A$3:$A$1451,0)),"Revisar Ip Code"))</f>
        <v/>
      </c>
      <c r="N105" s="1" t="str">
        <f aca="false">IF(Brasil!C105="","",IFERROR(INDEX(Gamma_Catalogo!$E$3:$E$1451,MATCH(Brasil!E105,Gamma_Catalogo!$A$3:$A$1451,0)),"Revisar Ip Code"))</f>
        <v/>
      </c>
      <c r="O105" s="1" t="str">
        <f aca="false">IF(Brasil!C105="","","Brasil")</f>
        <v/>
      </c>
    </row>
    <row r="106" customFormat="false" ht="15" hidden="false" customHeight="true" outlineLevel="0" collapsed="false">
      <c r="A106" s="1" t="str">
        <f aca="false">IF(Brasil!C106="","",IFERROR(INDEX(Mercados!$C$2:$C$32,MATCH(Brasil!B106,Mercados!$A$2:$A$32,0)),"Revisar Tscode"))</f>
        <v/>
      </c>
      <c r="B106" s="1" t="str">
        <f aca="false">IF(Brasil!C106="","",Brasil!C106)</f>
        <v/>
      </c>
      <c r="C106" s="1" t="str">
        <f aca="false">IF(Brasil!C106="","",Brasil!A106)</f>
        <v/>
      </c>
      <c r="D106" s="1" t="str">
        <f aca="false">IF(Brasil!C106="","",Brasil!E106)</f>
        <v/>
      </c>
      <c r="E106" s="1" t="str">
        <f aca="false">IF(Brasil!C106="","",Brasil!F106)</f>
        <v/>
      </c>
      <c r="F106" s="1" t="str">
        <f aca="false">IF(Brasil!C106="","",Brasil!D106)</f>
        <v/>
      </c>
      <c r="I106" s="1" t="str">
        <f aca="false">IF(Brasil!C106="","",Brasil!H106)</f>
        <v/>
      </c>
      <c r="J106" s="1" t="str">
        <f aca="false">IF(Brasil!C106="","",Brasil!D106*Brasil!H106)</f>
        <v/>
      </c>
      <c r="K106" s="1" t="str">
        <f aca="false">IF(Brasil!C106="","","BR")</f>
        <v/>
      </c>
      <c r="L106" s="1" t="str">
        <f aca="false">IF(Brasil!C106="","",IFERROR(INDEX(Gamma_Catalogo!$D$3:$D$1451,MATCH(Brasil!E106,Gamma_Catalogo!$A$3:$A$1451,0)),"Revisar Ip Code"))</f>
        <v/>
      </c>
      <c r="M106" s="1" t="str">
        <f aca="false">IF(Brasil!C106="","",IFERROR(INDEX(Gamma_Catalogo!$C$3:$C$1451,MATCH(Brasil!E106,Gamma_Catalogo!$A$3:$A$1451,0)),"Revisar Ip Code"))</f>
        <v/>
      </c>
      <c r="N106" s="1" t="str">
        <f aca="false">IF(Brasil!C106="","",IFERROR(INDEX(Gamma_Catalogo!$E$3:$E$1451,MATCH(Brasil!E106,Gamma_Catalogo!$A$3:$A$1451,0)),"Revisar Ip Code"))</f>
        <v/>
      </c>
      <c r="O106" s="1" t="str">
        <f aca="false">IF(Brasil!C106="","","Brasil")</f>
        <v/>
      </c>
    </row>
    <row r="107" customFormat="false" ht="15" hidden="false" customHeight="true" outlineLevel="0" collapsed="false">
      <c r="A107" s="1" t="str">
        <f aca="false">IF(Brasil!C107="","",IFERROR(INDEX(Mercados!$C$2:$C$32,MATCH(Brasil!B107,Mercados!$A$2:$A$32,0)),"Revisar Tscode"))</f>
        <v/>
      </c>
      <c r="B107" s="1" t="str">
        <f aca="false">IF(Brasil!C107="","",Brasil!C107)</f>
        <v/>
      </c>
      <c r="C107" s="1" t="str">
        <f aca="false">IF(Brasil!C107="","",Brasil!A107)</f>
        <v/>
      </c>
      <c r="D107" s="1" t="str">
        <f aca="false">IF(Brasil!C107="","",Brasil!E107)</f>
        <v/>
      </c>
      <c r="E107" s="1" t="str">
        <f aca="false">IF(Brasil!C107="","",Brasil!F107)</f>
        <v/>
      </c>
      <c r="F107" s="1" t="str">
        <f aca="false">IF(Brasil!C107="","",Brasil!D107)</f>
        <v/>
      </c>
      <c r="I107" s="1" t="str">
        <f aca="false">IF(Brasil!C107="","",Brasil!H107)</f>
        <v/>
      </c>
      <c r="J107" s="1" t="str">
        <f aca="false">IF(Brasil!C107="","",Brasil!D107*Brasil!H107)</f>
        <v/>
      </c>
      <c r="K107" s="1" t="str">
        <f aca="false">IF(Brasil!C107="","","BR")</f>
        <v/>
      </c>
      <c r="L107" s="1" t="str">
        <f aca="false">IF(Brasil!C107="","",IFERROR(INDEX(Gamma_Catalogo!$D$3:$D$1451,MATCH(Brasil!E107,Gamma_Catalogo!$A$3:$A$1451,0)),"Revisar Ip Code"))</f>
        <v/>
      </c>
      <c r="M107" s="1" t="str">
        <f aca="false">IF(Brasil!C107="","",IFERROR(INDEX(Gamma_Catalogo!$C$3:$C$1451,MATCH(Brasil!E107,Gamma_Catalogo!$A$3:$A$1451,0)),"Revisar Ip Code"))</f>
        <v/>
      </c>
      <c r="N107" s="1" t="str">
        <f aca="false">IF(Brasil!C107="","",IFERROR(INDEX(Gamma_Catalogo!$E$3:$E$1451,MATCH(Brasil!E107,Gamma_Catalogo!$A$3:$A$1451,0)),"Revisar Ip Code"))</f>
        <v/>
      </c>
      <c r="O107" s="1" t="str">
        <f aca="false">IF(Brasil!C107="","","Brasil")</f>
        <v/>
      </c>
    </row>
    <row r="108" customFormat="false" ht="15" hidden="false" customHeight="true" outlineLevel="0" collapsed="false">
      <c r="A108" s="1" t="str">
        <f aca="false">IF(Brasil!C108="","",IFERROR(INDEX(Mercados!$C$2:$C$32,MATCH(Brasil!B108,Mercados!$A$2:$A$32,0)),"Revisar Tscode"))</f>
        <v/>
      </c>
      <c r="B108" s="1" t="str">
        <f aca="false">IF(Brasil!C108="","",Brasil!C108)</f>
        <v/>
      </c>
      <c r="C108" s="1" t="str">
        <f aca="false">IF(Brasil!C108="","",Brasil!A108)</f>
        <v/>
      </c>
      <c r="D108" s="1" t="str">
        <f aca="false">IF(Brasil!C108="","",Brasil!E108)</f>
        <v/>
      </c>
      <c r="E108" s="1" t="str">
        <f aca="false">IF(Brasil!C108="","",Brasil!F108)</f>
        <v/>
      </c>
      <c r="F108" s="1" t="str">
        <f aca="false">IF(Brasil!C108="","",Brasil!D108)</f>
        <v/>
      </c>
      <c r="I108" s="1" t="str">
        <f aca="false">IF(Brasil!C108="","",Brasil!H108)</f>
        <v/>
      </c>
      <c r="J108" s="1" t="str">
        <f aca="false">IF(Brasil!C108="","",Brasil!D108*Brasil!H108)</f>
        <v/>
      </c>
      <c r="K108" s="1" t="str">
        <f aca="false">IF(Brasil!C108="","","BR")</f>
        <v/>
      </c>
      <c r="L108" s="1" t="str">
        <f aca="false">IF(Brasil!C108="","",IFERROR(INDEX(Gamma_Catalogo!$D$3:$D$1451,MATCH(Brasil!E108,Gamma_Catalogo!$A$3:$A$1451,0)),"Revisar Ip Code"))</f>
        <v/>
      </c>
      <c r="M108" s="1" t="str">
        <f aca="false">IF(Brasil!C108="","",IFERROR(INDEX(Gamma_Catalogo!$C$3:$C$1451,MATCH(Brasil!E108,Gamma_Catalogo!$A$3:$A$1451,0)),"Revisar Ip Code"))</f>
        <v/>
      </c>
      <c r="N108" s="1" t="str">
        <f aca="false">IF(Brasil!C108="","",IFERROR(INDEX(Gamma_Catalogo!$E$3:$E$1451,MATCH(Brasil!E108,Gamma_Catalogo!$A$3:$A$1451,0)),"Revisar Ip Code"))</f>
        <v/>
      </c>
      <c r="O108" s="1" t="str">
        <f aca="false">IF(Brasil!C108="","","Brasil")</f>
        <v/>
      </c>
    </row>
    <row r="109" customFormat="false" ht="15" hidden="false" customHeight="true" outlineLevel="0" collapsed="false">
      <c r="A109" s="1" t="str">
        <f aca="false">IF(Brasil!C109="","",IFERROR(INDEX(Mercados!$C$2:$C$32,MATCH(Brasil!B109,Mercados!$A$2:$A$32,0)),"Revisar Tscode"))</f>
        <v/>
      </c>
      <c r="B109" s="1" t="str">
        <f aca="false">IF(Brasil!C109="","",Brasil!C109)</f>
        <v/>
      </c>
      <c r="C109" s="1" t="str">
        <f aca="false">IF(Brasil!C109="","",Brasil!A109)</f>
        <v/>
      </c>
      <c r="D109" s="1" t="str">
        <f aca="false">IF(Brasil!C109="","",Brasil!E109)</f>
        <v/>
      </c>
      <c r="E109" s="1" t="str">
        <f aca="false">IF(Brasil!C109="","",Brasil!F109)</f>
        <v/>
      </c>
      <c r="F109" s="1" t="str">
        <f aca="false">IF(Brasil!C109="","",Brasil!D109)</f>
        <v/>
      </c>
      <c r="I109" s="1" t="str">
        <f aca="false">IF(Brasil!C109="","",Brasil!H109)</f>
        <v/>
      </c>
      <c r="J109" s="1" t="str">
        <f aca="false">IF(Brasil!C109="","",Brasil!D109*Brasil!H109)</f>
        <v/>
      </c>
      <c r="K109" s="1" t="str">
        <f aca="false">IF(Brasil!C109="","","BR")</f>
        <v/>
      </c>
      <c r="L109" s="1" t="str">
        <f aca="false">IF(Brasil!C109="","",IFERROR(INDEX(Gamma_Catalogo!$D$3:$D$1451,MATCH(Brasil!E109,Gamma_Catalogo!$A$3:$A$1451,0)),"Revisar Ip Code"))</f>
        <v/>
      </c>
      <c r="M109" s="1" t="str">
        <f aca="false">IF(Brasil!C109="","",IFERROR(INDEX(Gamma_Catalogo!$C$3:$C$1451,MATCH(Brasil!E109,Gamma_Catalogo!$A$3:$A$1451,0)),"Revisar Ip Code"))</f>
        <v/>
      </c>
      <c r="N109" s="1" t="str">
        <f aca="false">IF(Brasil!C109="","",IFERROR(INDEX(Gamma_Catalogo!$E$3:$E$1451,MATCH(Brasil!E109,Gamma_Catalogo!$A$3:$A$1451,0)),"Revisar Ip Code"))</f>
        <v/>
      </c>
      <c r="O109" s="1" t="str">
        <f aca="false">IF(Brasil!C109="","","Brasil")</f>
        <v/>
      </c>
    </row>
    <row r="110" customFormat="false" ht="15" hidden="false" customHeight="true" outlineLevel="0" collapsed="false">
      <c r="A110" s="1" t="str">
        <f aca="false">IF(Brasil!C110="","",IFERROR(INDEX(Mercados!$C$2:$C$32,MATCH(Brasil!B110,Mercados!$A$2:$A$32,0)),"Revisar Tscode"))</f>
        <v/>
      </c>
      <c r="B110" s="1" t="str">
        <f aca="false">IF(Brasil!C110="","",Brasil!C110)</f>
        <v/>
      </c>
      <c r="C110" s="1" t="str">
        <f aca="false">IF(Brasil!C110="","",Brasil!A110)</f>
        <v/>
      </c>
      <c r="D110" s="1" t="str">
        <f aca="false">IF(Brasil!C110="","",Brasil!E110)</f>
        <v/>
      </c>
      <c r="E110" s="1" t="str">
        <f aca="false">IF(Brasil!C110="","",Brasil!F110)</f>
        <v/>
      </c>
      <c r="F110" s="1" t="str">
        <f aca="false">IF(Brasil!C110="","",Brasil!D110)</f>
        <v/>
      </c>
      <c r="I110" s="1" t="str">
        <f aca="false">IF(Brasil!C110="","",Brasil!H110)</f>
        <v/>
      </c>
      <c r="J110" s="1" t="str">
        <f aca="false">IF(Brasil!C110="","",Brasil!D110*Brasil!H110)</f>
        <v/>
      </c>
      <c r="K110" s="1" t="str">
        <f aca="false">IF(Brasil!C110="","","BR")</f>
        <v/>
      </c>
      <c r="L110" s="1" t="str">
        <f aca="false">IF(Brasil!C110="","",IFERROR(INDEX(Gamma_Catalogo!$D$3:$D$1451,MATCH(Brasil!E110,Gamma_Catalogo!$A$3:$A$1451,0)),"Revisar Ip Code"))</f>
        <v/>
      </c>
      <c r="M110" s="1" t="str">
        <f aca="false">IF(Brasil!C110="","",IFERROR(INDEX(Gamma_Catalogo!$C$3:$C$1451,MATCH(Brasil!E110,Gamma_Catalogo!$A$3:$A$1451,0)),"Revisar Ip Code"))</f>
        <v/>
      </c>
      <c r="N110" s="1" t="str">
        <f aca="false">IF(Brasil!C110="","",IFERROR(INDEX(Gamma_Catalogo!$E$3:$E$1451,MATCH(Brasil!E110,Gamma_Catalogo!$A$3:$A$1451,0)),"Revisar Ip Code"))</f>
        <v/>
      </c>
      <c r="O110" s="1" t="str">
        <f aca="false">IF(Brasil!C110="","","Brasil")</f>
        <v/>
      </c>
    </row>
    <row r="111" customFormat="false" ht="15" hidden="false" customHeight="true" outlineLevel="0" collapsed="false">
      <c r="A111" s="1" t="str">
        <f aca="false">IF(Brasil!C111="","",IFERROR(INDEX(Mercados!$C$2:$C$32,MATCH(Brasil!B111,Mercados!$A$2:$A$32,0)),"Revisar Tscode"))</f>
        <v/>
      </c>
      <c r="B111" s="1" t="str">
        <f aca="false">IF(Brasil!C111="","",Brasil!C111)</f>
        <v/>
      </c>
      <c r="C111" s="1" t="str">
        <f aca="false">IF(Brasil!C111="","",Brasil!A111)</f>
        <v/>
      </c>
      <c r="D111" s="1" t="str">
        <f aca="false">IF(Brasil!C111="","",Brasil!E111)</f>
        <v/>
      </c>
      <c r="E111" s="1" t="str">
        <f aca="false">IF(Brasil!C111="","",Brasil!F111)</f>
        <v/>
      </c>
      <c r="F111" s="1" t="str">
        <f aca="false">IF(Brasil!C111="","",Brasil!D111)</f>
        <v/>
      </c>
      <c r="I111" s="1" t="str">
        <f aca="false">IF(Brasil!C111="","",Brasil!H111)</f>
        <v/>
      </c>
      <c r="J111" s="1" t="str">
        <f aca="false">IF(Brasil!C111="","",Brasil!D111*Brasil!H111)</f>
        <v/>
      </c>
      <c r="K111" s="1" t="str">
        <f aca="false">IF(Brasil!C111="","","BR")</f>
        <v/>
      </c>
      <c r="L111" s="1" t="str">
        <f aca="false">IF(Brasil!C111="","",IFERROR(INDEX(Gamma_Catalogo!$D$3:$D$1451,MATCH(Brasil!E111,Gamma_Catalogo!$A$3:$A$1451,0)),"Revisar Ip Code"))</f>
        <v/>
      </c>
      <c r="M111" s="1" t="str">
        <f aca="false">IF(Brasil!C111="","",IFERROR(INDEX(Gamma_Catalogo!$C$3:$C$1451,MATCH(Brasil!E111,Gamma_Catalogo!$A$3:$A$1451,0)),"Revisar Ip Code"))</f>
        <v/>
      </c>
      <c r="N111" s="1" t="str">
        <f aca="false">IF(Brasil!C111="","",IFERROR(INDEX(Gamma_Catalogo!$E$3:$E$1451,MATCH(Brasil!E111,Gamma_Catalogo!$A$3:$A$1451,0)),"Revisar Ip Code"))</f>
        <v/>
      </c>
      <c r="O111" s="1" t="str">
        <f aca="false">IF(Brasil!C111="","","Brasil")</f>
        <v/>
      </c>
    </row>
    <row r="112" customFormat="false" ht="15" hidden="false" customHeight="true" outlineLevel="0" collapsed="false">
      <c r="A112" s="1" t="str">
        <f aca="false">IF(Brasil!C112="","",IFERROR(INDEX(Mercados!$C$2:$C$32,MATCH(Brasil!B112,Mercados!$A$2:$A$32,0)),"Revisar Tscode"))</f>
        <v/>
      </c>
      <c r="B112" s="1" t="str">
        <f aca="false">IF(Brasil!C112="","",Brasil!C112)</f>
        <v/>
      </c>
      <c r="C112" s="1" t="str">
        <f aca="false">IF(Brasil!C112="","",Brasil!A112)</f>
        <v/>
      </c>
      <c r="D112" s="1" t="str">
        <f aca="false">IF(Brasil!C112="","",Brasil!E112)</f>
        <v/>
      </c>
      <c r="E112" s="1" t="str">
        <f aca="false">IF(Brasil!C112="","",Brasil!F112)</f>
        <v/>
      </c>
      <c r="F112" s="1" t="str">
        <f aca="false">IF(Brasil!C112="","",Brasil!D112)</f>
        <v/>
      </c>
      <c r="I112" s="1" t="str">
        <f aca="false">IF(Brasil!C112="","",Brasil!H112)</f>
        <v/>
      </c>
      <c r="J112" s="1" t="str">
        <f aca="false">IF(Brasil!C112="","",Brasil!D112*Brasil!H112)</f>
        <v/>
      </c>
      <c r="K112" s="1" t="str">
        <f aca="false">IF(Brasil!C112="","","BR")</f>
        <v/>
      </c>
      <c r="L112" s="1" t="str">
        <f aca="false">IF(Brasil!C112="","",IFERROR(INDEX(Gamma_Catalogo!$D$3:$D$1451,MATCH(Brasil!E112,Gamma_Catalogo!$A$3:$A$1451,0)),"Revisar Ip Code"))</f>
        <v/>
      </c>
      <c r="M112" s="1" t="str">
        <f aca="false">IF(Brasil!C112="","",IFERROR(INDEX(Gamma_Catalogo!$C$3:$C$1451,MATCH(Brasil!E112,Gamma_Catalogo!$A$3:$A$1451,0)),"Revisar Ip Code"))</f>
        <v/>
      </c>
      <c r="N112" s="1" t="str">
        <f aca="false">IF(Brasil!C112="","",IFERROR(INDEX(Gamma_Catalogo!$E$3:$E$1451,MATCH(Brasil!E112,Gamma_Catalogo!$A$3:$A$1451,0)),"Revisar Ip Code"))</f>
        <v/>
      </c>
      <c r="O112" s="1" t="str">
        <f aca="false">IF(Brasil!C112="","","Brasil")</f>
        <v/>
      </c>
    </row>
    <row r="113" customFormat="false" ht="15" hidden="false" customHeight="true" outlineLevel="0" collapsed="false">
      <c r="A113" s="1" t="str">
        <f aca="false">IF(Brasil!C113="","",IFERROR(INDEX(Mercados!$C$2:$C$32,MATCH(Brasil!B113,Mercados!$A$2:$A$32,0)),"Revisar Tscode"))</f>
        <v/>
      </c>
      <c r="B113" s="1" t="str">
        <f aca="false">IF(Brasil!C113="","",Brasil!C113)</f>
        <v/>
      </c>
      <c r="C113" s="1" t="str">
        <f aca="false">IF(Brasil!C113="","",Brasil!A113)</f>
        <v/>
      </c>
      <c r="D113" s="1" t="str">
        <f aca="false">IF(Brasil!C113="","",Brasil!E113)</f>
        <v/>
      </c>
      <c r="E113" s="1" t="str">
        <f aca="false">IF(Brasil!C113="","",Brasil!F113)</f>
        <v/>
      </c>
      <c r="F113" s="1" t="str">
        <f aca="false">IF(Brasil!C113="","",Brasil!D113)</f>
        <v/>
      </c>
      <c r="I113" s="1" t="str">
        <f aca="false">IF(Brasil!C113="","",Brasil!H113)</f>
        <v/>
      </c>
      <c r="J113" s="1" t="str">
        <f aca="false">IF(Brasil!C113="","",Brasil!D113*Brasil!H113)</f>
        <v/>
      </c>
      <c r="K113" s="1" t="str">
        <f aca="false">IF(Brasil!C113="","","BR")</f>
        <v/>
      </c>
      <c r="L113" s="1" t="str">
        <f aca="false">IF(Brasil!C113="","",IFERROR(INDEX(Gamma_Catalogo!$D$3:$D$1451,MATCH(Brasil!E113,Gamma_Catalogo!$A$3:$A$1451,0)),"Revisar Ip Code"))</f>
        <v/>
      </c>
      <c r="M113" s="1" t="str">
        <f aca="false">IF(Brasil!C113="","",IFERROR(INDEX(Gamma_Catalogo!$C$3:$C$1451,MATCH(Brasil!E113,Gamma_Catalogo!$A$3:$A$1451,0)),"Revisar Ip Code"))</f>
        <v/>
      </c>
      <c r="N113" s="1" t="str">
        <f aca="false">IF(Brasil!C113="","",IFERROR(INDEX(Gamma_Catalogo!$E$3:$E$1451,MATCH(Brasil!E113,Gamma_Catalogo!$A$3:$A$1451,0)),"Revisar Ip Code"))</f>
        <v/>
      </c>
      <c r="O113" s="1" t="str">
        <f aca="false">IF(Brasil!C113="","","Brasil")</f>
        <v/>
      </c>
    </row>
    <row r="114" customFormat="false" ht="15" hidden="false" customHeight="true" outlineLevel="0" collapsed="false">
      <c r="A114" s="1" t="str">
        <f aca="false">IF(Brasil!C114="","",IFERROR(INDEX(Mercados!$C$2:$C$32,MATCH(Brasil!B114,Mercados!$A$2:$A$32,0)),"Revisar Tscode"))</f>
        <v/>
      </c>
      <c r="B114" s="1" t="str">
        <f aca="false">IF(Brasil!C114="","",Brasil!C114)</f>
        <v/>
      </c>
      <c r="C114" s="1" t="str">
        <f aca="false">IF(Brasil!C114="","",Brasil!A114)</f>
        <v/>
      </c>
      <c r="D114" s="1" t="str">
        <f aca="false">IF(Brasil!C114="","",Brasil!E114)</f>
        <v/>
      </c>
      <c r="E114" s="1" t="str">
        <f aca="false">IF(Brasil!C114="","",Brasil!F114)</f>
        <v/>
      </c>
      <c r="F114" s="1" t="str">
        <f aca="false">IF(Brasil!C114="","",Brasil!D114)</f>
        <v/>
      </c>
      <c r="I114" s="1" t="str">
        <f aca="false">IF(Brasil!C114="","",Brasil!H114)</f>
        <v/>
      </c>
      <c r="J114" s="1" t="str">
        <f aca="false">IF(Brasil!C114="","",Brasil!D114*Brasil!H114)</f>
        <v/>
      </c>
      <c r="K114" s="1" t="str">
        <f aca="false">IF(Brasil!C114="","","BR")</f>
        <v/>
      </c>
      <c r="L114" s="1" t="str">
        <f aca="false">IF(Brasil!C114="","",IFERROR(INDEX(Gamma_Catalogo!$D$3:$D$1451,MATCH(Brasil!E114,Gamma_Catalogo!$A$3:$A$1451,0)),"Revisar Ip Code"))</f>
        <v/>
      </c>
      <c r="M114" s="1" t="str">
        <f aca="false">IF(Brasil!C114="","",IFERROR(INDEX(Gamma_Catalogo!$C$3:$C$1451,MATCH(Brasil!E114,Gamma_Catalogo!$A$3:$A$1451,0)),"Revisar Ip Code"))</f>
        <v/>
      </c>
      <c r="N114" s="1" t="str">
        <f aca="false">IF(Brasil!C114="","",IFERROR(INDEX(Gamma_Catalogo!$E$3:$E$1451,MATCH(Brasil!E114,Gamma_Catalogo!$A$3:$A$1451,0)),"Revisar Ip Code"))</f>
        <v/>
      </c>
      <c r="O114" s="1" t="str">
        <f aca="false">IF(Brasil!C114="","","Brasil")</f>
        <v/>
      </c>
    </row>
    <row r="115" customFormat="false" ht="15" hidden="false" customHeight="true" outlineLevel="0" collapsed="false">
      <c r="A115" s="1" t="str">
        <f aca="false">IF(Brasil!C115="","",IFERROR(INDEX(Mercados!$C$2:$C$32,MATCH(Brasil!B115,Mercados!$A$2:$A$32,0)),"Revisar Tscode"))</f>
        <v/>
      </c>
      <c r="B115" s="1" t="str">
        <f aca="false">IF(Brasil!C115="","",Brasil!C115)</f>
        <v/>
      </c>
      <c r="C115" s="1" t="str">
        <f aca="false">IF(Brasil!C115="","",Brasil!A115)</f>
        <v/>
      </c>
      <c r="D115" s="1" t="str">
        <f aca="false">IF(Brasil!C115="","",Brasil!E115)</f>
        <v/>
      </c>
      <c r="E115" s="1" t="str">
        <f aca="false">IF(Brasil!C115="","",Brasil!F115)</f>
        <v/>
      </c>
      <c r="F115" s="1" t="str">
        <f aca="false">IF(Brasil!C115="","",Brasil!D115)</f>
        <v/>
      </c>
      <c r="I115" s="1" t="str">
        <f aca="false">IF(Brasil!C115="","",Brasil!H115)</f>
        <v/>
      </c>
      <c r="J115" s="1" t="str">
        <f aca="false">IF(Brasil!C115="","",Brasil!D115*Brasil!H115)</f>
        <v/>
      </c>
      <c r="K115" s="1" t="str">
        <f aca="false">IF(Brasil!C115="","","BR")</f>
        <v/>
      </c>
      <c r="L115" s="1" t="str">
        <f aca="false">IF(Brasil!C115="","",IFERROR(INDEX(Gamma_Catalogo!$D$3:$D$1451,MATCH(Brasil!E115,Gamma_Catalogo!$A$3:$A$1451,0)),"Revisar Ip Code"))</f>
        <v/>
      </c>
      <c r="M115" s="1" t="str">
        <f aca="false">IF(Brasil!C115="","",IFERROR(INDEX(Gamma_Catalogo!$C$3:$C$1451,MATCH(Brasil!E115,Gamma_Catalogo!$A$3:$A$1451,0)),"Revisar Ip Code"))</f>
        <v/>
      </c>
      <c r="N115" s="1" t="str">
        <f aca="false">IF(Brasil!C115="","",IFERROR(INDEX(Gamma_Catalogo!$E$3:$E$1451,MATCH(Brasil!E115,Gamma_Catalogo!$A$3:$A$1451,0)),"Revisar Ip Code"))</f>
        <v/>
      </c>
      <c r="O115" s="1" t="str">
        <f aca="false">IF(Brasil!C115="","","Brasil")</f>
        <v/>
      </c>
    </row>
    <row r="116" customFormat="false" ht="15" hidden="false" customHeight="true" outlineLevel="0" collapsed="false">
      <c r="A116" s="1" t="str">
        <f aca="false">IF(Brasil!C116="","",IFERROR(INDEX(Mercados!$C$2:$C$32,MATCH(Brasil!B116,Mercados!$A$2:$A$32,0)),"Revisar Tscode"))</f>
        <v/>
      </c>
      <c r="B116" s="1" t="str">
        <f aca="false">IF(Brasil!C116="","",Brasil!C116)</f>
        <v/>
      </c>
      <c r="C116" s="1" t="str">
        <f aca="false">IF(Brasil!C116="","",Brasil!A116)</f>
        <v/>
      </c>
      <c r="D116" s="1" t="str">
        <f aca="false">IF(Brasil!C116="","",Brasil!E116)</f>
        <v/>
      </c>
      <c r="E116" s="1" t="str">
        <f aca="false">IF(Brasil!C116="","",Brasil!F116)</f>
        <v/>
      </c>
      <c r="F116" s="1" t="str">
        <f aca="false">IF(Brasil!C116="","",Brasil!D116)</f>
        <v/>
      </c>
      <c r="I116" s="1" t="str">
        <f aca="false">IF(Brasil!C116="","",Brasil!H116)</f>
        <v/>
      </c>
      <c r="J116" s="1" t="str">
        <f aca="false">IF(Brasil!C116="","",Brasil!D116*Brasil!H116)</f>
        <v/>
      </c>
      <c r="K116" s="1" t="str">
        <f aca="false">IF(Brasil!C116="","","BR")</f>
        <v/>
      </c>
      <c r="L116" s="1" t="str">
        <f aca="false">IF(Brasil!C116="","",IFERROR(INDEX(Gamma_Catalogo!$D$3:$D$1451,MATCH(Brasil!E116,Gamma_Catalogo!$A$3:$A$1451,0)),"Revisar Ip Code"))</f>
        <v/>
      </c>
      <c r="M116" s="1" t="str">
        <f aca="false">IF(Brasil!C116="","",IFERROR(INDEX(Gamma_Catalogo!$C$3:$C$1451,MATCH(Brasil!E116,Gamma_Catalogo!$A$3:$A$1451,0)),"Revisar Ip Code"))</f>
        <v/>
      </c>
      <c r="N116" s="1" t="str">
        <f aca="false">IF(Brasil!C116="","",IFERROR(INDEX(Gamma_Catalogo!$E$3:$E$1451,MATCH(Brasil!E116,Gamma_Catalogo!$A$3:$A$1451,0)),"Revisar Ip Code"))</f>
        <v/>
      </c>
      <c r="O116" s="1" t="str">
        <f aca="false">IF(Brasil!C116="","","Brasil")</f>
        <v/>
      </c>
    </row>
    <row r="117" customFormat="false" ht="15" hidden="false" customHeight="true" outlineLevel="0" collapsed="false">
      <c r="A117" s="1" t="str">
        <f aca="false">IF(Brasil!C117="","",IFERROR(INDEX(Mercados!$C$2:$C$32,MATCH(Brasil!B117,Mercados!$A$2:$A$32,0)),"Revisar Tscode"))</f>
        <v/>
      </c>
      <c r="B117" s="1" t="str">
        <f aca="false">IF(Brasil!C117="","",Brasil!C117)</f>
        <v/>
      </c>
      <c r="C117" s="1" t="str">
        <f aca="false">IF(Brasil!C117="","",Brasil!A117)</f>
        <v/>
      </c>
      <c r="D117" s="1" t="str">
        <f aca="false">IF(Brasil!C117="","",Brasil!E117)</f>
        <v/>
      </c>
      <c r="E117" s="1" t="str">
        <f aca="false">IF(Brasil!C117="","",Brasil!F117)</f>
        <v/>
      </c>
      <c r="F117" s="1" t="str">
        <f aca="false">IF(Brasil!C117="","",Brasil!D117)</f>
        <v/>
      </c>
      <c r="I117" s="1" t="str">
        <f aca="false">IF(Brasil!C117="","",Brasil!H117)</f>
        <v/>
      </c>
      <c r="J117" s="1" t="str">
        <f aca="false">IF(Brasil!C117="","",Brasil!D117*Brasil!H117)</f>
        <v/>
      </c>
      <c r="K117" s="1" t="str">
        <f aca="false">IF(Brasil!C117="","","BR")</f>
        <v/>
      </c>
      <c r="L117" s="1" t="str">
        <f aca="false">IF(Brasil!C117="","",IFERROR(INDEX(Gamma_Catalogo!$D$3:$D$1451,MATCH(Brasil!E117,Gamma_Catalogo!$A$3:$A$1451,0)),"Revisar Ip Code"))</f>
        <v/>
      </c>
      <c r="M117" s="1" t="str">
        <f aca="false">IF(Brasil!C117="","",IFERROR(INDEX(Gamma_Catalogo!$C$3:$C$1451,MATCH(Brasil!E117,Gamma_Catalogo!$A$3:$A$1451,0)),"Revisar Ip Code"))</f>
        <v/>
      </c>
      <c r="N117" s="1" t="str">
        <f aca="false">IF(Brasil!C117="","",IFERROR(INDEX(Gamma_Catalogo!$E$3:$E$1451,MATCH(Brasil!E117,Gamma_Catalogo!$A$3:$A$1451,0)),"Revisar Ip Code"))</f>
        <v/>
      </c>
      <c r="O117" s="1" t="str">
        <f aca="false">IF(Brasil!C117="","","Brasil")</f>
        <v/>
      </c>
    </row>
    <row r="118" customFormat="false" ht="15" hidden="false" customHeight="true" outlineLevel="0" collapsed="false">
      <c r="A118" s="1" t="str">
        <f aca="false">IF(Brasil!C118="","",IFERROR(INDEX(Mercados!$C$2:$C$32,MATCH(Brasil!B118,Mercados!$A$2:$A$32,0)),"Revisar Tscode"))</f>
        <v/>
      </c>
      <c r="B118" s="1" t="str">
        <f aca="false">IF(Brasil!C118="","",Brasil!C118)</f>
        <v/>
      </c>
      <c r="C118" s="1" t="str">
        <f aca="false">IF(Brasil!C118="","",Brasil!A118)</f>
        <v/>
      </c>
      <c r="D118" s="1" t="str">
        <f aca="false">IF(Brasil!C118="","",Brasil!E118)</f>
        <v/>
      </c>
      <c r="E118" s="1" t="str">
        <f aca="false">IF(Brasil!C118="","",Brasil!F118)</f>
        <v/>
      </c>
      <c r="F118" s="1" t="str">
        <f aca="false">IF(Brasil!C118="","",Brasil!D118)</f>
        <v/>
      </c>
      <c r="I118" s="1" t="str">
        <f aca="false">IF(Brasil!C118="","",Brasil!H118)</f>
        <v/>
      </c>
      <c r="J118" s="1" t="str">
        <f aca="false">IF(Brasil!C118="","",Brasil!D118*Brasil!H118)</f>
        <v/>
      </c>
      <c r="K118" s="1" t="str">
        <f aca="false">IF(Brasil!C118="","","BR")</f>
        <v/>
      </c>
      <c r="L118" s="1" t="str">
        <f aca="false">IF(Brasil!C118="","",IFERROR(INDEX(Gamma_Catalogo!$D$3:$D$1451,MATCH(Brasil!E118,Gamma_Catalogo!$A$3:$A$1451,0)),"Revisar Ip Code"))</f>
        <v/>
      </c>
      <c r="M118" s="1" t="str">
        <f aca="false">IF(Brasil!C118="","",IFERROR(INDEX(Gamma_Catalogo!$C$3:$C$1451,MATCH(Brasil!E118,Gamma_Catalogo!$A$3:$A$1451,0)),"Revisar Ip Code"))</f>
        <v/>
      </c>
      <c r="N118" s="1" t="str">
        <f aca="false">IF(Brasil!C118="","",IFERROR(INDEX(Gamma_Catalogo!$E$3:$E$1451,MATCH(Brasil!E118,Gamma_Catalogo!$A$3:$A$1451,0)),"Revisar Ip Code"))</f>
        <v/>
      </c>
      <c r="O118" s="1" t="str">
        <f aca="false">IF(Brasil!C118="","","Brasil")</f>
        <v/>
      </c>
    </row>
    <row r="119" customFormat="false" ht="15" hidden="false" customHeight="true" outlineLevel="0" collapsed="false">
      <c r="A119" s="1" t="str">
        <f aca="false">IF(Brasil!C119="","",IFERROR(INDEX(Mercados!$C$2:$C$32,MATCH(Brasil!B119,Mercados!$A$2:$A$32,0)),"Revisar Tscode"))</f>
        <v/>
      </c>
      <c r="B119" s="1" t="str">
        <f aca="false">IF(Brasil!C119="","",Brasil!C119)</f>
        <v/>
      </c>
      <c r="C119" s="1" t="str">
        <f aca="false">IF(Brasil!C119="","",Brasil!A119)</f>
        <v/>
      </c>
      <c r="D119" s="1" t="str">
        <f aca="false">IF(Brasil!C119="","",Brasil!E119)</f>
        <v/>
      </c>
      <c r="E119" s="1" t="str">
        <f aca="false">IF(Brasil!C119="","",Brasil!F119)</f>
        <v/>
      </c>
      <c r="F119" s="1" t="str">
        <f aca="false">IF(Brasil!C119="","",Brasil!D119)</f>
        <v/>
      </c>
      <c r="I119" s="1" t="str">
        <f aca="false">IF(Brasil!C119="","",Brasil!H119)</f>
        <v/>
      </c>
      <c r="J119" s="1" t="str">
        <f aca="false">IF(Brasil!C119="","",Brasil!D119*Brasil!H119)</f>
        <v/>
      </c>
      <c r="K119" s="1" t="str">
        <f aca="false">IF(Brasil!C119="","","BR")</f>
        <v/>
      </c>
      <c r="L119" s="1" t="str">
        <f aca="false">IF(Brasil!C119="","",IFERROR(INDEX(Gamma_Catalogo!$D$3:$D$1451,MATCH(Brasil!E119,Gamma_Catalogo!$A$3:$A$1451,0)),"Revisar Ip Code"))</f>
        <v/>
      </c>
      <c r="M119" s="1" t="str">
        <f aca="false">IF(Brasil!C119="","",IFERROR(INDEX(Gamma_Catalogo!$C$3:$C$1451,MATCH(Brasil!E119,Gamma_Catalogo!$A$3:$A$1451,0)),"Revisar Ip Code"))</f>
        <v/>
      </c>
      <c r="N119" s="1" t="str">
        <f aca="false">IF(Brasil!C119="","",IFERROR(INDEX(Gamma_Catalogo!$E$3:$E$1451,MATCH(Brasil!E119,Gamma_Catalogo!$A$3:$A$1451,0)),"Revisar Ip Code"))</f>
        <v/>
      </c>
      <c r="O119" s="1" t="str">
        <f aca="false">IF(Brasil!C119="","","Brasil")</f>
        <v/>
      </c>
    </row>
    <row r="120" customFormat="false" ht="15" hidden="false" customHeight="true" outlineLevel="0" collapsed="false">
      <c r="A120" s="1" t="str">
        <f aca="false">IF(Brasil!C120="","",IFERROR(INDEX(Mercados!$C$2:$C$32,MATCH(Brasil!B120,Mercados!$A$2:$A$32,0)),"Revisar Tscode"))</f>
        <v/>
      </c>
      <c r="B120" s="1" t="str">
        <f aca="false">IF(Brasil!C120="","",Brasil!C120)</f>
        <v/>
      </c>
      <c r="C120" s="1" t="str">
        <f aca="false">IF(Brasil!C120="","",Brasil!A120)</f>
        <v/>
      </c>
      <c r="D120" s="1" t="str">
        <f aca="false">IF(Brasil!C120="","",Brasil!E120)</f>
        <v/>
      </c>
      <c r="E120" s="1" t="str">
        <f aca="false">IF(Brasil!C120="","",Brasil!F120)</f>
        <v/>
      </c>
      <c r="F120" s="1" t="str">
        <f aca="false">IF(Brasil!C120="","",Brasil!D120)</f>
        <v/>
      </c>
      <c r="I120" s="1" t="str">
        <f aca="false">IF(Brasil!C120="","",Brasil!H120)</f>
        <v/>
      </c>
      <c r="J120" s="1" t="str">
        <f aca="false">IF(Brasil!C120="","",Brasil!D120*Brasil!H120)</f>
        <v/>
      </c>
      <c r="K120" s="1" t="str">
        <f aca="false">IF(Brasil!C120="","","BR")</f>
        <v/>
      </c>
      <c r="L120" s="1" t="str">
        <f aca="false">IF(Brasil!C120="","",IFERROR(INDEX(Gamma_Catalogo!$D$3:$D$1451,MATCH(Brasil!E120,Gamma_Catalogo!$A$3:$A$1451,0)),"Revisar Ip Code"))</f>
        <v/>
      </c>
      <c r="M120" s="1" t="str">
        <f aca="false">IF(Brasil!C120="","",IFERROR(INDEX(Gamma_Catalogo!$C$3:$C$1451,MATCH(Brasil!E120,Gamma_Catalogo!$A$3:$A$1451,0)),"Revisar Ip Code"))</f>
        <v/>
      </c>
      <c r="N120" s="1" t="str">
        <f aca="false">IF(Brasil!C120="","",IFERROR(INDEX(Gamma_Catalogo!$E$3:$E$1451,MATCH(Brasil!E120,Gamma_Catalogo!$A$3:$A$1451,0)),"Revisar Ip Code"))</f>
        <v/>
      </c>
      <c r="O120" s="1" t="str">
        <f aca="false">IF(Brasil!C120="","","Brasil")</f>
        <v/>
      </c>
    </row>
    <row r="121" customFormat="false" ht="15" hidden="false" customHeight="true" outlineLevel="0" collapsed="false">
      <c r="A121" s="1" t="str">
        <f aca="false">IF(Brasil!C121="","",IFERROR(INDEX(Mercados!$C$2:$C$32,MATCH(Brasil!B121,Mercados!$A$2:$A$32,0)),"Revisar Tscode"))</f>
        <v/>
      </c>
      <c r="B121" s="1" t="str">
        <f aca="false">IF(Brasil!C121="","",Brasil!C121)</f>
        <v/>
      </c>
      <c r="C121" s="1" t="str">
        <f aca="false">IF(Brasil!C121="","",Brasil!A121)</f>
        <v/>
      </c>
      <c r="D121" s="1" t="str">
        <f aca="false">IF(Brasil!C121="","",Brasil!E121)</f>
        <v/>
      </c>
      <c r="E121" s="1" t="str">
        <f aca="false">IF(Brasil!C121="","",Brasil!F121)</f>
        <v/>
      </c>
      <c r="F121" s="1" t="str">
        <f aca="false">IF(Brasil!C121="","",Brasil!D121)</f>
        <v/>
      </c>
      <c r="I121" s="1" t="str">
        <f aca="false">IF(Brasil!C121="","",Brasil!H121)</f>
        <v/>
      </c>
      <c r="J121" s="1" t="str">
        <f aca="false">IF(Brasil!C121="","",Brasil!D121*Brasil!H121)</f>
        <v/>
      </c>
      <c r="K121" s="1" t="str">
        <f aca="false">IF(Brasil!C121="","","BR")</f>
        <v/>
      </c>
      <c r="L121" s="1" t="str">
        <f aca="false">IF(Brasil!C121="","",IFERROR(INDEX(Gamma_Catalogo!$D$3:$D$1451,MATCH(Brasil!E121,Gamma_Catalogo!$A$3:$A$1451,0)),"Revisar Ip Code"))</f>
        <v/>
      </c>
      <c r="M121" s="1" t="str">
        <f aca="false">IF(Brasil!C121="","",IFERROR(INDEX(Gamma_Catalogo!$C$3:$C$1451,MATCH(Brasil!E121,Gamma_Catalogo!$A$3:$A$1451,0)),"Revisar Ip Code"))</f>
        <v/>
      </c>
      <c r="N121" s="1" t="str">
        <f aca="false">IF(Brasil!C121="","",IFERROR(INDEX(Gamma_Catalogo!$E$3:$E$1451,MATCH(Brasil!E121,Gamma_Catalogo!$A$3:$A$1451,0)),"Revisar Ip Code"))</f>
        <v/>
      </c>
      <c r="O121" s="1" t="str">
        <f aca="false">IF(Brasil!C121="","","Brasil")</f>
        <v/>
      </c>
    </row>
    <row r="122" customFormat="false" ht="15" hidden="false" customHeight="true" outlineLevel="0" collapsed="false">
      <c r="A122" s="1" t="str">
        <f aca="false">IF(Brasil!C122="","",IFERROR(INDEX(Mercados!$C$2:$C$32,MATCH(Brasil!B122,Mercados!$A$2:$A$32,0)),"Revisar Tscode"))</f>
        <v/>
      </c>
      <c r="B122" s="1" t="str">
        <f aca="false">IF(Brasil!C122="","",Brasil!C122)</f>
        <v/>
      </c>
      <c r="C122" s="1" t="str">
        <f aca="false">IF(Brasil!C122="","",Brasil!A122)</f>
        <v/>
      </c>
      <c r="D122" s="1" t="str">
        <f aca="false">IF(Brasil!C122="","",Brasil!E122)</f>
        <v/>
      </c>
      <c r="E122" s="1" t="str">
        <f aca="false">IF(Brasil!C122="","",Brasil!F122)</f>
        <v/>
      </c>
      <c r="F122" s="1" t="str">
        <f aca="false">IF(Brasil!C122="","",Brasil!D122)</f>
        <v/>
      </c>
      <c r="I122" s="1" t="str">
        <f aca="false">IF(Brasil!C122="","",Brasil!H122)</f>
        <v/>
      </c>
      <c r="J122" s="1" t="str">
        <f aca="false">IF(Brasil!C122="","",Brasil!D122*Brasil!H122)</f>
        <v/>
      </c>
      <c r="K122" s="1" t="str">
        <f aca="false">IF(Brasil!C122="","","BR")</f>
        <v/>
      </c>
      <c r="L122" s="1" t="str">
        <f aca="false">IF(Brasil!C122="","",IFERROR(INDEX(Gamma_Catalogo!$D$3:$D$1451,MATCH(Brasil!E122,Gamma_Catalogo!$A$3:$A$1451,0)),"Revisar Ip Code"))</f>
        <v/>
      </c>
      <c r="M122" s="1" t="str">
        <f aca="false">IF(Brasil!C122="","",IFERROR(INDEX(Gamma_Catalogo!$C$3:$C$1451,MATCH(Brasil!E122,Gamma_Catalogo!$A$3:$A$1451,0)),"Revisar Ip Code"))</f>
        <v/>
      </c>
      <c r="N122" s="1" t="str">
        <f aca="false">IF(Brasil!C122="","",IFERROR(INDEX(Gamma_Catalogo!$E$3:$E$1451,MATCH(Brasil!E122,Gamma_Catalogo!$A$3:$A$1451,0)),"Revisar Ip Code"))</f>
        <v/>
      </c>
      <c r="O122" s="1" t="str">
        <f aca="false">IF(Brasil!C122="","","Brasil")</f>
        <v/>
      </c>
    </row>
    <row r="123" customFormat="false" ht="15" hidden="false" customHeight="true" outlineLevel="0" collapsed="false">
      <c r="A123" s="1" t="str">
        <f aca="false">IF(Brasil!C123="","",IFERROR(INDEX(Mercados!$C$2:$C$32,MATCH(Brasil!B123,Mercados!$A$2:$A$32,0)),"Revisar Tscode"))</f>
        <v/>
      </c>
      <c r="B123" s="1" t="str">
        <f aca="false">IF(Brasil!C123="","",Brasil!C123)</f>
        <v/>
      </c>
      <c r="C123" s="1" t="str">
        <f aca="false">IF(Brasil!C123="","",Brasil!A123)</f>
        <v/>
      </c>
      <c r="D123" s="1" t="str">
        <f aca="false">IF(Brasil!C123="","",Brasil!E123)</f>
        <v/>
      </c>
      <c r="E123" s="1" t="str">
        <f aca="false">IF(Brasil!C123="","",Brasil!F123)</f>
        <v/>
      </c>
      <c r="F123" s="1" t="str">
        <f aca="false">IF(Brasil!C123="","",Brasil!D123)</f>
        <v/>
      </c>
      <c r="I123" s="1" t="str">
        <f aca="false">IF(Brasil!C123="","",Brasil!H123)</f>
        <v/>
      </c>
      <c r="J123" s="1" t="str">
        <f aca="false">IF(Brasil!C123="","",Brasil!D123*Brasil!H123)</f>
        <v/>
      </c>
      <c r="K123" s="1" t="str">
        <f aca="false">IF(Brasil!C123="","","BR")</f>
        <v/>
      </c>
      <c r="L123" s="1" t="str">
        <f aca="false">IF(Brasil!C123="","",IFERROR(INDEX(Gamma_Catalogo!$D$3:$D$1451,MATCH(Brasil!E123,Gamma_Catalogo!$A$3:$A$1451,0)),"Revisar Ip Code"))</f>
        <v/>
      </c>
      <c r="M123" s="1" t="str">
        <f aca="false">IF(Brasil!C123="","",IFERROR(INDEX(Gamma_Catalogo!$C$3:$C$1451,MATCH(Brasil!E123,Gamma_Catalogo!$A$3:$A$1451,0)),"Revisar Ip Code"))</f>
        <v/>
      </c>
      <c r="N123" s="1" t="str">
        <f aca="false">IF(Brasil!C123="","",IFERROR(INDEX(Gamma_Catalogo!$E$3:$E$1451,MATCH(Brasil!E123,Gamma_Catalogo!$A$3:$A$1451,0)),"Revisar Ip Code"))</f>
        <v/>
      </c>
      <c r="O123" s="1" t="str">
        <f aca="false">IF(Brasil!C123="","","Brasil")</f>
        <v/>
      </c>
    </row>
    <row r="124" customFormat="false" ht="15" hidden="false" customHeight="true" outlineLevel="0" collapsed="false">
      <c r="A124" s="1" t="str">
        <f aca="false">IF(Brasil!C124="","",IFERROR(INDEX(Mercados!$C$2:$C$32,MATCH(Brasil!B124,Mercados!$A$2:$A$32,0)),"Revisar Tscode"))</f>
        <v/>
      </c>
      <c r="B124" s="1" t="str">
        <f aca="false">IF(Brasil!C124="","",Brasil!C124)</f>
        <v/>
      </c>
      <c r="C124" s="1" t="str">
        <f aca="false">IF(Brasil!C124="","",Brasil!A124)</f>
        <v/>
      </c>
      <c r="D124" s="1" t="str">
        <f aca="false">IF(Brasil!C124="","",Brasil!E124)</f>
        <v/>
      </c>
      <c r="E124" s="1" t="str">
        <f aca="false">IF(Brasil!C124="","",Brasil!F124)</f>
        <v/>
      </c>
      <c r="F124" s="1" t="str">
        <f aca="false">IF(Brasil!C124="","",Brasil!D124)</f>
        <v/>
      </c>
      <c r="I124" s="1" t="str">
        <f aca="false">IF(Brasil!C124="","",Brasil!H124)</f>
        <v/>
      </c>
      <c r="J124" s="1" t="str">
        <f aca="false">IF(Brasil!C124="","",Brasil!D124*Brasil!H124)</f>
        <v/>
      </c>
      <c r="K124" s="1" t="str">
        <f aca="false">IF(Brasil!C124="","","BR")</f>
        <v/>
      </c>
      <c r="L124" s="1" t="str">
        <f aca="false">IF(Brasil!C124="","",IFERROR(INDEX(Gamma_Catalogo!$D$3:$D$1451,MATCH(Brasil!E124,Gamma_Catalogo!$A$3:$A$1451,0)),"Revisar Ip Code"))</f>
        <v/>
      </c>
      <c r="M124" s="1" t="str">
        <f aca="false">IF(Brasil!C124="","",IFERROR(INDEX(Gamma_Catalogo!$C$3:$C$1451,MATCH(Brasil!E124,Gamma_Catalogo!$A$3:$A$1451,0)),"Revisar Ip Code"))</f>
        <v/>
      </c>
      <c r="N124" s="1" t="str">
        <f aca="false">IF(Brasil!C124="","",IFERROR(INDEX(Gamma_Catalogo!$E$3:$E$1451,MATCH(Brasil!E124,Gamma_Catalogo!$A$3:$A$1451,0)),"Revisar Ip Code"))</f>
        <v/>
      </c>
      <c r="O124" s="1" t="str">
        <f aca="false">IF(Brasil!C124="","","Brasil")</f>
        <v/>
      </c>
    </row>
    <row r="125" customFormat="false" ht="15" hidden="false" customHeight="true" outlineLevel="0" collapsed="false">
      <c r="A125" s="1" t="str">
        <f aca="false">IF(Brasil!C125="","",IFERROR(INDEX(Mercados!$C$2:$C$32,MATCH(Brasil!B125,Mercados!$A$2:$A$32,0)),"Revisar Tscode"))</f>
        <v/>
      </c>
      <c r="B125" s="1" t="str">
        <f aca="false">IF(Brasil!C125="","",Brasil!C125)</f>
        <v/>
      </c>
      <c r="C125" s="1" t="str">
        <f aca="false">IF(Brasil!C125="","",Brasil!A125)</f>
        <v/>
      </c>
      <c r="D125" s="1" t="str">
        <f aca="false">IF(Brasil!C125="","",Brasil!E125)</f>
        <v/>
      </c>
      <c r="E125" s="1" t="str">
        <f aca="false">IF(Brasil!C125="","",Brasil!F125)</f>
        <v/>
      </c>
      <c r="F125" s="1" t="str">
        <f aca="false">IF(Brasil!C125="","",Brasil!D125)</f>
        <v/>
      </c>
      <c r="I125" s="1" t="str">
        <f aca="false">IF(Brasil!C125="","",Brasil!H125)</f>
        <v/>
      </c>
      <c r="J125" s="1" t="str">
        <f aca="false">IF(Brasil!C125="","",Brasil!D125*Brasil!H125)</f>
        <v/>
      </c>
      <c r="K125" s="1" t="str">
        <f aca="false">IF(Brasil!C125="","","BR")</f>
        <v/>
      </c>
      <c r="L125" s="1" t="str">
        <f aca="false">IF(Brasil!C125="","",IFERROR(INDEX(Gamma_Catalogo!$D$3:$D$1451,MATCH(Brasil!E125,Gamma_Catalogo!$A$3:$A$1451,0)),"Revisar Ip Code"))</f>
        <v/>
      </c>
      <c r="M125" s="1" t="str">
        <f aca="false">IF(Brasil!C125="","",IFERROR(INDEX(Gamma_Catalogo!$C$3:$C$1451,MATCH(Brasil!E125,Gamma_Catalogo!$A$3:$A$1451,0)),"Revisar Ip Code"))</f>
        <v/>
      </c>
      <c r="N125" s="1" t="str">
        <f aca="false">IF(Brasil!C125="","",IFERROR(INDEX(Gamma_Catalogo!$E$3:$E$1451,MATCH(Brasil!E125,Gamma_Catalogo!$A$3:$A$1451,0)),"Revisar Ip Code"))</f>
        <v/>
      </c>
      <c r="O125" s="1" t="str">
        <f aca="false">IF(Brasil!C125="","","Brasil")</f>
        <v/>
      </c>
    </row>
    <row r="126" customFormat="false" ht="15" hidden="false" customHeight="true" outlineLevel="0" collapsed="false">
      <c r="A126" s="1" t="str">
        <f aca="false">IF(Brasil!C126="","",IFERROR(INDEX(Mercados!$C$2:$C$32,MATCH(Brasil!B126,Mercados!$A$2:$A$32,0)),"Revisar Tscode"))</f>
        <v/>
      </c>
      <c r="B126" s="1" t="str">
        <f aca="false">IF(Brasil!C126="","",Brasil!C126)</f>
        <v/>
      </c>
      <c r="C126" s="1" t="str">
        <f aca="false">IF(Brasil!C126="","",Brasil!A126)</f>
        <v/>
      </c>
      <c r="D126" s="1" t="str">
        <f aca="false">IF(Brasil!C126="","",Brasil!E126)</f>
        <v/>
      </c>
      <c r="E126" s="1" t="str">
        <f aca="false">IF(Brasil!C126="","",Brasil!F126)</f>
        <v/>
      </c>
      <c r="F126" s="1" t="str">
        <f aca="false">IF(Brasil!C126="","",Brasil!D126)</f>
        <v/>
      </c>
      <c r="I126" s="1" t="str">
        <f aca="false">IF(Brasil!C126="","",Brasil!H126)</f>
        <v/>
      </c>
      <c r="J126" s="1" t="str">
        <f aca="false">IF(Brasil!C126="","",Brasil!D126*Brasil!H126)</f>
        <v/>
      </c>
      <c r="K126" s="1" t="str">
        <f aca="false">IF(Brasil!C126="","","BR")</f>
        <v/>
      </c>
      <c r="L126" s="1" t="str">
        <f aca="false">IF(Brasil!C126="","",IFERROR(INDEX(Gamma_Catalogo!$D$3:$D$1451,MATCH(Brasil!E126,Gamma_Catalogo!$A$3:$A$1451,0)),"Revisar Ip Code"))</f>
        <v/>
      </c>
      <c r="M126" s="1" t="str">
        <f aca="false">IF(Brasil!C126="","",IFERROR(INDEX(Gamma_Catalogo!$C$3:$C$1451,MATCH(Brasil!E126,Gamma_Catalogo!$A$3:$A$1451,0)),"Revisar Ip Code"))</f>
        <v/>
      </c>
      <c r="N126" s="1" t="str">
        <f aca="false">IF(Brasil!C126="","",IFERROR(INDEX(Gamma_Catalogo!$E$3:$E$1451,MATCH(Brasil!E126,Gamma_Catalogo!$A$3:$A$1451,0)),"Revisar Ip Code"))</f>
        <v/>
      </c>
      <c r="O126" s="1" t="str">
        <f aca="false">IF(Brasil!C126="","","Brasil")</f>
        <v/>
      </c>
    </row>
    <row r="127" customFormat="false" ht="15" hidden="false" customHeight="true" outlineLevel="0" collapsed="false">
      <c r="A127" s="1" t="str">
        <f aca="false">IF(Brasil!C127="","",IFERROR(INDEX(Mercados!$C$2:$C$32,MATCH(Brasil!B127,Mercados!$A$2:$A$32,0)),"Revisar Tscode"))</f>
        <v/>
      </c>
      <c r="B127" s="1" t="str">
        <f aca="false">IF(Brasil!C127="","",Brasil!C127)</f>
        <v/>
      </c>
      <c r="C127" s="1" t="str">
        <f aca="false">IF(Brasil!C127="","",Brasil!A127)</f>
        <v/>
      </c>
      <c r="D127" s="1" t="str">
        <f aca="false">IF(Brasil!C127="","",Brasil!E127)</f>
        <v/>
      </c>
      <c r="E127" s="1" t="str">
        <f aca="false">IF(Brasil!C127="","",Brasil!F127)</f>
        <v/>
      </c>
      <c r="F127" s="1" t="str">
        <f aca="false">IF(Brasil!C127="","",Brasil!D127)</f>
        <v/>
      </c>
      <c r="I127" s="1" t="str">
        <f aca="false">IF(Brasil!C127="","",Brasil!H127)</f>
        <v/>
      </c>
      <c r="J127" s="1" t="str">
        <f aca="false">IF(Brasil!C127="","",Brasil!D127*Brasil!H127)</f>
        <v/>
      </c>
      <c r="K127" s="1" t="str">
        <f aca="false">IF(Brasil!C127="","","BR")</f>
        <v/>
      </c>
      <c r="L127" s="1" t="str">
        <f aca="false">IF(Brasil!C127="","",IFERROR(INDEX(Gamma_Catalogo!$D$3:$D$1451,MATCH(Brasil!E127,Gamma_Catalogo!$A$3:$A$1451,0)),"Revisar Ip Code"))</f>
        <v/>
      </c>
      <c r="M127" s="1" t="str">
        <f aca="false">IF(Brasil!C127="","",IFERROR(INDEX(Gamma_Catalogo!$C$3:$C$1451,MATCH(Brasil!E127,Gamma_Catalogo!$A$3:$A$1451,0)),"Revisar Ip Code"))</f>
        <v/>
      </c>
      <c r="N127" s="1" t="str">
        <f aca="false">IF(Brasil!C127="","",IFERROR(INDEX(Gamma_Catalogo!$E$3:$E$1451,MATCH(Brasil!E127,Gamma_Catalogo!$A$3:$A$1451,0)),"Revisar Ip Code"))</f>
        <v/>
      </c>
      <c r="O127" s="1" t="str">
        <f aca="false">IF(Brasil!C127="","","Brasil")</f>
        <v/>
      </c>
    </row>
    <row r="128" customFormat="false" ht="15" hidden="false" customHeight="true" outlineLevel="0" collapsed="false">
      <c r="A128" s="1" t="str">
        <f aca="false">IF(Brasil!C128="","",IFERROR(INDEX(Mercados!$C$2:$C$32,MATCH(Brasil!B128,Mercados!$A$2:$A$32,0)),"Revisar Tscode"))</f>
        <v/>
      </c>
      <c r="B128" s="1" t="str">
        <f aca="false">IF(Brasil!C128="","",Brasil!C128)</f>
        <v/>
      </c>
      <c r="C128" s="1" t="str">
        <f aca="false">IF(Brasil!C128="","",Brasil!A128)</f>
        <v/>
      </c>
      <c r="D128" s="1" t="str">
        <f aca="false">IF(Brasil!C128="","",Brasil!E128)</f>
        <v/>
      </c>
      <c r="E128" s="1" t="str">
        <f aca="false">IF(Brasil!C128="","",Brasil!F128)</f>
        <v/>
      </c>
      <c r="F128" s="1" t="str">
        <f aca="false">IF(Brasil!C128="","",Brasil!D128)</f>
        <v/>
      </c>
      <c r="I128" s="1" t="str">
        <f aca="false">IF(Brasil!C128="","",Brasil!H128)</f>
        <v/>
      </c>
      <c r="J128" s="1" t="str">
        <f aca="false">IF(Brasil!C128="","",Brasil!D128*Brasil!H128)</f>
        <v/>
      </c>
      <c r="K128" s="1" t="str">
        <f aca="false">IF(Brasil!C128="","","BR")</f>
        <v/>
      </c>
      <c r="L128" s="1" t="str">
        <f aca="false">IF(Brasil!C128="","",IFERROR(INDEX(Gamma_Catalogo!$D$3:$D$1451,MATCH(Brasil!E128,Gamma_Catalogo!$A$3:$A$1451,0)),"Revisar Ip Code"))</f>
        <v/>
      </c>
      <c r="M128" s="1" t="str">
        <f aca="false">IF(Brasil!C128="","",IFERROR(INDEX(Gamma_Catalogo!$C$3:$C$1451,MATCH(Brasil!E128,Gamma_Catalogo!$A$3:$A$1451,0)),"Revisar Ip Code"))</f>
        <v/>
      </c>
      <c r="N128" s="1" t="str">
        <f aca="false">IF(Brasil!C128="","",IFERROR(INDEX(Gamma_Catalogo!$E$3:$E$1451,MATCH(Brasil!E128,Gamma_Catalogo!$A$3:$A$1451,0)),"Revisar Ip Code"))</f>
        <v/>
      </c>
      <c r="O128" s="1" t="str">
        <f aca="false">IF(Brasil!C128="","","Brasil")</f>
        <v/>
      </c>
    </row>
    <row r="129" customFormat="false" ht="15" hidden="false" customHeight="true" outlineLevel="0" collapsed="false">
      <c r="A129" s="1" t="str">
        <f aca="false">IF(Brasil!C129="","",IFERROR(INDEX(Mercados!$C$2:$C$32,MATCH(Brasil!B129,Mercados!$A$2:$A$32,0)),"Revisar Tscode"))</f>
        <v/>
      </c>
      <c r="B129" s="1" t="str">
        <f aca="false">IF(Brasil!C129="","",Brasil!C129)</f>
        <v/>
      </c>
      <c r="C129" s="1" t="str">
        <f aca="false">IF(Brasil!C129="","",Brasil!A129)</f>
        <v/>
      </c>
      <c r="D129" s="1" t="str">
        <f aca="false">IF(Brasil!C129="","",Brasil!E129)</f>
        <v/>
      </c>
      <c r="E129" s="1" t="str">
        <f aca="false">IF(Brasil!C129="","",Brasil!F129)</f>
        <v/>
      </c>
      <c r="F129" s="1" t="str">
        <f aca="false">IF(Brasil!C129="","",Brasil!D129)</f>
        <v/>
      </c>
      <c r="I129" s="1" t="str">
        <f aca="false">IF(Brasil!C129="","",Brasil!H129)</f>
        <v/>
      </c>
      <c r="J129" s="1" t="str">
        <f aca="false">IF(Brasil!C129="","",Brasil!D129*Brasil!H129)</f>
        <v/>
      </c>
      <c r="K129" s="1" t="str">
        <f aca="false">IF(Brasil!C129="","","BR")</f>
        <v/>
      </c>
      <c r="L129" s="1" t="str">
        <f aca="false">IF(Brasil!C129="","",IFERROR(INDEX(Gamma_Catalogo!$D$3:$D$1451,MATCH(Brasil!E129,Gamma_Catalogo!$A$3:$A$1451,0)),"Revisar Ip Code"))</f>
        <v/>
      </c>
      <c r="M129" s="1" t="str">
        <f aca="false">IF(Brasil!C129="","",IFERROR(INDEX(Gamma_Catalogo!$C$3:$C$1451,MATCH(Brasil!E129,Gamma_Catalogo!$A$3:$A$1451,0)),"Revisar Ip Code"))</f>
        <v/>
      </c>
      <c r="N129" s="1" t="str">
        <f aca="false">IF(Brasil!C129="","",IFERROR(INDEX(Gamma_Catalogo!$E$3:$E$1451,MATCH(Brasil!E129,Gamma_Catalogo!$A$3:$A$1451,0)),"Revisar Ip Code"))</f>
        <v/>
      </c>
      <c r="O129" s="1" t="str">
        <f aca="false">IF(Brasil!C129="","","Brasil")</f>
        <v/>
      </c>
    </row>
    <row r="130" customFormat="false" ht="15" hidden="false" customHeight="true" outlineLevel="0" collapsed="false">
      <c r="A130" s="1" t="str">
        <f aca="false">IF(Brasil!C130="","",IFERROR(INDEX(Mercados!$C$2:$C$32,MATCH(Brasil!B130,Mercados!$A$2:$A$32,0)),"Revisar Tscode"))</f>
        <v/>
      </c>
      <c r="B130" s="1" t="str">
        <f aca="false">IF(Brasil!C130="","",Brasil!C130)</f>
        <v/>
      </c>
      <c r="C130" s="1" t="str">
        <f aca="false">IF(Brasil!C130="","",Brasil!A130)</f>
        <v/>
      </c>
      <c r="D130" s="1" t="str">
        <f aca="false">IF(Brasil!C130="","",Brasil!E130)</f>
        <v/>
      </c>
      <c r="E130" s="1" t="str">
        <f aca="false">IF(Brasil!C130="","",Brasil!F130)</f>
        <v/>
      </c>
      <c r="F130" s="1" t="str">
        <f aca="false">IF(Brasil!C130="","",Brasil!D130)</f>
        <v/>
      </c>
      <c r="I130" s="1" t="str">
        <f aca="false">IF(Brasil!C130="","",Brasil!H130)</f>
        <v/>
      </c>
      <c r="J130" s="1" t="str">
        <f aca="false">IF(Brasil!C130="","",Brasil!D130*Brasil!H130)</f>
        <v/>
      </c>
      <c r="K130" s="1" t="str">
        <f aca="false">IF(Brasil!C130="","","BR")</f>
        <v/>
      </c>
      <c r="L130" s="1" t="str">
        <f aca="false">IF(Brasil!C130="","",IFERROR(INDEX(Gamma_Catalogo!$D$3:$D$1451,MATCH(Brasil!E130,Gamma_Catalogo!$A$3:$A$1451,0)),"Revisar Ip Code"))</f>
        <v/>
      </c>
      <c r="M130" s="1" t="str">
        <f aca="false">IF(Brasil!C130="","",IFERROR(INDEX(Gamma_Catalogo!$C$3:$C$1451,MATCH(Brasil!E130,Gamma_Catalogo!$A$3:$A$1451,0)),"Revisar Ip Code"))</f>
        <v/>
      </c>
      <c r="N130" s="1" t="str">
        <f aca="false">IF(Brasil!C130="","",IFERROR(INDEX(Gamma_Catalogo!$E$3:$E$1451,MATCH(Brasil!E130,Gamma_Catalogo!$A$3:$A$1451,0)),"Revisar Ip Code"))</f>
        <v/>
      </c>
      <c r="O130" s="1" t="str">
        <f aca="false">IF(Brasil!C130="","","Brasil")</f>
        <v/>
      </c>
    </row>
    <row r="131" customFormat="false" ht="15" hidden="false" customHeight="true" outlineLevel="0" collapsed="false">
      <c r="A131" s="1" t="str">
        <f aca="false">IF(Brasil!C131="","",IFERROR(INDEX(Mercados!$C$2:$C$32,MATCH(Brasil!B131,Mercados!$A$2:$A$32,0)),"Revisar Tscode"))</f>
        <v/>
      </c>
      <c r="B131" s="1" t="str">
        <f aca="false">IF(Brasil!C131="","",Brasil!C131)</f>
        <v/>
      </c>
      <c r="C131" s="1" t="str">
        <f aca="false">IF(Brasil!C131="","",Brasil!A131)</f>
        <v/>
      </c>
      <c r="D131" s="1" t="str">
        <f aca="false">IF(Brasil!C131="","",Brasil!E131)</f>
        <v/>
      </c>
      <c r="E131" s="1" t="str">
        <f aca="false">IF(Brasil!C131="","",Brasil!F131)</f>
        <v/>
      </c>
      <c r="F131" s="1" t="str">
        <f aca="false">IF(Brasil!C131="","",Brasil!D131)</f>
        <v/>
      </c>
      <c r="I131" s="1" t="str">
        <f aca="false">IF(Brasil!C131="","",Brasil!H131)</f>
        <v/>
      </c>
      <c r="J131" s="1" t="str">
        <f aca="false">IF(Brasil!C131="","",Brasil!D131*Brasil!H131)</f>
        <v/>
      </c>
      <c r="K131" s="1" t="str">
        <f aca="false">IF(Brasil!C131="","","BR")</f>
        <v/>
      </c>
      <c r="L131" s="1" t="str">
        <f aca="false">IF(Brasil!C131="","",IFERROR(INDEX(Gamma_Catalogo!$D$3:$D$1451,MATCH(Brasil!E131,Gamma_Catalogo!$A$3:$A$1451,0)),"Revisar Ip Code"))</f>
        <v/>
      </c>
      <c r="M131" s="1" t="str">
        <f aca="false">IF(Brasil!C131="","",IFERROR(INDEX(Gamma_Catalogo!$C$3:$C$1451,MATCH(Brasil!E131,Gamma_Catalogo!$A$3:$A$1451,0)),"Revisar Ip Code"))</f>
        <v/>
      </c>
      <c r="N131" s="1" t="str">
        <f aca="false">IF(Brasil!C131="","",IFERROR(INDEX(Gamma_Catalogo!$E$3:$E$1451,MATCH(Brasil!E131,Gamma_Catalogo!$A$3:$A$1451,0)),"Revisar Ip Code"))</f>
        <v/>
      </c>
      <c r="O131" s="1" t="str">
        <f aca="false">IF(Brasil!C131="","","Brasil")</f>
        <v/>
      </c>
    </row>
    <row r="132" customFormat="false" ht="15" hidden="false" customHeight="true" outlineLevel="0" collapsed="false">
      <c r="A132" s="1" t="str">
        <f aca="false">IF(Brasil!C132="","",IFERROR(INDEX(Mercados!$C$2:$C$32,MATCH(Brasil!B132,Mercados!$A$2:$A$32,0)),"Revisar Tscode"))</f>
        <v/>
      </c>
      <c r="B132" s="1" t="str">
        <f aca="false">IF(Brasil!C132="","",Brasil!C132)</f>
        <v/>
      </c>
      <c r="C132" s="1" t="str">
        <f aca="false">IF(Brasil!C132="","",Brasil!A132)</f>
        <v/>
      </c>
      <c r="D132" s="1" t="str">
        <f aca="false">IF(Brasil!C132="","",Brasil!E132)</f>
        <v/>
      </c>
      <c r="E132" s="1" t="str">
        <f aca="false">IF(Brasil!C132="","",Brasil!F132)</f>
        <v/>
      </c>
      <c r="F132" s="1" t="str">
        <f aca="false">IF(Brasil!C132="","",Brasil!D132)</f>
        <v/>
      </c>
      <c r="I132" s="1" t="str">
        <f aca="false">IF(Brasil!C132="","",Brasil!H132)</f>
        <v/>
      </c>
      <c r="J132" s="1" t="str">
        <f aca="false">IF(Brasil!C132="","",Brasil!D132*Brasil!H132)</f>
        <v/>
      </c>
      <c r="K132" s="1" t="str">
        <f aca="false">IF(Brasil!C132="","","BR")</f>
        <v/>
      </c>
      <c r="L132" s="1" t="str">
        <f aca="false">IF(Brasil!C132="","",IFERROR(INDEX(Gamma_Catalogo!$D$3:$D$1451,MATCH(Brasil!E132,Gamma_Catalogo!$A$3:$A$1451,0)),"Revisar Ip Code"))</f>
        <v/>
      </c>
      <c r="M132" s="1" t="str">
        <f aca="false">IF(Brasil!C132="","",IFERROR(INDEX(Gamma_Catalogo!$C$3:$C$1451,MATCH(Brasil!E132,Gamma_Catalogo!$A$3:$A$1451,0)),"Revisar Ip Code"))</f>
        <v/>
      </c>
      <c r="N132" s="1" t="str">
        <f aca="false">IF(Brasil!C132="","",IFERROR(INDEX(Gamma_Catalogo!$E$3:$E$1451,MATCH(Brasil!E132,Gamma_Catalogo!$A$3:$A$1451,0)),"Revisar Ip Code"))</f>
        <v/>
      </c>
      <c r="O132" s="1" t="str">
        <f aca="false">IF(Brasil!C132="","","Brasil")</f>
        <v/>
      </c>
    </row>
    <row r="133" customFormat="false" ht="15" hidden="false" customHeight="true" outlineLevel="0" collapsed="false">
      <c r="A133" s="1" t="str">
        <f aca="false">IF(Brasil!C133="","",IFERROR(INDEX(Mercados!$C$2:$C$32,MATCH(Brasil!B133,Mercados!$A$2:$A$32,0)),"Revisar Tscode"))</f>
        <v/>
      </c>
      <c r="B133" s="1" t="str">
        <f aca="false">IF(Brasil!C133="","",Brasil!C133)</f>
        <v/>
      </c>
      <c r="C133" s="1" t="str">
        <f aca="false">IF(Brasil!C133="","",Brasil!A133)</f>
        <v/>
      </c>
      <c r="D133" s="1" t="str">
        <f aca="false">IF(Brasil!C133="","",Brasil!E133)</f>
        <v/>
      </c>
      <c r="E133" s="1" t="str">
        <f aca="false">IF(Brasil!C133="","",Brasil!F133)</f>
        <v/>
      </c>
      <c r="F133" s="1" t="str">
        <f aca="false">IF(Brasil!C133="","",Brasil!D133)</f>
        <v/>
      </c>
      <c r="I133" s="1" t="str">
        <f aca="false">IF(Brasil!C133="","",Brasil!H133)</f>
        <v/>
      </c>
      <c r="J133" s="1" t="str">
        <f aca="false">IF(Brasil!C133="","",Brasil!D133*Brasil!H133)</f>
        <v/>
      </c>
      <c r="K133" s="1" t="str">
        <f aca="false">IF(Brasil!C133="","","BR")</f>
        <v/>
      </c>
      <c r="L133" s="1" t="str">
        <f aca="false">IF(Brasil!C133="","",IFERROR(INDEX(Gamma_Catalogo!$D$3:$D$1451,MATCH(Brasil!E133,Gamma_Catalogo!$A$3:$A$1451,0)),"Revisar Ip Code"))</f>
        <v/>
      </c>
      <c r="M133" s="1" t="str">
        <f aca="false">IF(Brasil!C133="","",IFERROR(INDEX(Gamma_Catalogo!$C$3:$C$1451,MATCH(Brasil!E133,Gamma_Catalogo!$A$3:$A$1451,0)),"Revisar Ip Code"))</f>
        <v/>
      </c>
      <c r="N133" s="1" t="str">
        <f aca="false">IF(Brasil!C133="","",IFERROR(INDEX(Gamma_Catalogo!$E$3:$E$1451,MATCH(Brasil!E133,Gamma_Catalogo!$A$3:$A$1451,0)),"Revisar Ip Code"))</f>
        <v/>
      </c>
      <c r="O133" s="1" t="str">
        <f aca="false">IF(Brasil!C133="","","Brasil")</f>
        <v/>
      </c>
    </row>
    <row r="134" customFormat="false" ht="15" hidden="false" customHeight="true" outlineLevel="0" collapsed="false">
      <c r="A134" s="1" t="str">
        <f aca="false">IF(Brasil!C134="","",IFERROR(INDEX(Mercados!$C$2:$C$32,MATCH(Brasil!B134,Mercados!$A$2:$A$32,0)),"Revisar Tscode"))</f>
        <v/>
      </c>
      <c r="B134" s="1" t="str">
        <f aca="false">IF(Brasil!C134="","",Brasil!C134)</f>
        <v/>
      </c>
      <c r="C134" s="1" t="str">
        <f aca="false">IF(Brasil!C134="","",Brasil!A134)</f>
        <v/>
      </c>
      <c r="D134" s="1" t="str">
        <f aca="false">IF(Brasil!C134="","",Brasil!E134)</f>
        <v/>
      </c>
      <c r="E134" s="1" t="str">
        <f aca="false">IF(Brasil!C134="","",Brasil!F134)</f>
        <v/>
      </c>
      <c r="F134" s="1" t="str">
        <f aca="false">IF(Brasil!C134="","",Brasil!D134)</f>
        <v/>
      </c>
      <c r="I134" s="1" t="str">
        <f aca="false">IF(Brasil!C134="","",Brasil!H134)</f>
        <v/>
      </c>
      <c r="J134" s="1" t="str">
        <f aca="false">IF(Brasil!C134="","",Brasil!D134*Brasil!H134)</f>
        <v/>
      </c>
      <c r="K134" s="1" t="str">
        <f aca="false">IF(Brasil!C134="","","BR")</f>
        <v/>
      </c>
      <c r="L134" s="1" t="str">
        <f aca="false">IF(Brasil!C134="","",IFERROR(INDEX(Gamma_Catalogo!$D$3:$D$1451,MATCH(Brasil!E134,Gamma_Catalogo!$A$3:$A$1451,0)),"Revisar Ip Code"))</f>
        <v/>
      </c>
      <c r="M134" s="1" t="str">
        <f aca="false">IF(Brasil!C134="","",IFERROR(INDEX(Gamma_Catalogo!$C$3:$C$1451,MATCH(Brasil!E134,Gamma_Catalogo!$A$3:$A$1451,0)),"Revisar Ip Code"))</f>
        <v/>
      </c>
      <c r="N134" s="1" t="str">
        <f aca="false">IF(Brasil!C134="","",IFERROR(INDEX(Gamma_Catalogo!$E$3:$E$1451,MATCH(Brasil!E134,Gamma_Catalogo!$A$3:$A$1451,0)),"Revisar Ip Code"))</f>
        <v/>
      </c>
      <c r="O134" s="1" t="str">
        <f aca="false">IF(Brasil!C134="","","Brasil")</f>
        <v/>
      </c>
    </row>
    <row r="135" customFormat="false" ht="15" hidden="false" customHeight="true" outlineLevel="0" collapsed="false">
      <c r="A135" s="1" t="str">
        <f aca="false">IF(Brasil!C135="","",IFERROR(INDEX(Mercados!$C$2:$C$32,MATCH(Brasil!B135,Mercados!$A$2:$A$32,0)),"Revisar Tscode"))</f>
        <v/>
      </c>
      <c r="B135" s="1" t="str">
        <f aca="false">IF(Brasil!C135="","",Brasil!C135)</f>
        <v/>
      </c>
      <c r="C135" s="1" t="str">
        <f aca="false">IF(Brasil!C135="","",Brasil!A135)</f>
        <v/>
      </c>
      <c r="D135" s="1" t="str">
        <f aca="false">IF(Brasil!C135="","",Brasil!E135)</f>
        <v/>
      </c>
      <c r="E135" s="1" t="str">
        <f aca="false">IF(Brasil!C135="","",Brasil!F135)</f>
        <v/>
      </c>
      <c r="F135" s="1" t="str">
        <f aca="false">IF(Brasil!C135="","",Brasil!D135)</f>
        <v/>
      </c>
      <c r="I135" s="1" t="str">
        <f aca="false">IF(Brasil!C135="","",Brasil!H135)</f>
        <v/>
      </c>
      <c r="J135" s="1" t="str">
        <f aca="false">IF(Brasil!C135="","",Brasil!D135*Brasil!H135)</f>
        <v/>
      </c>
      <c r="K135" s="1" t="str">
        <f aca="false">IF(Brasil!C135="","","BR")</f>
        <v/>
      </c>
      <c r="L135" s="1" t="str">
        <f aca="false">IF(Brasil!C135="","",IFERROR(INDEX(Gamma_Catalogo!$D$3:$D$1451,MATCH(Brasil!E135,Gamma_Catalogo!$A$3:$A$1451,0)),"Revisar Ip Code"))</f>
        <v/>
      </c>
      <c r="M135" s="1" t="str">
        <f aca="false">IF(Brasil!C135="","",IFERROR(INDEX(Gamma_Catalogo!$C$3:$C$1451,MATCH(Brasil!E135,Gamma_Catalogo!$A$3:$A$1451,0)),"Revisar Ip Code"))</f>
        <v/>
      </c>
      <c r="N135" s="1" t="str">
        <f aca="false">IF(Brasil!C135="","",IFERROR(INDEX(Gamma_Catalogo!$E$3:$E$1451,MATCH(Brasil!E135,Gamma_Catalogo!$A$3:$A$1451,0)),"Revisar Ip Code"))</f>
        <v/>
      </c>
      <c r="O135" s="1" t="str">
        <f aca="false">IF(Brasil!C135="","","Brasil")</f>
        <v/>
      </c>
    </row>
    <row r="136" customFormat="false" ht="15" hidden="false" customHeight="true" outlineLevel="0" collapsed="false">
      <c r="A136" s="1" t="str">
        <f aca="false">IF(Brasil!C136="","",IFERROR(INDEX(Mercados!$C$2:$C$32,MATCH(Brasil!B136,Mercados!$A$2:$A$32,0)),"Revisar Tscode"))</f>
        <v/>
      </c>
      <c r="B136" s="1" t="str">
        <f aca="false">IF(Brasil!C136="","",Brasil!C136)</f>
        <v/>
      </c>
      <c r="C136" s="1" t="str">
        <f aca="false">IF(Brasil!C136="","",Brasil!A136)</f>
        <v/>
      </c>
      <c r="D136" s="1" t="str">
        <f aca="false">IF(Brasil!C136="","",Brasil!E136)</f>
        <v/>
      </c>
      <c r="E136" s="1" t="str">
        <f aca="false">IF(Brasil!C136="","",Brasil!F136)</f>
        <v/>
      </c>
      <c r="F136" s="1" t="str">
        <f aca="false">IF(Brasil!C136="","",Brasil!D136)</f>
        <v/>
      </c>
      <c r="I136" s="1" t="str">
        <f aca="false">IF(Brasil!C136="","",Brasil!H136)</f>
        <v/>
      </c>
      <c r="J136" s="1" t="str">
        <f aca="false">IF(Brasil!C136="","",Brasil!D136*Brasil!H136)</f>
        <v/>
      </c>
      <c r="K136" s="1" t="str">
        <f aca="false">IF(Brasil!C136="","","BR")</f>
        <v/>
      </c>
      <c r="L136" s="1" t="str">
        <f aca="false">IF(Brasil!C136="","",IFERROR(INDEX(Gamma_Catalogo!$D$3:$D$1451,MATCH(Brasil!E136,Gamma_Catalogo!$A$3:$A$1451,0)),"Revisar Ip Code"))</f>
        <v/>
      </c>
      <c r="M136" s="1" t="str">
        <f aca="false">IF(Brasil!C136="","",IFERROR(INDEX(Gamma_Catalogo!$C$3:$C$1451,MATCH(Brasil!E136,Gamma_Catalogo!$A$3:$A$1451,0)),"Revisar Ip Code"))</f>
        <v/>
      </c>
      <c r="N136" s="1" t="str">
        <f aca="false">IF(Brasil!C136="","",IFERROR(INDEX(Gamma_Catalogo!$E$3:$E$1451,MATCH(Brasil!E136,Gamma_Catalogo!$A$3:$A$1451,0)),"Revisar Ip Code"))</f>
        <v/>
      </c>
      <c r="O136" s="1" t="str">
        <f aca="false">IF(Brasil!C136="","","Brasil")</f>
        <v/>
      </c>
    </row>
    <row r="137" customFormat="false" ht="15" hidden="false" customHeight="true" outlineLevel="0" collapsed="false">
      <c r="A137" s="1" t="str">
        <f aca="false">IF(Brasil!C137="","",IFERROR(INDEX(Mercados!$C$2:$C$32,MATCH(Brasil!B137,Mercados!$A$2:$A$32,0)),"Revisar Tscode"))</f>
        <v/>
      </c>
      <c r="B137" s="1" t="str">
        <f aca="false">IF(Brasil!C137="","",Brasil!C137)</f>
        <v/>
      </c>
      <c r="C137" s="1" t="str">
        <f aca="false">IF(Brasil!C137="","",Brasil!A137)</f>
        <v/>
      </c>
      <c r="D137" s="1" t="str">
        <f aca="false">IF(Brasil!C137="","",Brasil!E137)</f>
        <v/>
      </c>
      <c r="E137" s="1" t="str">
        <f aca="false">IF(Brasil!C137="","",Brasil!F137)</f>
        <v/>
      </c>
      <c r="F137" s="1" t="str">
        <f aca="false">IF(Brasil!C137="","",Brasil!D137)</f>
        <v/>
      </c>
      <c r="I137" s="1" t="str">
        <f aca="false">IF(Brasil!C137="","",Brasil!H137)</f>
        <v/>
      </c>
      <c r="J137" s="1" t="str">
        <f aca="false">IF(Brasil!C137="","",Brasil!D137*Brasil!H137)</f>
        <v/>
      </c>
      <c r="K137" s="1" t="str">
        <f aca="false">IF(Brasil!C137="","","BR")</f>
        <v/>
      </c>
      <c r="L137" s="1" t="str">
        <f aca="false">IF(Brasil!C137="","",IFERROR(INDEX(Gamma_Catalogo!$D$3:$D$1451,MATCH(Brasil!E137,Gamma_Catalogo!$A$3:$A$1451,0)),"Revisar Ip Code"))</f>
        <v/>
      </c>
      <c r="M137" s="1" t="str">
        <f aca="false">IF(Brasil!C137="","",IFERROR(INDEX(Gamma_Catalogo!$C$3:$C$1451,MATCH(Brasil!E137,Gamma_Catalogo!$A$3:$A$1451,0)),"Revisar Ip Code"))</f>
        <v/>
      </c>
      <c r="N137" s="1" t="str">
        <f aca="false">IF(Brasil!C137="","",IFERROR(INDEX(Gamma_Catalogo!$E$3:$E$1451,MATCH(Brasil!E137,Gamma_Catalogo!$A$3:$A$1451,0)),"Revisar Ip Code"))</f>
        <v/>
      </c>
      <c r="O137" s="1" t="str">
        <f aca="false">IF(Brasil!C137="","","Brasil")</f>
        <v/>
      </c>
    </row>
    <row r="138" customFormat="false" ht="15" hidden="false" customHeight="true" outlineLevel="0" collapsed="false">
      <c r="A138" s="1" t="str">
        <f aca="false">IF(Brasil!C138="","",IFERROR(INDEX(Mercados!$C$2:$C$32,MATCH(Brasil!B138,Mercados!$A$2:$A$32,0)),"Revisar Tscode"))</f>
        <v/>
      </c>
      <c r="B138" s="1" t="str">
        <f aca="false">IF(Brasil!C138="","",Brasil!C138)</f>
        <v/>
      </c>
      <c r="C138" s="1" t="str">
        <f aca="false">IF(Brasil!C138="","",Brasil!A138)</f>
        <v/>
      </c>
      <c r="D138" s="1" t="str">
        <f aca="false">IF(Brasil!C138="","",Brasil!E138)</f>
        <v/>
      </c>
      <c r="E138" s="1" t="str">
        <f aca="false">IF(Brasil!C138="","",Brasil!F138)</f>
        <v/>
      </c>
      <c r="F138" s="1" t="str">
        <f aca="false">IF(Brasil!C138="","",Brasil!D138)</f>
        <v/>
      </c>
      <c r="I138" s="1" t="str">
        <f aca="false">IF(Brasil!C138="","",Brasil!H138)</f>
        <v/>
      </c>
      <c r="J138" s="1" t="str">
        <f aca="false">IF(Brasil!C138="","",Brasil!D138*Brasil!H138)</f>
        <v/>
      </c>
      <c r="K138" s="1" t="str">
        <f aca="false">IF(Brasil!C138="","","BR")</f>
        <v/>
      </c>
      <c r="L138" s="1" t="str">
        <f aca="false">IF(Brasil!C138="","",IFERROR(INDEX(Gamma_Catalogo!$D$3:$D$1451,MATCH(Brasil!E138,Gamma_Catalogo!$A$3:$A$1451,0)),"Revisar Ip Code"))</f>
        <v/>
      </c>
      <c r="M138" s="1" t="str">
        <f aca="false">IF(Brasil!C138="","",IFERROR(INDEX(Gamma_Catalogo!$C$3:$C$1451,MATCH(Brasil!E138,Gamma_Catalogo!$A$3:$A$1451,0)),"Revisar Ip Code"))</f>
        <v/>
      </c>
      <c r="N138" s="1" t="str">
        <f aca="false">IF(Brasil!C138="","",IFERROR(INDEX(Gamma_Catalogo!$E$3:$E$1451,MATCH(Brasil!E138,Gamma_Catalogo!$A$3:$A$1451,0)),"Revisar Ip Code"))</f>
        <v/>
      </c>
      <c r="O138" s="1" t="str">
        <f aca="false">IF(Brasil!C138="","","Brasil")</f>
        <v/>
      </c>
    </row>
    <row r="139" customFormat="false" ht="15" hidden="false" customHeight="true" outlineLevel="0" collapsed="false">
      <c r="A139" s="1" t="str">
        <f aca="false">IF(Brasil!C139="","",IFERROR(INDEX(Mercados!$C$2:$C$32,MATCH(Brasil!B139,Mercados!$A$2:$A$32,0)),"Revisar Tscode"))</f>
        <v/>
      </c>
      <c r="B139" s="1" t="str">
        <f aca="false">IF(Brasil!C139="","",Brasil!C139)</f>
        <v/>
      </c>
      <c r="C139" s="1" t="str">
        <f aca="false">IF(Brasil!C139="","",Brasil!A139)</f>
        <v/>
      </c>
      <c r="D139" s="1" t="str">
        <f aca="false">IF(Brasil!C139="","",Brasil!E139)</f>
        <v/>
      </c>
      <c r="E139" s="1" t="str">
        <f aca="false">IF(Brasil!C139="","",Brasil!F139)</f>
        <v/>
      </c>
      <c r="F139" s="1" t="str">
        <f aca="false">IF(Brasil!C139="","",Brasil!D139)</f>
        <v/>
      </c>
      <c r="I139" s="1" t="str">
        <f aca="false">IF(Brasil!C139="","",Brasil!H139)</f>
        <v/>
      </c>
      <c r="J139" s="1" t="str">
        <f aca="false">IF(Brasil!C139="","",Brasil!D139*Brasil!H139)</f>
        <v/>
      </c>
      <c r="K139" s="1" t="str">
        <f aca="false">IF(Brasil!C139="","","BR")</f>
        <v/>
      </c>
      <c r="L139" s="1" t="str">
        <f aca="false">IF(Brasil!C139="","",IFERROR(INDEX(Gamma_Catalogo!$D$3:$D$1451,MATCH(Brasil!E139,Gamma_Catalogo!$A$3:$A$1451,0)),"Revisar Ip Code"))</f>
        <v/>
      </c>
      <c r="M139" s="1" t="str">
        <f aca="false">IF(Brasil!C139="","",IFERROR(INDEX(Gamma_Catalogo!$C$3:$C$1451,MATCH(Brasil!E139,Gamma_Catalogo!$A$3:$A$1451,0)),"Revisar Ip Code"))</f>
        <v/>
      </c>
      <c r="N139" s="1" t="str">
        <f aca="false">IF(Brasil!C139="","",IFERROR(INDEX(Gamma_Catalogo!$E$3:$E$1451,MATCH(Brasil!E139,Gamma_Catalogo!$A$3:$A$1451,0)),"Revisar Ip Code"))</f>
        <v/>
      </c>
      <c r="O139" s="1" t="str">
        <f aca="false">IF(Brasil!C139="","","Brasil")</f>
        <v/>
      </c>
    </row>
    <row r="140" customFormat="false" ht="15" hidden="false" customHeight="true" outlineLevel="0" collapsed="false">
      <c r="A140" s="1" t="str">
        <f aca="false">IF(Brasil!C140="","",IFERROR(INDEX(Mercados!$C$2:$C$32,MATCH(Brasil!B140,Mercados!$A$2:$A$32,0)),"Revisar Tscode"))</f>
        <v/>
      </c>
      <c r="B140" s="1" t="str">
        <f aca="false">IF(Brasil!C140="","",Brasil!C140)</f>
        <v/>
      </c>
      <c r="C140" s="1" t="str">
        <f aca="false">IF(Brasil!C140="","",Brasil!A140)</f>
        <v/>
      </c>
      <c r="D140" s="1" t="str">
        <f aca="false">IF(Brasil!C140="","",Brasil!E140)</f>
        <v/>
      </c>
      <c r="E140" s="1" t="str">
        <f aca="false">IF(Brasil!C140="","",Brasil!F140)</f>
        <v/>
      </c>
      <c r="F140" s="1" t="str">
        <f aca="false">IF(Brasil!C140="","",Brasil!D140)</f>
        <v/>
      </c>
      <c r="I140" s="1" t="str">
        <f aca="false">IF(Brasil!C140="","",Brasil!H140)</f>
        <v/>
      </c>
      <c r="J140" s="1" t="str">
        <f aca="false">IF(Brasil!C140="","",Brasil!D140*Brasil!H140)</f>
        <v/>
      </c>
      <c r="K140" s="1" t="str">
        <f aca="false">IF(Brasil!C140="","","BR")</f>
        <v/>
      </c>
      <c r="L140" s="1" t="str">
        <f aca="false">IF(Brasil!C140="","",IFERROR(INDEX(Gamma_Catalogo!$D$3:$D$1451,MATCH(Brasil!E140,Gamma_Catalogo!$A$3:$A$1451,0)),"Revisar Ip Code"))</f>
        <v/>
      </c>
      <c r="M140" s="1" t="str">
        <f aca="false">IF(Brasil!C140="","",IFERROR(INDEX(Gamma_Catalogo!$C$3:$C$1451,MATCH(Brasil!E140,Gamma_Catalogo!$A$3:$A$1451,0)),"Revisar Ip Code"))</f>
        <v/>
      </c>
      <c r="N140" s="1" t="str">
        <f aca="false">IF(Brasil!C140="","",IFERROR(INDEX(Gamma_Catalogo!$E$3:$E$1451,MATCH(Brasil!E140,Gamma_Catalogo!$A$3:$A$1451,0)),"Revisar Ip Code"))</f>
        <v/>
      </c>
      <c r="O140" s="1" t="str">
        <f aca="false">IF(Brasil!C140="","","Brasil")</f>
        <v/>
      </c>
    </row>
    <row r="141" customFormat="false" ht="15" hidden="false" customHeight="true" outlineLevel="0" collapsed="false">
      <c r="A141" s="1" t="str">
        <f aca="false">IF(Brasil!C141="","",IFERROR(INDEX(Mercados!$C$2:$C$32,MATCH(Brasil!B141,Mercados!$A$2:$A$32,0)),"Revisar Tscode"))</f>
        <v/>
      </c>
      <c r="B141" s="1" t="str">
        <f aca="false">IF(Brasil!C141="","",Brasil!C141)</f>
        <v/>
      </c>
      <c r="C141" s="1" t="str">
        <f aca="false">IF(Brasil!C141="","",Brasil!A141)</f>
        <v/>
      </c>
      <c r="D141" s="1" t="str">
        <f aca="false">IF(Brasil!C141="","",Brasil!E141)</f>
        <v/>
      </c>
      <c r="E141" s="1" t="str">
        <f aca="false">IF(Brasil!C141="","",Brasil!F141)</f>
        <v/>
      </c>
      <c r="F141" s="1" t="str">
        <f aca="false">IF(Brasil!C141="","",Brasil!D141)</f>
        <v/>
      </c>
      <c r="I141" s="1" t="str">
        <f aca="false">IF(Brasil!C141="","",Brasil!H141)</f>
        <v/>
      </c>
      <c r="J141" s="1" t="str">
        <f aca="false">IF(Brasil!C141="","",Brasil!D141*Brasil!H141)</f>
        <v/>
      </c>
      <c r="K141" s="1" t="str">
        <f aca="false">IF(Brasil!C141="","","BR")</f>
        <v/>
      </c>
      <c r="L141" s="1" t="str">
        <f aca="false">IF(Brasil!C141="","",IFERROR(INDEX(Gamma_Catalogo!$D$3:$D$1451,MATCH(Brasil!E141,Gamma_Catalogo!$A$3:$A$1451,0)),"Revisar Ip Code"))</f>
        <v/>
      </c>
      <c r="M141" s="1" t="str">
        <f aca="false">IF(Brasil!C141="","",IFERROR(INDEX(Gamma_Catalogo!$C$3:$C$1451,MATCH(Brasil!E141,Gamma_Catalogo!$A$3:$A$1451,0)),"Revisar Ip Code"))</f>
        <v/>
      </c>
      <c r="N141" s="1" t="str">
        <f aca="false">IF(Brasil!C141="","",IFERROR(INDEX(Gamma_Catalogo!$E$3:$E$1451,MATCH(Brasil!E141,Gamma_Catalogo!$A$3:$A$1451,0)),"Revisar Ip Code"))</f>
        <v/>
      </c>
      <c r="O141" s="1" t="str">
        <f aca="false">IF(Brasil!C141="","","Brasil")</f>
        <v/>
      </c>
    </row>
    <row r="142" customFormat="false" ht="15" hidden="false" customHeight="true" outlineLevel="0" collapsed="false">
      <c r="A142" s="1" t="str">
        <f aca="false">IF(Brasil!C142="","",IFERROR(INDEX(Mercados!$C$2:$C$32,MATCH(Brasil!B142,Mercados!$A$2:$A$32,0)),"Revisar Tscode"))</f>
        <v/>
      </c>
      <c r="B142" s="1" t="str">
        <f aca="false">IF(Brasil!C142="","",Brasil!C142)</f>
        <v/>
      </c>
      <c r="C142" s="1" t="str">
        <f aca="false">IF(Brasil!C142="","",Brasil!A142)</f>
        <v/>
      </c>
      <c r="D142" s="1" t="str">
        <f aca="false">IF(Brasil!C142="","",Brasil!E142)</f>
        <v/>
      </c>
      <c r="E142" s="1" t="str">
        <f aca="false">IF(Brasil!C142="","",Brasil!F142)</f>
        <v/>
      </c>
      <c r="F142" s="1" t="str">
        <f aca="false">IF(Brasil!C142="","",Brasil!D142)</f>
        <v/>
      </c>
      <c r="I142" s="1" t="str">
        <f aca="false">IF(Brasil!C142="","",Brasil!H142)</f>
        <v/>
      </c>
      <c r="J142" s="1" t="str">
        <f aca="false">IF(Brasil!C142="","",Brasil!D142*Brasil!H142)</f>
        <v/>
      </c>
      <c r="K142" s="1" t="str">
        <f aca="false">IF(Brasil!C142="","","BR")</f>
        <v/>
      </c>
      <c r="L142" s="1" t="str">
        <f aca="false">IF(Brasil!C142="","",IFERROR(INDEX(Gamma_Catalogo!$D$3:$D$1451,MATCH(Brasil!E142,Gamma_Catalogo!$A$3:$A$1451,0)),"Revisar Ip Code"))</f>
        <v/>
      </c>
      <c r="M142" s="1" t="str">
        <f aca="false">IF(Brasil!C142="","",IFERROR(INDEX(Gamma_Catalogo!$C$3:$C$1451,MATCH(Brasil!E142,Gamma_Catalogo!$A$3:$A$1451,0)),"Revisar Ip Code"))</f>
        <v/>
      </c>
      <c r="N142" s="1" t="str">
        <f aca="false">IF(Brasil!C142="","",IFERROR(INDEX(Gamma_Catalogo!$E$3:$E$1451,MATCH(Brasil!E142,Gamma_Catalogo!$A$3:$A$1451,0)),"Revisar Ip Code"))</f>
        <v/>
      </c>
      <c r="O142" s="1" t="str">
        <f aca="false">IF(Brasil!C142="","","Brasil")</f>
        <v/>
      </c>
    </row>
    <row r="143" customFormat="false" ht="15" hidden="false" customHeight="true" outlineLevel="0" collapsed="false">
      <c r="A143" s="1" t="str">
        <f aca="false">IF(Brasil!C143="","",IFERROR(INDEX(Mercados!$C$2:$C$32,MATCH(Brasil!B143,Mercados!$A$2:$A$32,0)),"Revisar Tscode"))</f>
        <v/>
      </c>
      <c r="B143" s="1" t="str">
        <f aca="false">IF(Brasil!C143="","",Brasil!C143)</f>
        <v/>
      </c>
      <c r="C143" s="1" t="str">
        <f aca="false">IF(Brasil!C143="","",Brasil!A143)</f>
        <v/>
      </c>
      <c r="D143" s="1" t="str">
        <f aca="false">IF(Brasil!C143="","",Brasil!E143)</f>
        <v/>
      </c>
      <c r="E143" s="1" t="str">
        <f aca="false">IF(Brasil!C143="","",Brasil!F143)</f>
        <v/>
      </c>
      <c r="F143" s="1" t="str">
        <f aca="false">IF(Brasil!C143="","",Brasil!D143)</f>
        <v/>
      </c>
      <c r="I143" s="1" t="str">
        <f aca="false">IF(Brasil!C143="","",Brasil!H143)</f>
        <v/>
      </c>
      <c r="J143" s="1" t="str">
        <f aca="false">IF(Brasil!C143="","",Brasil!D143*Brasil!H143)</f>
        <v/>
      </c>
      <c r="K143" s="1" t="str">
        <f aca="false">IF(Brasil!C143="","","BR")</f>
        <v/>
      </c>
      <c r="L143" s="1" t="str">
        <f aca="false">IF(Brasil!C143="","",IFERROR(INDEX(Gamma_Catalogo!$D$3:$D$1451,MATCH(Brasil!E143,Gamma_Catalogo!$A$3:$A$1451,0)),"Revisar Ip Code"))</f>
        <v/>
      </c>
      <c r="M143" s="1" t="str">
        <f aca="false">IF(Brasil!C143="","",IFERROR(INDEX(Gamma_Catalogo!$C$3:$C$1451,MATCH(Brasil!E143,Gamma_Catalogo!$A$3:$A$1451,0)),"Revisar Ip Code"))</f>
        <v/>
      </c>
      <c r="N143" s="1" t="str">
        <f aca="false">IF(Brasil!C143="","",IFERROR(INDEX(Gamma_Catalogo!$E$3:$E$1451,MATCH(Brasil!E143,Gamma_Catalogo!$A$3:$A$1451,0)),"Revisar Ip Code"))</f>
        <v/>
      </c>
      <c r="O143" s="1" t="str">
        <f aca="false">IF(Brasil!C143="","","Brasil")</f>
        <v/>
      </c>
    </row>
    <row r="144" customFormat="false" ht="15" hidden="false" customHeight="true" outlineLevel="0" collapsed="false">
      <c r="A144" s="1" t="str">
        <f aca="false">IF(Brasil!C144="","",IFERROR(INDEX(Mercados!$C$2:$C$32,MATCH(Brasil!B144,Mercados!$A$2:$A$32,0)),"Revisar Tscode"))</f>
        <v/>
      </c>
      <c r="B144" s="1" t="str">
        <f aca="false">IF(Brasil!C144="","",Brasil!C144)</f>
        <v/>
      </c>
      <c r="C144" s="1" t="str">
        <f aca="false">IF(Brasil!C144="","",Brasil!A144)</f>
        <v/>
      </c>
      <c r="D144" s="1" t="str">
        <f aca="false">IF(Brasil!C144="","",Brasil!E144)</f>
        <v/>
      </c>
      <c r="E144" s="1" t="str">
        <f aca="false">IF(Brasil!C144="","",Brasil!F144)</f>
        <v/>
      </c>
      <c r="F144" s="1" t="str">
        <f aca="false">IF(Brasil!C144="","",Brasil!D144)</f>
        <v/>
      </c>
      <c r="I144" s="1" t="str">
        <f aca="false">IF(Brasil!C144="","",Brasil!H144)</f>
        <v/>
      </c>
      <c r="J144" s="1" t="str">
        <f aca="false">IF(Brasil!C144="","",Brasil!D144*Brasil!H144)</f>
        <v/>
      </c>
      <c r="K144" s="1" t="str">
        <f aca="false">IF(Brasil!C144="","","BR")</f>
        <v/>
      </c>
      <c r="L144" s="1" t="str">
        <f aca="false">IF(Brasil!C144="","",IFERROR(INDEX(Gamma_Catalogo!$D$3:$D$1451,MATCH(Brasil!E144,Gamma_Catalogo!$A$3:$A$1451,0)),"Revisar Ip Code"))</f>
        <v/>
      </c>
      <c r="M144" s="1" t="str">
        <f aca="false">IF(Brasil!C144="","",IFERROR(INDEX(Gamma_Catalogo!$C$3:$C$1451,MATCH(Brasil!E144,Gamma_Catalogo!$A$3:$A$1451,0)),"Revisar Ip Code"))</f>
        <v/>
      </c>
      <c r="N144" s="1" t="str">
        <f aca="false">IF(Brasil!C144="","",IFERROR(INDEX(Gamma_Catalogo!$E$3:$E$1451,MATCH(Brasil!E144,Gamma_Catalogo!$A$3:$A$1451,0)),"Revisar Ip Code"))</f>
        <v/>
      </c>
      <c r="O144" s="1" t="str">
        <f aca="false">IF(Brasil!C144="","","Brasil")</f>
        <v/>
      </c>
    </row>
    <row r="145" customFormat="false" ht="15" hidden="false" customHeight="true" outlineLevel="0" collapsed="false">
      <c r="A145" s="1" t="str">
        <f aca="false">IF(Brasil!C145="","",IFERROR(INDEX(Mercados!$C$2:$C$32,MATCH(Brasil!B145,Mercados!$A$2:$A$32,0)),"Revisar Tscode"))</f>
        <v/>
      </c>
      <c r="B145" s="1" t="str">
        <f aca="false">IF(Brasil!C145="","",Brasil!C145)</f>
        <v/>
      </c>
      <c r="C145" s="1" t="str">
        <f aca="false">IF(Brasil!C145="","",Brasil!A145)</f>
        <v/>
      </c>
      <c r="D145" s="1" t="str">
        <f aca="false">IF(Brasil!C145="","",Brasil!E145)</f>
        <v/>
      </c>
      <c r="E145" s="1" t="str">
        <f aca="false">IF(Brasil!C145="","",Brasil!F145)</f>
        <v/>
      </c>
      <c r="F145" s="1" t="str">
        <f aca="false">IF(Brasil!C145="","",Brasil!D145)</f>
        <v/>
      </c>
      <c r="I145" s="1" t="str">
        <f aca="false">IF(Brasil!C145="","",Brasil!H145)</f>
        <v/>
      </c>
      <c r="J145" s="1" t="str">
        <f aca="false">IF(Brasil!C145="","",Brasil!D145*Brasil!H145)</f>
        <v/>
      </c>
      <c r="K145" s="1" t="str">
        <f aca="false">IF(Brasil!C145="","","BR")</f>
        <v/>
      </c>
      <c r="L145" s="1" t="str">
        <f aca="false">IF(Brasil!C145="","",IFERROR(INDEX(Gamma_Catalogo!$D$3:$D$1451,MATCH(Brasil!E145,Gamma_Catalogo!$A$3:$A$1451,0)),"Revisar Ip Code"))</f>
        <v/>
      </c>
      <c r="M145" s="1" t="str">
        <f aca="false">IF(Brasil!C145="","",IFERROR(INDEX(Gamma_Catalogo!$C$3:$C$1451,MATCH(Brasil!E145,Gamma_Catalogo!$A$3:$A$1451,0)),"Revisar Ip Code"))</f>
        <v/>
      </c>
      <c r="N145" s="1" t="str">
        <f aca="false">IF(Brasil!C145="","",IFERROR(INDEX(Gamma_Catalogo!$E$3:$E$1451,MATCH(Brasil!E145,Gamma_Catalogo!$A$3:$A$1451,0)),"Revisar Ip Code"))</f>
        <v/>
      </c>
      <c r="O145" s="1" t="str">
        <f aca="false">IF(Brasil!C145="","","Brasil")</f>
        <v/>
      </c>
    </row>
    <row r="146" customFormat="false" ht="15" hidden="false" customHeight="true" outlineLevel="0" collapsed="false">
      <c r="A146" s="1" t="str">
        <f aca="false">IF(Brasil!C146="","",IFERROR(INDEX(Mercados!$C$2:$C$32,MATCH(Brasil!B146,Mercados!$A$2:$A$32,0)),"Revisar Tscode"))</f>
        <v/>
      </c>
      <c r="B146" s="1" t="str">
        <f aca="false">IF(Brasil!C146="","",Brasil!C146)</f>
        <v/>
      </c>
      <c r="C146" s="1" t="str">
        <f aca="false">IF(Brasil!C146="","",Brasil!A146)</f>
        <v/>
      </c>
      <c r="D146" s="1" t="str">
        <f aca="false">IF(Brasil!C146="","",Brasil!E146)</f>
        <v/>
      </c>
      <c r="E146" s="1" t="str">
        <f aca="false">IF(Brasil!C146="","",Brasil!F146)</f>
        <v/>
      </c>
      <c r="F146" s="1" t="str">
        <f aca="false">IF(Brasil!C146="","",Brasil!D146)</f>
        <v/>
      </c>
      <c r="I146" s="1" t="str">
        <f aca="false">IF(Brasil!C146="","",Brasil!H146)</f>
        <v/>
      </c>
      <c r="J146" s="1" t="str">
        <f aca="false">IF(Brasil!C146="","",Brasil!D146*Brasil!H146)</f>
        <v/>
      </c>
      <c r="K146" s="1" t="str">
        <f aca="false">IF(Brasil!C146="","","BR")</f>
        <v/>
      </c>
      <c r="L146" s="1" t="str">
        <f aca="false">IF(Brasil!C146="","",IFERROR(INDEX(Gamma_Catalogo!$D$3:$D$1451,MATCH(Brasil!E146,Gamma_Catalogo!$A$3:$A$1451,0)),"Revisar Ip Code"))</f>
        <v/>
      </c>
      <c r="M146" s="1" t="str">
        <f aca="false">IF(Brasil!C146="","",IFERROR(INDEX(Gamma_Catalogo!$C$3:$C$1451,MATCH(Brasil!E146,Gamma_Catalogo!$A$3:$A$1451,0)),"Revisar Ip Code"))</f>
        <v/>
      </c>
      <c r="N146" s="1" t="str">
        <f aca="false">IF(Brasil!C146="","",IFERROR(INDEX(Gamma_Catalogo!$E$3:$E$1451,MATCH(Brasil!E146,Gamma_Catalogo!$A$3:$A$1451,0)),"Revisar Ip Code"))</f>
        <v/>
      </c>
      <c r="O146" s="1" t="str">
        <f aca="false">IF(Brasil!C146="","","Brasil")</f>
        <v/>
      </c>
    </row>
    <row r="147" customFormat="false" ht="15" hidden="false" customHeight="true" outlineLevel="0" collapsed="false">
      <c r="A147" s="1" t="str">
        <f aca="false">IF(Brasil!C147="","",IFERROR(INDEX(Mercados!$C$2:$C$32,MATCH(Brasil!B147,Mercados!$A$2:$A$32,0)),"Revisar Tscode"))</f>
        <v/>
      </c>
      <c r="B147" s="1" t="str">
        <f aca="false">IF(Brasil!C147="","",Brasil!C147)</f>
        <v/>
      </c>
      <c r="C147" s="1" t="str">
        <f aca="false">IF(Brasil!C147="","",Brasil!A147)</f>
        <v/>
      </c>
      <c r="D147" s="1" t="str">
        <f aca="false">IF(Brasil!C147="","",Brasil!E147)</f>
        <v/>
      </c>
      <c r="E147" s="1" t="str">
        <f aca="false">IF(Brasil!C147="","",Brasil!F147)</f>
        <v/>
      </c>
      <c r="F147" s="1" t="str">
        <f aca="false">IF(Brasil!C147="","",Brasil!D147)</f>
        <v/>
      </c>
      <c r="I147" s="1" t="str">
        <f aca="false">IF(Brasil!C147="","",Brasil!H147)</f>
        <v/>
      </c>
      <c r="J147" s="1" t="str">
        <f aca="false">IF(Brasil!C147="","",Brasil!D147*Brasil!H147)</f>
        <v/>
      </c>
      <c r="K147" s="1" t="str">
        <f aca="false">IF(Brasil!C147="","","BR")</f>
        <v/>
      </c>
      <c r="L147" s="1" t="str">
        <f aca="false">IF(Brasil!C147="","",IFERROR(INDEX(Gamma_Catalogo!$D$3:$D$1451,MATCH(Brasil!E147,Gamma_Catalogo!$A$3:$A$1451,0)),"Revisar Ip Code"))</f>
        <v/>
      </c>
      <c r="M147" s="1" t="str">
        <f aca="false">IF(Brasil!C147="","",IFERROR(INDEX(Gamma_Catalogo!$C$3:$C$1451,MATCH(Brasil!E147,Gamma_Catalogo!$A$3:$A$1451,0)),"Revisar Ip Code"))</f>
        <v/>
      </c>
      <c r="N147" s="1" t="str">
        <f aca="false">IF(Brasil!C147="","",IFERROR(INDEX(Gamma_Catalogo!$E$3:$E$1451,MATCH(Brasil!E147,Gamma_Catalogo!$A$3:$A$1451,0)),"Revisar Ip Code"))</f>
        <v/>
      </c>
      <c r="O147" s="1" t="str">
        <f aca="false">IF(Brasil!C147="","","Brasil")</f>
        <v/>
      </c>
    </row>
    <row r="148" customFormat="false" ht="15" hidden="false" customHeight="true" outlineLevel="0" collapsed="false">
      <c r="A148" s="1" t="str">
        <f aca="false">IF(Brasil!C148="","",IFERROR(INDEX(Mercados!$C$2:$C$32,MATCH(Brasil!B148,Mercados!$A$2:$A$32,0)),"Revisar Tscode"))</f>
        <v/>
      </c>
      <c r="B148" s="1" t="str">
        <f aca="false">IF(Brasil!C148="","",Brasil!C148)</f>
        <v/>
      </c>
      <c r="C148" s="1" t="str">
        <f aca="false">IF(Brasil!C148="","",Brasil!A148)</f>
        <v/>
      </c>
      <c r="D148" s="1" t="str">
        <f aca="false">IF(Brasil!C148="","",Brasil!E148)</f>
        <v/>
      </c>
      <c r="E148" s="1" t="str">
        <f aca="false">IF(Brasil!C148="","",Brasil!F148)</f>
        <v/>
      </c>
      <c r="F148" s="1" t="str">
        <f aca="false">IF(Brasil!C148="","",Brasil!D148)</f>
        <v/>
      </c>
      <c r="I148" s="1" t="str">
        <f aca="false">IF(Brasil!C148="","",Brasil!H148)</f>
        <v/>
      </c>
      <c r="J148" s="1" t="str">
        <f aca="false">IF(Brasil!C148="","",Brasil!D148*Brasil!H148)</f>
        <v/>
      </c>
      <c r="K148" s="1" t="str">
        <f aca="false">IF(Brasil!C148="","","BR")</f>
        <v/>
      </c>
      <c r="L148" s="1" t="str">
        <f aca="false">IF(Brasil!C148="","",IFERROR(INDEX(Gamma_Catalogo!$D$3:$D$1451,MATCH(Brasil!E148,Gamma_Catalogo!$A$3:$A$1451,0)),"Revisar Ip Code"))</f>
        <v/>
      </c>
      <c r="M148" s="1" t="str">
        <f aca="false">IF(Brasil!C148="","",IFERROR(INDEX(Gamma_Catalogo!$C$3:$C$1451,MATCH(Brasil!E148,Gamma_Catalogo!$A$3:$A$1451,0)),"Revisar Ip Code"))</f>
        <v/>
      </c>
      <c r="N148" s="1" t="str">
        <f aca="false">IF(Brasil!C148="","",IFERROR(INDEX(Gamma_Catalogo!$E$3:$E$1451,MATCH(Brasil!E148,Gamma_Catalogo!$A$3:$A$1451,0)),"Revisar Ip Code"))</f>
        <v/>
      </c>
      <c r="O148" s="1" t="str">
        <f aca="false">IF(Brasil!C148="","","Brasil")</f>
        <v/>
      </c>
    </row>
    <row r="149" customFormat="false" ht="15" hidden="false" customHeight="true" outlineLevel="0" collapsed="false">
      <c r="A149" s="1" t="str">
        <f aca="false">IF(Brasil!C149="","",IFERROR(INDEX(Mercados!$C$2:$C$32,MATCH(Brasil!B149,Mercados!$A$2:$A$32,0)),"Revisar Tscode"))</f>
        <v/>
      </c>
      <c r="B149" s="1" t="str">
        <f aca="false">IF(Brasil!C149="","",Brasil!C149)</f>
        <v/>
      </c>
      <c r="C149" s="1" t="str">
        <f aca="false">IF(Brasil!C149="","",Brasil!A149)</f>
        <v/>
      </c>
      <c r="D149" s="1" t="str">
        <f aca="false">IF(Brasil!C149="","",Brasil!E149)</f>
        <v/>
      </c>
      <c r="E149" s="1" t="str">
        <f aca="false">IF(Brasil!C149="","",Brasil!F149)</f>
        <v/>
      </c>
      <c r="F149" s="1" t="str">
        <f aca="false">IF(Brasil!C149="","",Brasil!D149)</f>
        <v/>
      </c>
      <c r="I149" s="1" t="str">
        <f aca="false">IF(Brasil!C149="","",Brasil!H149)</f>
        <v/>
      </c>
      <c r="J149" s="1" t="str">
        <f aca="false">IF(Brasil!C149="","",Brasil!D149*Brasil!H149)</f>
        <v/>
      </c>
      <c r="K149" s="1" t="str">
        <f aca="false">IF(Brasil!C149="","","BR")</f>
        <v/>
      </c>
      <c r="L149" s="1" t="str">
        <f aca="false">IF(Brasil!C149="","",IFERROR(INDEX(Gamma_Catalogo!$D$3:$D$1451,MATCH(Brasil!E149,Gamma_Catalogo!$A$3:$A$1451,0)),"Revisar Ip Code"))</f>
        <v/>
      </c>
      <c r="M149" s="1" t="str">
        <f aca="false">IF(Brasil!C149="","",IFERROR(INDEX(Gamma_Catalogo!$C$3:$C$1451,MATCH(Brasil!E149,Gamma_Catalogo!$A$3:$A$1451,0)),"Revisar Ip Code"))</f>
        <v/>
      </c>
      <c r="N149" s="1" t="str">
        <f aca="false">IF(Brasil!C149="","",IFERROR(INDEX(Gamma_Catalogo!$E$3:$E$1451,MATCH(Brasil!E149,Gamma_Catalogo!$A$3:$A$1451,0)),"Revisar Ip Code"))</f>
        <v/>
      </c>
      <c r="O149" s="1" t="str">
        <f aca="false">IF(Brasil!C149="","","Brasil")</f>
        <v/>
      </c>
    </row>
    <row r="150" customFormat="false" ht="15" hidden="false" customHeight="true" outlineLevel="0" collapsed="false">
      <c r="A150" s="1" t="str">
        <f aca="false">IF(Brasil!C150="","",IFERROR(INDEX(Mercados!$C$2:$C$32,MATCH(Brasil!B150,Mercados!$A$2:$A$32,0)),"Revisar Tscode"))</f>
        <v/>
      </c>
      <c r="B150" s="1" t="str">
        <f aca="false">IF(Brasil!C150="","",Brasil!C150)</f>
        <v/>
      </c>
      <c r="C150" s="1" t="str">
        <f aca="false">IF(Brasil!C150="","",Brasil!A150)</f>
        <v/>
      </c>
      <c r="D150" s="1" t="str">
        <f aca="false">IF(Brasil!C150="","",Brasil!E150)</f>
        <v/>
      </c>
      <c r="E150" s="1" t="str">
        <f aca="false">IF(Brasil!C150="","",Brasil!F150)</f>
        <v/>
      </c>
      <c r="F150" s="1" t="str">
        <f aca="false">IF(Brasil!C150="","",Brasil!D150)</f>
        <v/>
      </c>
      <c r="I150" s="1" t="str">
        <f aca="false">IF(Brasil!C150="","",Brasil!H150)</f>
        <v/>
      </c>
      <c r="J150" s="1" t="str">
        <f aca="false">IF(Brasil!C150="","",Brasil!D150*Brasil!H150)</f>
        <v/>
      </c>
      <c r="K150" s="1" t="str">
        <f aca="false">IF(Brasil!C150="","","BR")</f>
        <v/>
      </c>
      <c r="L150" s="1" t="str">
        <f aca="false">IF(Brasil!C150="","",IFERROR(INDEX(Gamma_Catalogo!$D$3:$D$1451,MATCH(Brasil!E150,Gamma_Catalogo!$A$3:$A$1451,0)),"Revisar Ip Code"))</f>
        <v/>
      </c>
      <c r="M150" s="1" t="str">
        <f aca="false">IF(Brasil!C150="","",IFERROR(INDEX(Gamma_Catalogo!$C$3:$C$1451,MATCH(Brasil!E150,Gamma_Catalogo!$A$3:$A$1451,0)),"Revisar Ip Code"))</f>
        <v/>
      </c>
      <c r="N150" s="1" t="str">
        <f aca="false">IF(Brasil!C150="","",IFERROR(INDEX(Gamma_Catalogo!$E$3:$E$1451,MATCH(Brasil!E150,Gamma_Catalogo!$A$3:$A$1451,0)),"Revisar Ip Code"))</f>
        <v/>
      </c>
      <c r="O150" s="1" t="str">
        <f aca="false">IF(Brasil!C150="","","Brasil")</f>
        <v/>
      </c>
    </row>
    <row r="151" customFormat="false" ht="15" hidden="false" customHeight="true" outlineLevel="0" collapsed="false">
      <c r="A151" s="1" t="str">
        <f aca="false">IF(Brasil!C151="","",IFERROR(INDEX(Mercados!$C$2:$C$32,MATCH(Brasil!B151,Mercados!$A$2:$A$32,0)),"Revisar Tscode"))</f>
        <v/>
      </c>
      <c r="B151" s="1" t="str">
        <f aca="false">IF(Brasil!C151="","",Brasil!C151)</f>
        <v/>
      </c>
      <c r="C151" s="1" t="str">
        <f aca="false">IF(Brasil!C151="","",Brasil!A151)</f>
        <v/>
      </c>
      <c r="D151" s="1" t="str">
        <f aca="false">IF(Brasil!C151="","",Brasil!E151)</f>
        <v/>
      </c>
      <c r="E151" s="1" t="str">
        <f aca="false">IF(Brasil!C151="","",Brasil!F151)</f>
        <v/>
      </c>
      <c r="F151" s="1" t="str">
        <f aca="false">IF(Brasil!C151="","",Brasil!D151)</f>
        <v/>
      </c>
      <c r="I151" s="1" t="str">
        <f aca="false">IF(Brasil!C151="","",Brasil!H151)</f>
        <v/>
      </c>
      <c r="J151" s="1" t="str">
        <f aca="false">IF(Brasil!C151="","",Brasil!D151*Brasil!H151)</f>
        <v/>
      </c>
      <c r="K151" s="1" t="str">
        <f aca="false">IF(Brasil!C151="","","BR")</f>
        <v/>
      </c>
      <c r="L151" s="1" t="str">
        <f aca="false">IF(Brasil!C151="","",IFERROR(INDEX(Gamma_Catalogo!$D$3:$D$1451,MATCH(Brasil!E151,Gamma_Catalogo!$A$3:$A$1451,0)),"Revisar Ip Code"))</f>
        <v/>
      </c>
      <c r="M151" s="1" t="str">
        <f aca="false">IF(Brasil!C151="","",IFERROR(INDEX(Gamma_Catalogo!$C$3:$C$1451,MATCH(Brasil!E151,Gamma_Catalogo!$A$3:$A$1451,0)),"Revisar Ip Code"))</f>
        <v/>
      </c>
      <c r="N151" s="1" t="str">
        <f aca="false">IF(Brasil!C151="","",IFERROR(INDEX(Gamma_Catalogo!$E$3:$E$1451,MATCH(Brasil!E151,Gamma_Catalogo!$A$3:$A$1451,0)),"Revisar Ip Code"))</f>
        <v/>
      </c>
      <c r="O151" s="1" t="str">
        <f aca="false">IF(Brasil!C151="","","Brasil")</f>
        <v/>
      </c>
    </row>
    <row r="152" customFormat="false" ht="15" hidden="false" customHeight="true" outlineLevel="0" collapsed="false">
      <c r="A152" s="1" t="str">
        <f aca="false">IF(Brasil!C152="","",IFERROR(INDEX(Mercados!$C$2:$C$32,MATCH(Brasil!B152,Mercados!$A$2:$A$32,0)),"Revisar Tscode"))</f>
        <v/>
      </c>
      <c r="B152" s="1" t="str">
        <f aca="false">IF(Brasil!C152="","",Brasil!C152)</f>
        <v/>
      </c>
      <c r="C152" s="1" t="str">
        <f aca="false">IF(Brasil!C152="","",Brasil!A152)</f>
        <v/>
      </c>
      <c r="D152" s="1" t="str">
        <f aca="false">IF(Brasil!C152="","",Brasil!E152)</f>
        <v/>
      </c>
      <c r="E152" s="1" t="str">
        <f aca="false">IF(Brasil!C152="","",Brasil!F152)</f>
        <v/>
      </c>
      <c r="F152" s="1" t="str">
        <f aca="false">IF(Brasil!C152="","",Brasil!D152)</f>
        <v/>
      </c>
      <c r="I152" s="1" t="str">
        <f aca="false">IF(Brasil!C152="","",Brasil!H152)</f>
        <v/>
      </c>
      <c r="J152" s="1" t="str">
        <f aca="false">IF(Brasil!C152="","",Brasil!D152*Brasil!H152)</f>
        <v/>
      </c>
      <c r="K152" s="1" t="str">
        <f aca="false">IF(Brasil!C152="","","BR")</f>
        <v/>
      </c>
      <c r="L152" s="1" t="str">
        <f aca="false">IF(Brasil!C152="","",IFERROR(INDEX(Gamma_Catalogo!$D$3:$D$1451,MATCH(Brasil!E152,Gamma_Catalogo!$A$3:$A$1451,0)),"Revisar Ip Code"))</f>
        <v/>
      </c>
      <c r="M152" s="1" t="str">
        <f aca="false">IF(Brasil!C152="","",IFERROR(INDEX(Gamma_Catalogo!$C$3:$C$1451,MATCH(Brasil!E152,Gamma_Catalogo!$A$3:$A$1451,0)),"Revisar Ip Code"))</f>
        <v/>
      </c>
      <c r="N152" s="1" t="str">
        <f aca="false">IF(Brasil!C152="","",IFERROR(INDEX(Gamma_Catalogo!$E$3:$E$1451,MATCH(Brasil!E152,Gamma_Catalogo!$A$3:$A$1451,0)),"Revisar Ip Code"))</f>
        <v/>
      </c>
      <c r="O152" s="1" t="str">
        <f aca="false">IF(Brasil!C152="","","Brasil")</f>
        <v/>
      </c>
    </row>
    <row r="153" customFormat="false" ht="15" hidden="false" customHeight="true" outlineLevel="0" collapsed="false">
      <c r="A153" s="1" t="str">
        <f aca="false">IF(Brasil!C153="","",IFERROR(INDEX(Mercados!$C$2:$C$32,MATCH(Brasil!B153,Mercados!$A$2:$A$32,0)),"Revisar Tscode"))</f>
        <v/>
      </c>
      <c r="B153" s="1" t="str">
        <f aca="false">IF(Brasil!C153="","",Brasil!C153)</f>
        <v/>
      </c>
      <c r="C153" s="1" t="str">
        <f aca="false">IF(Brasil!C153="","",Brasil!A153)</f>
        <v/>
      </c>
      <c r="D153" s="1" t="str">
        <f aca="false">IF(Brasil!C153="","",Brasil!E153)</f>
        <v/>
      </c>
      <c r="E153" s="1" t="str">
        <f aca="false">IF(Brasil!C153="","",Brasil!F153)</f>
        <v/>
      </c>
      <c r="F153" s="1" t="str">
        <f aca="false">IF(Brasil!C153="","",Brasil!D153)</f>
        <v/>
      </c>
      <c r="I153" s="1" t="str">
        <f aca="false">IF(Brasil!C153="","",Brasil!H153)</f>
        <v/>
      </c>
      <c r="J153" s="1" t="str">
        <f aca="false">IF(Brasil!C153="","",Brasil!D153*Brasil!H153)</f>
        <v/>
      </c>
      <c r="K153" s="1" t="str">
        <f aca="false">IF(Brasil!C153="","","BR")</f>
        <v/>
      </c>
      <c r="L153" s="1" t="str">
        <f aca="false">IF(Brasil!C153="","",IFERROR(INDEX(Gamma_Catalogo!$D$3:$D$1451,MATCH(Brasil!E153,Gamma_Catalogo!$A$3:$A$1451,0)),"Revisar Ip Code"))</f>
        <v/>
      </c>
      <c r="M153" s="1" t="str">
        <f aca="false">IF(Brasil!C153="","",IFERROR(INDEX(Gamma_Catalogo!$C$3:$C$1451,MATCH(Brasil!E153,Gamma_Catalogo!$A$3:$A$1451,0)),"Revisar Ip Code"))</f>
        <v/>
      </c>
      <c r="N153" s="1" t="str">
        <f aca="false">IF(Brasil!C153="","",IFERROR(INDEX(Gamma_Catalogo!$E$3:$E$1451,MATCH(Brasil!E153,Gamma_Catalogo!$A$3:$A$1451,0)),"Revisar Ip Code"))</f>
        <v/>
      </c>
      <c r="O153" s="1" t="str">
        <f aca="false">IF(Brasil!C153="","","Brasil")</f>
        <v/>
      </c>
    </row>
    <row r="154" customFormat="false" ht="15" hidden="false" customHeight="true" outlineLevel="0" collapsed="false">
      <c r="A154" s="1" t="str">
        <f aca="false">IF(Brasil!C154="","",IFERROR(INDEX(Mercados!$C$2:$C$32,MATCH(Brasil!B154,Mercados!$A$2:$A$32,0)),"Revisar Tscode"))</f>
        <v/>
      </c>
      <c r="B154" s="1" t="str">
        <f aca="false">IF(Brasil!C154="","",Brasil!C154)</f>
        <v/>
      </c>
      <c r="C154" s="1" t="str">
        <f aca="false">IF(Brasil!C154="","",Brasil!A154)</f>
        <v/>
      </c>
      <c r="D154" s="1" t="str">
        <f aca="false">IF(Brasil!C154="","",Brasil!E154)</f>
        <v/>
      </c>
      <c r="E154" s="1" t="str">
        <f aca="false">IF(Brasil!C154="","",Brasil!F154)</f>
        <v/>
      </c>
      <c r="F154" s="1" t="str">
        <f aca="false">IF(Brasil!C154="","",Brasil!D154)</f>
        <v/>
      </c>
      <c r="I154" s="1" t="str">
        <f aca="false">IF(Brasil!C154="","",Brasil!H154)</f>
        <v/>
      </c>
      <c r="J154" s="1" t="str">
        <f aca="false">IF(Brasil!C154="","",Brasil!D154*Brasil!H154)</f>
        <v/>
      </c>
      <c r="K154" s="1" t="str">
        <f aca="false">IF(Brasil!C154="","","BR")</f>
        <v/>
      </c>
      <c r="L154" s="1" t="str">
        <f aca="false">IF(Brasil!C154="","",IFERROR(INDEX(Gamma_Catalogo!$D$3:$D$1451,MATCH(Brasil!E154,Gamma_Catalogo!$A$3:$A$1451,0)),"Revisar Ip Code"))</f>
        <v/>
      </c>
      <c r="M154" s="1" t="str">
        <f aca="false">IF(Brasil!C154="","",IFERROR(INDEX(Gamma_Catalogo!$C$3:$C$1451,MATCH(Brasil!E154,Gamma_Catalogo!$A$3:$A$1451,0)),"Revisar Ip Code"))</f>
        <v/>
      </c>
      <c r="N154" s="1" t="str">
        <f aca="false">IF(Brasil!C154="","",IFERROR(INDEX(Gamma_Catalogo!$E$3:$E$1451,MATCH(Brasil!E154,Gamma_Catalogo!$A$3:$A$1451,0)),"Revisar Ip Code"))</f>
        <v/>
      </c>
      <c r="O154" s="1" t="str">
        <f aca="false">IF(Brasil!C154="","","Brasil")</f>
        <v/>
      </c>
    </row>
    <row r="155" customFormat="false" ht="15" hidden="false" customHeight="true" outlineLevel="0" collapsed="false">
      <c r="A155" s="1" t="str">
        <f aca="false">IF(Brasil!C155="","",IFERROR(INDEX(Mercados!$C$2:$C$32,MATCH(Brasil!B155,Mercados!$A$2:$A$32,0)),"Revisar Tscode"))</f>
        <v/>
      </c>
      <c r="B155" s="1" t="str">
        <f aca="false">IF(Brasil!C155="","",Brasil!C155)</f>
        <v/>
      </c>
      <c r="C155" s="1" t="str">
        <f aca="false">IF(Brasil!C155="","",Brasil!A155)</f>
        <v/>
      </c>
      <c r="D155" s="1" t="str">
        <f aca="false">IF(Brasil!C155="","",Brasil!E155)</f>
        <v/>
      </c>
      <c r="E155" s="1" t="str">
        <f aca="false">IF(Brasil!C155="","",Brasil!F155)</f>
        <v/>
      </c>
      <c r="F155" s="1" t="str">
        <f aca="false">IF(Brasil!C155="","",Brasil!D155)</f>
        <v/>
      </c>
      <c r="I155" s="1" t="str">
        <f aca="false">IF(Brasil!C155="","",Brasil!H155)</f>
        <v/>
      </c>
      <c r="J155" s="1" t="str">
        <f aca="false">IF(Brasil!C155="","",Brasil!D155*Brasil!H155)</f>
        <v/>
      </c>
      <c r="K155" s="1" t="str">
        <f aca="false">IF(Brasil!C155="","","BR")</f>
        <v/>
      </c>
      <c r="L155" s="1" t="str">
        <f aca="false">IF(Brasil!C155="","",IFERROR(INDEX(Gamma_Catalogo!$D$3:$D$1451,MATCH(Brasil!E155,Gamma_Catalogo!$A$3:$A$1451,0)),"Revisar Ip Code"))</f>
        <v/>
      </c>
      <c r="M155" s="1" t="str">
        <f aca="false">IF(Brasil!C155="","",IFERROR(INDEX(Gamma_Catalogo!$C$3:$C$1451,MATCH(Brasil!E155,Gamma_Catalogo!$A$3:$A$1451,0)),"Revisar Ip Code"))</f>
        <v/>
      </c>
      <c r="N155" s="1" t="str">
        <f aca="false">IF(Brasil!C155="","",IFERROR(INDEX(Gamma_Catalogo!$E$3:$E$1451,MATCH(Brasil!E155,Gamma_Catalogo!$A$3:$A$1451,0)),"Revisar Ip Code"))</f>
        <v/>
      </c>
      <c r="O155" s="1" t="str">
        <f aca="false">IF(Brasil!C155="","","Brasil")</f>
        <v/>
      </c>
    </row>
    <row r="156" customFormat="false" ht="15" hidden="false" customHeight="true" outlineLevel="0" collapsed="false">
      <c r="A156" s="1" t="str">
        <f aca="false">IF(Brasil!C156="","",IFERROR(INDEX(Mercados!$C$2:$C$32,MATCH(Brasil!B156,Mercados!$A$2:$A$32,0)),"Revisar Tscode"))</f>
        <v/>
      </c>
      <c r="B156" s="1" t="str">
        <f aca="false">IF(Brasil!C156="","",Brasil!C156)</f>
        <v/>
      </c>
      <c r="C156" s="1" t="str">
        <f aca="false">IF(Brasil!C156="","",Brasil!A156)</f>
        <v/>
      </c>
      <c r="D156" s="1" t="str">
        <f aca="false">IF(Brasil!C156="","",Brasil!E156)</f>
        <v/>
      </c>
      <c r="E156" s="1" t="str">
        <f aca="false">IF(Brasil!C156="","",Brasil!F156)</f>
        <v/>
      </c>
      <c r="F156" s="1" t="str">
        <f aca="false">IF(Brasil!C156="","",Brasil!D156)</f>
        <v/>
      </c>
      <c r="I156" s="1" t="str">
        <f aca="false">IF(Brasil!C156="","",Brasil!H156)</f>
        <v/>
      </c>
      <c r="J156" s="1" t="str">
        <f aca="false">IF(Brasil!C156="","",Brasil!D156*Brasil!H156)</f>
        <v/>
      </c>
      <c r="K156" s="1" t="str">
        <f aca="false">IF(Brasil!C156="","","BR")</f>
        <v/>
      </c>
      <c r="L156" s="1" t="str">
        <f aca="false">IF(Brasil!C156="","",IFERROR(INDEX(Gamma_Catalogo!$D$3:$D$1451,MATCH(Brasil!E156,Gamma_Catalogo!$A$3:$A$1451,0)),"Revisar Ip Code"))</f>
        <v/>
      </c>
      <c r="M156" s="1" t="str">
        <f aca="false">IF(Brasil!C156="","",IFERROR(INDEX(Gamma_Catalogo!$C$3:$C$1451,MATCH(Brasil!E156,Gamma_Catalogo!$A$3:$A$1451,0)),"Revisar Ip Code"))</f>
        <v/>
      </c>
      <c r="N156" s="1" t="str">
        <f aca="false">IF(Brasil!C156="","",IFERROR(INDEX(Gamma_Catalogo!$E$3:$E$1451,MATCH(Brasil!E156,Gamma_Catalogo!$A$3:$A$1451,0)),"Revisar Ip Code"))</f>
        <v/>
      </c>
      <c r="O156" s="1" t="str">
        <f aca="false">IF(Brasil!C156="","","Brasil")</f>
        <v/>
      </c>
    </row>
    <row r="157" customFormat="false" ht="15" hidden="false" customHeight="true" outlineLevel="0" collapsed="false">
      <c r="A157" s="1" t="str">
        <f aca="false">IF(Brasil!C157="","",IFERROR(INDEX(Mercados!$C$2:$C$32,MATCH(Brasil!B157,Mercados!$A$2:$A$32,0)),"Revisar Tscode"))</f>
        <v/>
      </c>
      <c r="B157" s="1" t="str">
        <f aca="false">IF(Brasil!C157="","",Brasil!C157)</f>
        <v/>
      </c>
      <c r="C157" s="1" t="str">
        <f aca="false">IF(Brasil!C157="","",Brasil!A157)</f>
        <v/>
      </c>
      <c r="D157" s="1" t="str">
        <f aca="false">IF(Brasil!C157="","",Brasil!E157)</f>
        <v/>
      </c>
      <c r="E157" s="1" t="str">
        <f aca="false">IF(Brasil!C157="","",Brasil!F157)</f>
        <v/>
      </c>
      <c r="F157" s="1" t="str">
        <f aca="false">IF(Brasil!C157="","",Brasil!D157)</f>
        <v/>
      </c>
      <c r="I157" s="1" t="str">
        <f aca="false">IF(Brasil!C157="","",Brasil!H157)</f>
        <v/>
      </c>
      <c r="J157" s="1" t="str">
        <f aca="false">IF(Brasil!C157="","",Brasil!D157*Brasil!H157)</f>
        <v/>
      </c>
      <c r="K157" s="1" t="str">
        <f aca="false">IF(Brasil!C157="","","BR")</f>
        <v/>
      </c>
      <c r="L157" s="1" t="str">
        <f aca="false">IF(Brasil!C157="","",IFERROR(INDEX(Gamma_Catalogo!$D$3:$D$1451,MATCH(Brasil!E157,Gamma_Catalogo!$A$3:$A$1451,0)),"Revisar Ip Code"))</f>
        <v/>
      </c>
      <c r="M157" s="1" t="str">
        <f aca="false">IF(Brasil!C157="","",IFERROR(INDEX(Gamma_Catalogo!$C$3:$C$1451,MATCH(Brasil!E157,Gamma_Catalogo!$A$3:$A$1451,0)),"Revisar Ip Code"))</f>
        <v/>
      </c>
      <c r="N157" s="1" t="str">
        <f aca="false">IF(Brasil!C157="","",IFERROR(INDEX(Gamma_Catalogo!$E$3:$E$1451,MATCH(Brasil!E157,Gamma_Catalogo!$A$3:$A$1451,0)),"Revisar Ip Code"))</f>
        <v/>
      </c>
      <c r="O157" s="1" t="str">
        <f aca="false">IF(Brasil!C157="","","Brasil")</f>
        <v/>
      </c>
    </row>
    <row r="158" customFormat="false" ht="15" hidden="false" customHeight="true" outlineLevel="0" collapsed="false">
      <c r="A158" s="1" t="str">
        <f aca="false">IF(Brasil!C158="","",IFERROR(INDEX(Mercados!$C$2:$C$32,MATCH(Brasil!B158,Mercados!$A$2:$A$32,0)),"Revisar Tscode"))</f>
        <v/>
      </c>
      <c r="B158" s="1" t="str">
        <f aca="false">IF(Brasil!C158="","",Brasil!C158)</f>
        <v/>
      </c>
      <c r="C158" s="1" t="str">
        <f aca="false">IF(Brasil!C158="","",Brasil!A158)</f>
        <v/>
      </c>
      <c r="D158" s="1" t="str">
        <f aca="false">IF(Brasil!C158="","",Brasil!E158)</f>
        <v/>
      </c>
      <c r="E158" s="1" t="str">
        <f aca="false">IF(Brasil!C158="","",Brasil!F158)</f>
        <v/>
      </c>
      <c r="F158" s="1" t="str">
        <f aca="false">IF(Brasil!C158="","",Brasil!D158)</f>
        <v/>
      </c>
      <c r="I158" s="1" t="str">
        <f aca="false">IF(Brasil!C158="","",Brasil!H158)</f>
        <v/>
      </c>
      <c r="J158" s="1" t="str">
        <f aca="false">IF(Brasil!C158="","",Brasil!D158*Brasil!H158)</f>
        <v/>
      </c>
      <c r="K158" s="1" t="str">
        <f aca="false">IF(Brasil!C158="","","BR")</f>
        <v/>
      </c>
      <c r="L158" s="1" t="str">
        <f aca="false">IF(Brasil!C158="","",IFERROR(INDEX(Gamma_Catalogo!$D$3:$D$1451,MATCH(Brasil!E158,Gamma_Catalogo!$A$3:$A$1451,0)),"Revisar Ip Code"))</f>
        <v/>
      </c>
      <c r="M158" s="1" t="str">
        <f aca="false">IF(Brasil!C158="","",IFERROR(INDEX(Gamma_Catalogo!$C$3:$C$1451,MATCH(Brasil!E158,Gamma_Catalogo!$A$3:$A$1451,0)),"Revisar Ip Code"))</f>
        <v/>
      </c>
      <c r="N158" s="1" t="str">
        <f aca="false">IF(Brasil!C158="","",IFERROR(INDEX(Gamma_Catalogo!$E$3:$E$1451,MATCH(Brasil!E158,Gamma_Catalogo!$A$3:$A$1451,0)),"Revisar Ip Code"))</f>
        <v/>
      </c>
      <c r="O158" s="1" t="str">
        <f aca="false">IF(Brasil!C158="","","Brasil")</f>
        <v/>
      </c>
    </row>
    <row r="159" customFormat="false" ht="15" hidden="false" customHeight="true" outlineLevel="0" collapsed="false">
      <c r="A159" s="1" t="str">
        <f aca="false">IF(Brasil!C159="","",IFERROR(INDEX(Mercados!$C$2:$C$32,MATCH(Brasil!B159,Mercados!$A$2:$A$32,0)),"Revisar Tscode"))</f>
        <v/>
      </c>
      <c r="B159" s="1" t="str">
        <f aca="false">IF(Brasil!C159="","",Brasil!C159)</f>
        <v/>
      </c>
      <c r="C159" s="1" t="str">
        <f aca="false">IF(Brasil!C159="","",Brasil!A159)</f>
        <v/>
      </c>
      <c r="D159" s="1" t="str">
        <f aca="false">IF(Brasil!C159="","",Brasil!E159)</f>
        <v/>
      </c>
      <c r="E159" s="1" t="str">
        <f aca="false">IF(Brasil!C159="","",Brasil!F159)</f>
        <v/>
      </c>
      <c r="F159" s="1" t="str">
        <f aca="false">IF(Brasil!C159="","",Brasil!D159)</f>
        <v/>
      </c>
      <c r="I159" s="1" t="str">
        <f aca="false">IF(Brasil!C159="","",Brasil!H159)</f>
        <v/>
      </c>
      <c r="J159" s="1" t="str">
        <f aca="false">IF(Brasil!C159="","",Brasil!D159*Brasil!H159)</f>
        <v/>
      </c>
      <c r="K159" s="1" t="str">
        <f aca="false">IF(Brasil!C159="","","BR")</f>
        <v/>
      </c>
      <c r="L159" s="1" t="str">
        <f aca="false">IF(Brasil!C159="","",IFERROR(INDEX(Gamma_Catalogo!$D$3:$D$1451,MATCH(Brasil!E159,Gamma_Catalogo!$A$3:$A$1451,0)),"Revisar Ip Code"))</f>
        <v/>
      </c>
      <c r="M159" s="1" t="str">
        <f aca="false">IF(Brasil!C159="","",IFERROR(INDEX(Gamma_Catalogo!$C$3:$C$1451,MATCH(Brasil!E159,Gamma_Catalogo!$A$3:$A$1451,0)),"Revisar Ip Code"))</f>
        <v/>
      </c>
      <c r="N159" s="1" t="str">
        <f aca="false">IF(Brasil!C159="","",IFERROR(INDEX(Gamma_Catalogo!$E$3:$E$1451,MATCH(Brasil!E159,Gamma_Catalogo!$A$3:$A$1451,0)),"Revisar Ip Code"))</f>
        <v/>
      </c>
      <c r="O159" s="1" t="str">
        <f aca="false">IF(Brasil!C159="","","Brasil")</f>
        <v/>
      </c>
    </row>
    <row r="160" customFormat="false" ht="15" hidden="false" customHeight="true" outlineLevel="0" collapsed="false">
      <c r="A160" s="1" t="str">
        <f aca="false">IF(Brasil!C160="","",IFERROR(INDEX(Mercados!$C$2:$C$32,MATCH(Brasil!B160,Mercados!$A$2:$A$32,0)),"Revisar Tscode"))</f>
        <v/>
      </c>
      <c r="B160" s="1" t="str">
        <f aca="false">IF(Brasil!C160="","",Brasil!C160)</f>
        <v/>
      </c>
      <c r="C160" s="1" t="str">
        <f aca="false">IF(Brasil!C160="","",Brasil!A160)</f>
        <v/>
      </c>
      <c r="D160" s="1" t="str">
        <f aca="false">IF(Brasil!C160="","",Brasil!E160)</f>
        <v/>
      </c>
      <c r="E160" s="1" t="str">
        <f aca="false">IF(Brasil!C160="","",Brasil!F160)</f>
        <v/>
      </c>
      <c r="F160" s="1" t="str">
        <f aca="false">IF(Brasil!C160="","",Brasil!D160)</f>
        <v/>
      </c>
      <c r="I160" s="1" t="str">
        <f aca="false">IF(Brasil!C160="","",Brasil!H160)</f>
        <v/>
      </c>
      <c r="J160" s="1" t="str">
        <f aca="false">IF(Brasil!C160="","",Brasil!D160*Brasil!H160)</f>
        <v/>
      </c>
      <c r="K160" s="1" t="str">
        <f aca="false">IF(Brasil!C160="","","BR")</f>
        <v/>
      </c>
      <c r="L160" s="1" t="str">
        <f aca="false">IF(Brasil!C160="","",IFERROR(INDEX(Gamma_Catalogo!$D$3:$D$1451,MATCH(Brasil!E160,Gamma_Catalogo!$A$3:$A$1451,0)),"Revisar Ip Code"))</f>
        <v/>
      </c>
      <c r="M160" s="1" t="str">
        <f aca="false">IF(Brasil!C160="","",IFERROR(INDEX(Gamma_Catalogo!$C$3:$C$1451,MATCH(Brasil!E160,Gamma_Catalogo!$A$3:$A$1451,0)),"Revisar Ip Code"))</f>
        <v/>
      </c>
      <c r="N160" s="1" t="str">
        <f aca="false">IF(Brasil!C160="","",IFERROR(INDEX(Gamma_Catalogo!$E$3:$E$1451,MATCH(Brasil!E160,Gamma_Catalogo!$A$3:$A$1451,0)),"Revisar Ip Code"))</f>
        <v/>
      </c>
      <c r="O160" s="1" t="str">
        <f aca="false">IF(Brasil!C160="","","Brasil")</f>
        <v/>
      </c>
    </row>
    <row r="161" customFormat="false" ht="15" hidden="false" customHeight="true" outlineLevel="0" collapsed="false">
      <c r="A161" s="1" t="str">
        <f aca="false">IF(Brasil!C161="","",IFERROR(INDEX(Mercados!$C$2:$C$32,MATCH(Brasil!B161,Mercados!$A$2:$A$32,0)),"Revisar Tscode"))</f>
        <v/>
      </c>
      <c r="B161" s="1" t="str">
        <f aca="false">IF(Brasil!C161="","",Brasil!C161)</f>
        <v/>
      </c>
      <c r="C161" s="1" t="str">
        <f aca="false">IF(Brasil!C161="","",Brasil!A161)</f>
        <v/>
      </c>
      <c r="D161" s="1" t="str">
        <f aca="false">IF(Brasil!C161="","",Brasil!E161)</f>
        <v/>
      </c>
      <c r="E161" s="1" t="str">
        <f aca="false">IF(Brasil!C161="","",Brasil!F161)</f>
        <v/>
      </c>
      <c r="F161" s="1" t="str">
        <f aca="false">IF(Brasil!C161="","",Brasil!D161)</f>
        <v/>
      </c>
      <c r="I161" s="1" t="str">
        <f aca="false">IF(Brasil!C161="","",Brasil!H161)</f>
        <v/>
      </c>
      <c r="J161" s="1" t="str">
        <f aca="false">IF(Brasil!C161="","",Brasil!D161*Brasil!H161)</f>
        <v/>
      </c>
      <c r="K161" s="1" t="str">
        <f aca="false">IF(Brasil!C161="","","BR")</f>
        <v/>
      </c>
      <c r="L161" s="1" t="str">
        <f aca="false">IF(Brasil!C161="","",IFERROR(INDEX(Gamma_Catalogo!$D$3:$D$1451,MATCH(Brasil!E161,Gamma_Catalogo!$A$3:$A$1451,0)),"Revisar Ip Code"))</f>
        <v/>
      </c>
      <c r="M161" s="1" t="str">
        <f aca="false">IF(Brasil!C161="","",IFERROR(INDEX(Gamma_Catalogo!$C$3:$C$1451,MATCH(Brasil!E161,Gamma_Catalogo!$A$3:$A$1451,0)),"Revisar Ip Code"))</f>
        <v/>
      </c>
      <c r="N161" s="1" t="str">
        <f aca="false">IF(Brasil!C161="","",IFERROR(INDEX(Gamma_Catalogo!$E$3:$E$1451,MATCH(Brasil!E161,Gamma_Catalogo!$A$3:$A$1451,0)),"Revisar Ip Code"))</f>
        <v/>
      </c>
      <c r="O161" s="1" t="str">
        <f aca="false">IF(Brasil!C161="","","Brasil")</f>
        <v/>
      </c>
    </row>
    <row r="162" customFormat="false" ht="15" hidden="false" customHeight="true" outlineLevel="0" collapsed="false">
      <c r="A162" s="1" t="str">
        <f aca="false">IF(Brasil!C162="","",IFERROR(INDEX(Mercados!$C$2:$C$32,MATCH(Brasil!B162,Mercados!$A$2:$A$32,0)),"Revisar Tscode"))</f>
        <v/>
      </c>
      <c r="B162" s="1" t="str">
        <f aca="false">IF(Brasil!C162="","",Brasil!C162)</f>
        <v/>
      </c>
      <c r="C162" s="1" t="str">
        <f aca="false">IF(Brasil!C162="","",Brasil!A162)</f>
        <v/>
      </c>
      <c r="D162" s="1" t="str">
        <f aca="false">IF(Brasil!C162="","",Brasil!E162)</f>
        <v/>
      </c>
      <c r="E162" s="1" t="str">
        <f aca="false">IF(Brasil!C162="","",Brasil!F162)</f>
        <v/>
      </c>
      <c r="F162" s="1" t="str">
        <f aca="false">IF(Brasil!C162="","",Brasil!D162)</f>
        <v/>
      </c>
      <c r="I162" s="1" t="str">
        <f aca="false">IF(Brasil!C162="","",Brasil!H162)</f>
        <v/>
      </c>
      <c r="J162" s="1" t="str">
        <f aca="false">IF(Brasil!C162="","",Brasil!D162*Brasil!H162)</f>
        <v/>
      </c>
      <c r="K162" s="1" t="str">
        <f aca="false">IF(Brasil!C162="","","BR")</f>
        <v/>
      </c>
      <c r="L162" s="1" t="str">
        <f aca="false">IF(Brasil!C162="","",IFERROR(INDEX(Gamma_Catalogo!$D$3:$D$1451,MATCH(Brasil!E162,Gamma_Catalogo!$A$3:$A$1451,0)),"Revisar Ip Code"))</f>
        <v/>
      </c>
      <c r="M162" s="1" t="str">
        <f aca="false">IF(Brasil!C162="","",IFERROR(INDEX(Gamma_Catalogo!$C$3:$C$1451,MATCH(Brasil!E162,Gamma_Catalogo!$A$3:$A$1451,0)),"Revisar Ip Code"))</f>
        <v/>
      </c>
      <c r="N162" s="1" t="str">
        <f aca="false">IF(Brasil!C162="","",IFERROR(INDEX(Gamma_Catalogo!$E$3:$E$1451,MATCH(Brasil!E162,Gamma_Catalogo!$A$3:$A$1451,0)),"Revisar Ip Code"))</f>
        <v/>
      </c>
      <c r="O162" s="1" t="str">
        <f aca="false">IF(Brasil!C162="","","Brasil")</f>
        <v/>
      </c>
    </row>
    <row r="163" customFormat="false" ht="15" hidden="false" customHeight="true" outlineLevel="0" collapsed="false">
      <c r="A163" s="1" t="str">
        <f aca="false">IF(Brasil!C163="","",IFERROR(INDEX(Mercados!$C$2:$C$32,MATCH(Brasil!B163,Mercados!$A$2:$A$32,0)),"Revisar Tscode"))</f>
        <v/>
      </c>
      <c r="B163" s="1" t="str">
        <f aca="false">IF(Brasil!C163="","",Brasil!C163)</f>
        <v/>
      </c>
      <c r="C163" s="1" t="str">
        <f aca="false">IF(Brasil!C163="","",Brasil!A163)</f>
        <v/>
      </c>
      <c r="D163" s="1" t="str">
        <f aca="false">IF(Brasil!C163="","",Brasil!E163)</f>
        <v/>
      </c>
      <c r="E163" s="1" t="str">
        <f aca="false">IF(Brasil!C163="","",Brasil!F163)</f>
        <v/>
      </c>
      <c r="F163" s="1" t="str">
        <f aca="false">IF(Brasil!C163="","",Brasil!D163)</f>
        <v/>
      </c>
      <c r="I163" s="1" t="str">
        <f aca="false">IF(Brasil!C163="","",Brasil!H163)</f>
        <v/>
      </c>
      <c r="J163" s="1" t="str">
        <f aca="false">IF(Brasil!C163="","",Brasil!D163*Brasil!H163)</f>
        <v/>
      </c>
      <c r="K163" s="1" t="str">
        <f aca="false">IF(Brasil!C163="","","BR")</f>
        <v/>
      </c>
      <c r="L163" s="1" t="str">
        <f aca="false">IF(Brasil!C163="","",IFERROR(INDEX(Gamma_Catalogo!$D$3:$D$1451,MATCH(Brasil!E163,Gamma_Catalogo!$A$3:$A$1451,0)),"Revisar Ip Code"))</f>
        <v/>
      </c>
      <c r="M163" s="1" t="str">
        <f aca="false">IF(Brasil!C163="","",IFERROR(INDEX(Gamma_Catalogo!$C$3:$C$1451,MATCH(Brasil!E163,Gamma_Catalogo!$A$3:$A$1451,0)),"Revisar Ip Code"))</f>
        <v/>
      </c>
      <c r="N163" s="1" t="str">
        <f aca="false">IF(Brasil!C163="","",IFERROR(INDEX(Gamma_Catalogo!$E$3:$E$1451,MATCH(Brasil!E163,Gamma_Catalogo!$A$3:$A$1451,0)),"Revisar Ip Code"))</f>
        <v/>
      </c>
      <c r="O163" s="1" t="str">
        <f aca="false">IF(Brasil!C163="","","Brasil")</f>
        <v/>
      </c>
    </row>
    <row r="164" customFormat="false" ht="15" hidden="false" customHeight="true" outlineLevel="0" collapsed="false">
      <c r="A164" s="1" t="str">
        <f aca="false">IF(Brasil!C164="","",IFERROR(INDEX(Mercados!$C$2:$C$32,MATCH(Brasil!B164,Mercados!$A$2:$A$32,0)),"Revisar Tscode"))</f>
        <v/>
      </c>
      <c r="B164" s="1" t="str">
        <f aca="false">IF(Brasil!C164="","",Brasil!C164)</f>
        <v/>
      </c>
      <c r="C164" s="1" t="str">
        <f aca="false">IF(Brasil!C164="","",Brasil!A164)</f>
        <v/>
      </c>
      <c r="D164" s="1" t="str">
        <f aca="false">IF(Brasil!C164="","",Brasil!E164)</f>
        <v/>
      </c>
      <c r="E164" s="1" t="str">
        <f aca="false">IF(Brasil!C164="","",Brasil!F164)</f>
        <v/>
      </c>
      <c r="F164" s="1" t="str">
        <f aca="false">IF(Brasil!C164="","",Brasil!D164)</f>
        <v/>
      </c>
      <c r="I164" s="1" t="str">
        <f aca="false">IF(Brasil!C164="","",Brasil!H164)</f>
        <v/>
      </c>
      <c r="J164" s="1" t="str">
        <f aca="false">IF(Brasil!C164="","",Brasil!D164*Brasil!H164)</f>
        <v/>
      </c>
      <c r="K164" s="1" t="str">
        <f aca="false">IF(Brasil!C164="","","BR")</f>
        <v/>
      </c>
      <c r="L164" s="1" t="str">
        <f aca="false">IF(Brasil!C164="","",IFERROR(INDEX(Gamma_Catalogo!$D$3:$D$1451,MATCH(Brasil!E164,Gamma_Catalogo!$A$3:$A$1451,0)),"Revisar Ip Code"))</f>
        <v/>
      </c>
      <c r="M164" s="1" t="str">
        <f aca="false">IF(Brasil!C164="","",IFERROR(INDEX(Gamma_Catalogo!$C$3:$C$1451,MATCH(Brasil!E164,Gamma_Catalogo!$A$3:$A$1451,0)),"Revisar Ip Code"))</f>
        <v/>
      </c>
      <c r="N164" s="1" t="str">
        <f aca="false">IF(Brasil!C164="","",IFERROR(INDEX(Gamma_Catalogo!$E$3:$E$1451,MATCH(Brasil!E164,Gamma_Catalogo!$A$3:$A$1451,0)),"Revisar Ip Code"))</f>
        <v/>
      </c>
      <c r="O164" s="1" t="str">
        <f aca="false">IF(Brasil!C164="","","Brasil")</f>
        <v/>
      </c>
    </row>
    <row r="165" customFormat="false" ht="15" hidden="false" customHeight="true" outlineLevel="0" collapsed="false">
      <c r="A165" s="1" t="str">
        <f aca="false">IF(Brasil!C165="","",IFERROR(INDEX(Mercados!$C$2:$C$32,MATCH(Brasil!B165,Mercados!$A$2:$A$32,0)),"Revisar Tscode"))</f>
        <v/>
      </c>
      <c r="B165" s="1" t="str">
        <f aca="false">IF(Brasil!C165="","",Brasil!C165)</f>
        <v/>
      </c>
      <c r="C165" s="1" t="str">
        <f aca="false">IF(Brasil!C165="","",Brasil!A165)</f>
        <v/>
      </c>
      <c r="D165" s="1" t="str">
        <f aca="false">IF(Brasil!C165="","",Brasil!E165)</f>
        <v/>
      </c>
      <c r="E165" s="1" t="str">
        <f aca="false">IF(Brasil!C165="","",Brasil!F165)</f>
        <v/>
      </c>
      <c r="F165" s="1" t="str">
        <f aca="false">IF(Brasil!C165="","",Brasil!D165)</f>
        <v/>
      </c>
      <c r="I165" s="1" t="str">
        <f aca="false">IF(Brasil!C165="","",Brasil!H165)</f>
        <v/>
      </c>
      <c r="J165" s="1" t="str">
        <f aca="false">IF(Brasil!C165="","",Brasil!D165*Brasil!H165)</f>
        <v/>
      </c>
      <c r="K165" s="1" t="str">
        <f aca="false">IF(Brasil!C165="","","BR")</f>
        <v/>
      </c>
      <c r="L165" s="1" t="str">
        <f aca="false">IF(Brasil!C165="","",IFERROR(INDEX(Gamma_Catalogo!$D$3:$D$1451,MATCH(Brasil!E165,Gamma_Catalogo!$A$3:$A$1451,0)),"Revisar Ip Code"))</f>
        <v/>
      </c>
      <c r="M165" s="1" t="str">
        <f aca="false">IF(Brasil!C165="","",IFERROR(INDEX(Gamma_Catalogo!$C$3:$C$1451,MATCH(Brasil!E165,Gamma_Catalogo!$A$3:$A$1451,0)),"Revisar Ip Code"))</f>
        <v/>
      </c>
      <c r="N165" s="1" t="str">
        <f aca="false">IF(Brasil!C165="","",IFERROR(INDEX(Gamma_Catalogo!$E$3:$E$1451,MATCH(Brasil!E165,Gamma_Catalogo!$A$3:$A$1451,0)),"Revisar Ip Code"))</f>
        <v/>
      </c>
      <c r="O165" s="1" t="str">
        <f aca="false">IF(Brasil!C165="","","Brasil")</f>
        <v/>
      </c>
    </row>
    <row r="166" customFormat="false" ht="15" hidden="false" customHeight="true" outlineLevel="0" collapsed="false">
      <c r="A166" s="1" t="str">
        <f aca="false">IF(Brasil!C166="","",IFERROR(INDEX(Mercados!$C$2:$C$32,MATCH(Brasil!B166,Mercados!$A$2:$A$32,0)),"Revisar Tscode"))</f>
        <v/>
      </c>
      <c r="B166" s="1" t="str">
        <f aca="false">IF(Brasil!C166="","",Brasil!C166)</f>
        <v/>
      </c>
      <c r="C166" s="1" t="str">
        <f aca="false">IF(Brasil!C166="","",Brasil!A166)</f>
        <v/>
      </c>
      <c r="D166" s="1" t="str">
        <f aca="false">IF(Brasil!C166="","",Brasil!E166)</f>
        <v/>
      </c>
      <c r="E166" s="1" t="str">
        <f aca="false">IF(Brasil!C166="","",Brasil!F166)</f>
        <v/>
      </c>
      <c r="F166" s="1" t="str">
        <f aca="false">IF(Brasil!C166="","",Brasil!D166)</f>
        <v/>
      </c>
      <c r="I166" s="1" t="str">
        <f aca="false">IF(Brasil!C166="","",Brasil!H166)</f>
        <v/>
      </c>
      <c r="J166" s="1" t="str">
        <f aca="false">IF(Brasil!C166="","",Brasil!D166*Brasil!H166)</f>
        <v/>
      </c>
      <c r="K166" s="1" t="str">
        <f aca="false">IF(Brasil!C166="","","BR")</f>
        <v/>
      </c>
      <c r="L166" s="1" t="str">
        <f aca="false">IF(Brasil!C166="","",IFERROR(INDEX(Gamma_Catalogo!$D$3:$D$1451,MATCH(Brasil!E166,Gamma_Catalogo!$A$3:$A$1451,0)),"Revisar Ip Code"))</f>
        <v/>
      </c>
      <c r="M166" s="1" t="str">
        <f aca="false">IF(Brasil!C166="","",IFERROR(INDEX(Gamma_Catalogo!$C$3:$C$1451,MATCH(Brasil!E166,Gamma_Catalogo!$A$3:$A$1451,0)),"Revisar Ip Code"))</f>
        <v/>
      </c>
      <c r="N166" s="1" t="str">
        <f aca="false">IF(Brasil!C166="","",IFERROR(INDEX(Gamma_Catalogo!$E$3:$E$1451,MATCH(Brasil!E166,Gamma_Catalogo!$A$3:$A$1451,0)),"Revisar Ip Code"))</f>
        <v/>
      </c>
      <c r="O166" s="1" t="str">
        <f aca="false">IF(Brasil!C166="","","Brasil")</f>
        <v/>
      </c>
    </row>
    <row r="167" customFormat="false" ht="15" hidden="false" customHeight="true" outlineLevel="0" collapsed="false">
      <c r="A167" s="1" t="str">
        <f aca="false">IF(Brasil!C167="","",IFERROR(INDEX(Mercados!$C$2:$C$32,MATCH(Brasil!B167,Mercados!$A$2:$A$32,0)),"Revisar Tscode"))</f>
        <v/>
      </c>
      <c r="B167" s="1" t="str">
        <f aca="false">IF(Brasil!C167="","",Brasil!C167)</f>
        <v/>
      </c>
      <c r="C167" s="1" t="str">
        <f aca="false">IF(Brasil!C167="","",Brasil!A167)</f>
        <v/>
      </c>
      <c r="D167" s="1" t="str">
        <f aca="false">IF(Brasil!C167="","",Brasil!E167)</f>
        <v/>
      </c>
      <c r="E167" s="1" t="str">
        <f aca="false">IF(Brasil!C167="","",Brasil!F167)</f>
        <v/>
      </c>
      <c r="F167" s="1" t="str">
        <f aca="false">IF(Brasil!C167="","",Brasil!D167)</f>
        <v/>
      </c>
      <c r="I167" s="1" t="str">
        <f aca="false">IF(Brasil!C167="","",Brasil!H167)</f>
        <v/>
      </c>
      <c r="J167" s="1" t="str">
        <f aca="false">IF(Brasil!C167="","",Brasil!D167*Brasil!H167)</f>
        <v/>
      </c>
      <c r="K167" s="1" t="str">
        <f aca="false">IF(Brasil!C167="","","BR")</f>
        <v/>
      </c>
      <c r="L167" s="1" t="str">
        <f aca="false">IF(Brasil!C167="","",IFERROR(INDEX(Gamma_Catalogo!$D$3:$D$1451,MATCH(Brasil!E167,Gamma_Catalogo!$A$3:$A$1451,0)),"Revisar Ip Code"))</f>
        <v/>
      </c>
      <c r="M167" s="1" t="str">
        <f aca="false">IF(Brasil!C167="","",IFERROR(INDEX(Gamma_Catalogo!$C$3:$C$1451,MATCH(Brasil!E167,Gamma_Catalogo!$A$3:$A$1451,0)),"Revisar Ip Code"))</f>
        <v/>
      </c>
      <c r="N167" s="1" t="str">
        <f aca="false">IF(Brasil!C167="","",IFERROR(INDEX(Gamma_Catalogo!$E$3:$E$1451,MATCH(Brasil!E167,Gamma_Catalogo!$A$3:$A$1451,0)),"Revisar Ip Code"))</f>
        <v/>
      </c>
      <c r="O167" s="1" t="str">
        <f aca="false">IF(Brasil!C167="","","Brasil")</f>
        <v/>
      </c>
    </row>
    <row r="168" customFormat="false" ht="15" hidden="false" customHeight="true" outlineLevel="0" collapsed="false">
      <c r="A168" s="1" t="str">
        <f aca="false">IF(Brasil!C168="","",IFERROR(INDEX(Mercados!$C$2:$C$32,MATCH(Brasil!B168,Mercados!$A$2:$A$32,0)),"Revisar Tscode"))</f>
        <v/>
      </c>
      <c r="B168" s="1" t="str">
        <f aca="false">IF(Brasil!C168="","",Brasil!C168)</f>
        <v/>
      </c>
      <c r="C168" s="1" t="str">
        <f aca="false">IF(Brasil!C168="","",Brasil!A168)</f>
        <v/>
      </c>
      <c r="D168" s="1" t="str">
        <f aca="false">IF(Brasil!C168="","",Brasil!E168)</f>
        <v/>
      </c>
      <c r="E168" s="1" t="str">
        <f aca="false">IF(Brasil!C168="","",Brasil!F168)</f>
        <v/>
      </c>
      <c r="F168" s="1" t="str">
        <f aca="false">IF(Brasil!C168="","",Brasil!D168)</f>
        <v/>
      </c>
      <c r="I168" s="1" t="str">
        <f aca="false">IF(Brasil!C168="","",Brasil!H168)</f>
        <v/>
      </c>
      <c r="J168" s="1" t="str">
        <f aca="false">IF(Brasil!C168="","",Brasil!D168*Brasil!H168)</f>
        <v/>
      </c>
      <c r="K168" s="1" t="str">
        <f aca="false">IF(Brasil!C168="","","BR")</f>
        <v/>
      </c>
      <c r="L168" s="1" t="str">
        <f aca="false">IF(Brasil!C168="","",IFERROR(INDEX(Gamma_Catalogo!$D$3:$D$1451,MATCH(Brasil!E168,Gamma_Catalogo!$A$3:$A$1451,0)),"Revisar Ip Code"))</f>
        <v/>
      </c>
      <c r="M168" s="1" t="str">
        <f aca="false">IF(Brasil!C168="","",IFERROR(INDEX(Gamma_Catalogo!$C$3:$C$1451,MATCH(Brasil!E168,Gamma_Catalogo!$A$3:$A$1451,0)),"Revisar Ip Code"))</f>
        <v/>
      </c>
      <c r="N168" s="1" t="str">
        <f aca="false">IF(Brasil!C168="","",IFERROR(INDEX(Gamma_Catalogo!$E$3:$E$1451,MATCH(Brasil!E168,Gamma_Catalogo!$A$3:$A$1451,0)),"Revisar Ip Code"))</f>
        <v/>
      </c>
      <c r="O168" s="1" t="str">
        <f aca="false">IF(Brasil!C168="","","Brasil")</f>
        <v/>
      </c>
    </row>
    <row r="169" customFormat="false" ht="15" hidden="false" customHeight="true" outlineLevel="0" collapsed="false">
      <c r="A169" s="1" t="str">
        <f aca="false">IF(Brasil!C169="","",IFERROR(INDEX(Mercados!$C$2:$C$32,MATCH(Brasil!B169,Mercados!$A$2:$A$32,0)),"Revisar Tscode"))</f>
        <v/>
      </c>
      <c r="B169" s="1" t="str">
        <f aca="false">IF(Brasil!C169="","",Brasil!C169)</f>
        <v/>
      </c>
      <c r="C169" s="1" t="str">
        <f aca="false">IF(Brasil!C169="","",Brasil!A169)</f>
        <v/>
      </c>
      <c r="D169" s="1" t="str">
        <f aca="false">IF(Brasil!C169="","",Brasil!E169)</f>
        <v/>
      </c>
      <c r="E169" s="1" t="str">
        <f aca="false">IF(Brasil!C169="","",Brasil!F169)</f>
        <v/>
      </c>
      <c r="F169" s="1" t="str">
        <f aca="false">IF(Brasil!C169="","",Brasil!D169)</f>
        <v/>
      </c>
      <c r="I169" s="1" t="str">
        <f aca="false">IF(Brasil!C169="","",Brasil!H169)</f>
        <v/>
      </c>
      <c r="J169" s="1" t="str">
        <f aca="false">IF(Brasil!C169="","",Brasil!D169*Brasil!H169)</f>
        <v/>
      </c>
      <c r="K169" s="1" t="str">
        <f aca="false">IF(Brasil!C169="","","BR")</f>
        <v/>
      </c>
      <c r="L169" s="1" t="str">
        <f aca="false">IF(Brasil!C169="","",IFERROR(INDEX(Gamma_Catalogo!$D$3:$D$1451,MATCH(Brasil!E169,Gamma_Catalogo!$A$3:$A$1451,0)),"Revisar Ip Code"))</f>
        <v/>
      </c>
      <c r="M169" s="1" t="str">
        <f aca="false">IF(Brasil!C169="","",IFERROR(INDEX(Gamma_Catalogo!$C$3:$C$1451,MATCH(Brasil!E169,Gamma_Catalogo!$A$3:$A$1451,0)),"Revisar Ip Code"))</f>
        <v/>
      </c>
      <c r="N169" s="1" t="str">
        <f aca="false">IF(Brasil!C169="","",IFERROR(INDEX(Gamma_Catalogo!$E$3:$E$1451,MATCH(Brasil!E169,Gamma_Catalogo!$A$3:$A$1451,0)),"Revisar Ip Code"))</f>
        <v/>
      </c>
      <c r="O169" s="1" t="str">
        <f aca="false">IF(Brasil!C169="","","Brasil")</f>
        <v/>
      </c>
    </row>
    <row r="170" customFormat="false" ht="15" hidden="false" customHeight="true" outlineLevel="0" collapsed="false">
      <c r="A170" s="1" t="str">
        <f aca="false">IF(Brasil!C170="","",IFERROR(INDEX(Mercados!$C$2:$C$32,MATCH(Brasil!B170,Mercados!$A$2:$A$32,0)),"Revisar Tscode"))</f>
        <v/>
      </c>
      <c r="B170" s="1" t="str">
        <f aca="false">IF(Brasil!C170="","",Brasil!C170)</f>
        <v/>
      </c>
      <c r="C170" s="1" t="str">
        <f aca="false">IF(Brasil!C170="","",Brasil!A170)</f>
        <v/>
      </c>
      <c r="D170" s="1" t="str">
        <f aca="false">IF(Brasil!C170="","",Brasil!E170)</f>
        <v/>
      </c>
      <c r="E170" s="1" t="str">
        <f aca="false">IF(Brasil!C170="","",Brasil!F170)</f>
        <v/>
      </c>
      <c r="F170" s="1" t="str">
        <f aca="false">IF(Brasil!C170="","",Brasil!D170)</f>
        <v/>
      </c>
      <c r="I170" s="1" t="str">
        <f aca="false">IF(Brasil!C170="","",Brasil!H170)</f>
        <v/>
      </c>
      <c r="J170" s="1" t="str">
        <f aca="false">IF(Brasil!C170="","",Brasil!D170*Brasil!H170)</f>
        <v/>
      </c>
      <c r="K170" s="1" t="str">
        <f aca="false">IF(Brasil!C170="","","BR")</f>
        <v/>
      </c>
      <c r="L170" s="1" t="str">
        <f aca="false">IF(Brasil!C170="","",IFERROR(INDEX(Gamma_Catalogo!$D$3:$D$1451,MATCH(Brasil!E170,Gamma_Catalogo!$A$3:$A$1451,0)),"Revisar Ip Code"))</f>
        <v/>
      </c>
      <c r="M170" s="1" t="str">
        <f aca="false">IF(Brasil!C170="","",IFERROR(INDEX(Gamma_Catalogo!$C$3:$C$1451,MATCH(Brasil!E170,Gamma_Catalogo!$A$3:$A$1451,0)),"Revisar Ip Code"))</f>
        <v/>
      </c>
      <c r="N170" s="1" t="str">
        <f aca="false">IF(Brasil!C170="","",IFERROR(INDEX(Gamma_Catalogo!$E$3:$E$1451,MATCH(Brasil!E170,Gamma_Catalogo!$A$3:$A$1451,0)),"Revisar Ip Code"))</f>
        <v/>
      </c>
      <c r="O170" s="1" t="str">
        <f aca="false">IF(Brasil!C170="","","Brasil")</f>
        <v/>
      </c>
    </row>
    <row r="171" customFormat="false" ht="15" hidden="false" customHeight="true" outlineLevel="0" collapsed="false">
      <c r="A171" s="1" t="str">
        <f aca="false">IF(Brasil!C171="","",IFERROR(INDEX(Mercados!$C$2:$C$32,MATCH(Brasil!B171,Mercados!$A$2:$A$32,0)),"Revisar Tscode"))</f>
        <v/>
      </c>
      <c r="B171" s="1" t="str">
        <f aca="false">IF(Brasil!C171="","",Brasil!C171)</f>
        <v/>
      </c>
      <c r="C171" s="1" t="str">
        <f aca="false">IF(Brasil!C171="","",Brasil!A171)</f>
        <v/>
      </c>
      <c r="D171" s="1" t="str">
        <f aca="false">IF(Brasil!C171="","",Brasil!E171)</f>
        <v/>
      </c>
      <c r="E171" s="1" t="str">
        <f aca="false">IF(Brasil!C171="","",Brasil!F171)</f>
        <v/>
      </c>
      <c r="F171" s="1" t="str">
        <f aca="false">IF(Brasil!C171="","",Brasil!D171)</f>
        <v/>
      </c>
      <c r="I171" s="1" t="str">
        <f aca="false">IF(Brasil!C171="","",Brasil!H171)</f>
        <v/>
      </c>
      <c r="J171" s="1" t="str">
        <f aca="false">IF(Brasil!C171="","",Brasil!D171*Brasil!H171)</f>
        <v/>
      </c>
      <c r="K171" s="1" t="str">
        <f aca="false">IF(Brasil!C171="","","BR")</f>
        <v/>
      </c>
      <c r="L171" s="1" t="str">
        <f aca="false">IF(Brasil!C171="","",IFERROR(INDEX(Gamma_Catalogo!$D$3:$D$1451,MATCH(Brasil!E171,Gamma_Catalogo!$A$3:$A$1451,0)),"Revisar Ip Code"))</f>
        <v/>
      </c>
      <c r="M171" s="1" t="str">
        <f aca="false">IF(Brasil!C171="","",IFERROR(INDEX(Gamma_Catalogo!$C$3:$C$1451,MATCH(Brasil!E171,Gamma_Catalogo!$A$3:$A$1451,0)),"Revisar Ip Code"))</f>
        <v/>
      </c>
      <c r="N171" s="1" t="str">
        <f aca="false">IF(Brasil!C171="","",IFERROR(INDEX(Gamma_Catalogo!$E$3:$E$1451,MATCH(Brasil!E171,Gamma_Catalogo!$A$3:$A$1451,0)),"Revisar Ip Code"))</f>
        <v/>
      </c>
      <c r="O171" s="1" t="str">
        <f aca="false">IF(Brasil!C171="","","Brasil")</f>
        <v/>
      </c>
    </row>
    <row r="172" customFormat="false" ht="15" hidden="false" customHeight="true" outlineLevel="0" collapsed="false">
      <c r="A172" s="1" t="str">
        <f aca="false">IF(Brasil!C172="","",IFERROR(INDEX(Mercados!$C$2:$C$32,MATCH(Brasil!B172,Mercados!$A$2:$A$32,0)),"Revisar Tscode"))</f>
        <v/>
      </c>
      <c r="B172" s="1" t="str">
        <f aca="false">IF(Brasil!C172="","",Brasil!C172)</f>
        <v/>
      </c>
      <c r="C172" s="1" t="str">
        <f aca="false">IF(Brasil!C172="","",Brasil!A172)</f>
        <v/>
      </c>
      <c r="D172" s="1" t="str">
        <f aca="false">IF(Brasil!C172="","",Brasil!E172)</f>
        <v/>
      </c>
      <c r="E172" s="1" t="str">
        <f aca="false">IF(Brasil!C172="","",Brasil!F172)</f>
        <v/>
      </c>
      <c r="F172" s="1" t="str">
        <f aca="false">IF(Brasil!C172="","",Brasil!D172)</f>
        <v/>
      </c>
      <c r="I172" s="1" t="str">
        <f aca="false">IF(Brasil!C172="","",Brasil!H172)</f>
        <v/>
      </c>
      <c r="J172" s="1" t="str">
        <f aca="false">IF(Brasil!C172="","",Brasil!D172*Brasil!H172)</f>
        <v/>
      </c>
      <c r="K172" s="1" t="str">
        <f aca="false">IF(Brasil!C172="","","BR")</f>
        <v/>
      </c>
      <c r="L172" s="1" t="str">
        <f aca="false">IF(Brasil!C172="","",IFERROR(INDEX(Gamma_Catalogo!$D$3:$D$1451,MATCH(Brasil!E172,Gamma_Catalogo!$A$3:$A$1451,0)),"Revisar Ip Code"))</f>
        <v/>
      </c>
      <c r="M172" s="1" t="str">
        <f aca="false">IF(Brasil!C172="","",IFERROR(INDEX(Gamma_Catalogo!$C$3:$C$1451,MATCH(Brasil!E172,Gamma_Catalogo!$A$3:$A$1451,0)),"Revisar Ip Code"))</f>
        <v/>
      </c>
      <c r="N172" s="1" t="str">
        <f aca="false">IF(Brasil!C172="","",IFERROR(INDEX(Gamma_Catalogo!$E$3:$E$1451,MATCH(Brasil!E172,Gamma_Catalogo!$A$3:$A$1451,0)),"Revisar Ip Code"))</f>
        <v/>
      </c>
      <c r="O172" s="1" t="str">
        <f aca="false">IF(Brasil!C172="","","Brasil")</f>
        <v/>
      </c>
    </row>
    <row r="173" customFormat="false" ht="15" hidden="false" customHeight="true" outlineLevel="0" collapsed="false">
      <c r="A173" s="1" t="str">
        <f aca="false">IF(Brasil!C173="","",IFERROR(INDEX(Mercados!$C$2:$C$32,MATCH(Brasil!B173,Mercados!$A$2:$A$32,0)),"Revisar Tscode"))</f>
        <v/>
      </c>
      <c r="B173" s="1" t="str">
        <f aca="false">IF(Brasil!C173="","",Brasil!C173)</f>
        <v/>
      </c>
      <c r="C173" s="1" t="str">
        <f aca="false">IF(Brasil!C173="","",Brasil!A173)</f>
        <v/>
      </c>
      <c r="D173" s="1" t="str">
        <f aca="false">IF(Brasil!C173="","",Brasil!E173)</f>
        <v/>
      </c>
      <c r="E173" s="1" t="str">
        <f aca="false">IF(Brasil!C173="","",Brasil!F173)</f>
        <v/>
      </c>
      <c r="F173" s="1" t="str">
        <f aca="false">IF(Brasil!C173="","",Brasil!D173)</f>
        <v/>
      </c>
      <c r="I173" s="1" t="str">
        <f aca="false">IF(Brasil!C173="","",Brasil!H173)</f>
        <v/>
      </c>
      <c r="J173" s="1" t="str">
        <f aca="false">IF(Brasil!C173="","",Brasil!D173*Brasil!H173)</f>
        <v/>
      </c>
      <c r="K173" s="1" t="str">
        <f aca="false">IF(Brasil!C173="","","BR")</f>
        <v/>
      </c>
      <c r="L173" s="1" t="str">
        <f aca="false">IF(Brasil!C173="","",IFERROR(INDEX(Gamma_Catalogo!$D$3:$D$1451,MATCH(Brasil!E173,Gamma_Catalogo!$A$3:$A$1451,0)),"Revisar Ip Code"))</f>
        <v/>
      </c>
      <c r="M173" s="1" t="str">
        <f aca="false">IF(Brasil!C173="","",IFERROR(INDEX(Gamma_Catalogo!$C$3:$C$1451,MATCH(Brasil!E173,Gamma_Catalogo!$A$3:$A$1451,0)),"Revisar Ip Code"))</f>
        <v/>
      </c>
      <c r="N173" s="1" t="str">
        <f aca="false">IF(Brasil!C173="","",IFERROR(INDEX(Gamma_Catalogo!$E$3:$E$1451,MATCH(Brasil!E173,Gamma_Catalogo!$A$3:$A$1451,0)),"Revisar Ip Code"))</f>
        <v/>
      </c>
      <c r="O173" s="1" t="str">
        <f aca="false">IF(Brasil!C173="","","Brasil")</f>
        <v/>
      </c>
    </row>
    <row r="174" customFormat="false" ht="15" hidden="false" customHeight="true" outlineLevel="0" collapsed="false">
      <c r="A174" s="1" t="str">
        <f aca="false">IF(Brasil!C174="","",IFERROR(INDEX(Mercados!$C$2:$C$32,MATCH(Brasil!B174,Mercados!$A$2:$A$32,0)),"Revisar Tscode"))</f>
        <v/>
      </c>
      <c r="B174" s="1" t="str">
        <f aca="false">IF(Brasil!C174="","",Brasil!C174)</f>
        <v/>
      </c>
      <c r="C174" s="1" t="str">
        <f aca="false">IF(Brasil!C174="","",Brasil!A174)</f>
        <v/>
      </c>
      <c r="D174" s="1" t="str">
        <f aca="false">IF(Brasil!C174="","",Brasil!E174)</f>
        <v/>
      </c>
      <c r="E174" s="1" t="str">
        <f aca="false">IF(Brasil!C174="","",Brasil!F174)</f>
        <v/>
      </c>
      <c r="F174" s="1" t="str">
        <f aca="false">IF(Brasil!C174="","",Brasil!D174)</f>
        <v/>
      </c>
      <c r="I174" s="1" t="str">
        <f aca="false">IF(Brasil!C174="","",Brasil!H174)</f>
        <v/>
      </c>
      <c r="J174" s="1" t="str">
        <f aca="false">IF(Brasil!C174="","",Brasil!D174*Brasil!H174)</f>
        <v/>
      </c>
      <c r="K174" s="1" t="str">
        <f aca="false">IF(Brasil!C174="","","BR")</f>
        <v/>
      </c>
      <c r="L174" s="1" t="str">
        <f aca="false">IF(Brasil!C174="","",IFERROR(INDEX(Gamma_Catalogo!$D$3:$D$1451,MATCH(Brasil!E174,Gamma_Catalogo!$A$3:$A$1451,0)),"Revisar Ip Code"))</f>
        <v/>
      </c>
      <c r="M174" s="1" t="str">
        <f aca="false">IF(Brasil!C174="","",IFERROR(INDEX(Gamma_Catalogo!$C$3:$C$1451,MATCH(Brasil!E174,Gamma_Catalogo!$A$3:$A$1451,0)),"Revisar Ip Code"))</f>
        <v/>
      </c>
      <c r="N174" s="1" t="str">
        <f aca="false">IF(Brasil!C174="","",IFERROR(INDEX(Gamma_Catalogo!$E$3:$E$1451,MATCH(Brasil!E174,Gamma_Catalogo!$A$3:$A$1451,0)),"Revisar Ip Code"))</f>
        <v/>
      </c>
      <c r="O174" s="1" t="str">
        <f aca="false">IF(Brasil!C174="","","Brasil")</f>
        <v/>
      </c>
    </row>
    <row r="175" customFormat="false" ht="15" hidden="false" customHeight="true" outlineLevel="0" collapsed="false">
      <c r="A175" s="1" t="str">
        <f aca="false">IF(Brasil!C175="","",IFERROR(INDEX(Mercados!$C$2:$C$32,MATCH(Brasil!B175,Mercados!$A$2:$A$32,0)),"Revisar Tscode"))</f>
        <v/>
      </c>
      <c r="B175" s="1" t="str">
        <f aca="false">IF(Brasil!C175="","",Brasil!C175)</f>
        <v/>
      </c>
      <c r="C175" s="1" t="str">
        <f aca="false">IF(Brasil!C175="","",Brasil!A175)</f>
        <v/>
      </c>
      <c r="D175" s="1" t="str">
        <f aca="false">IF(Brasil!C175="","",Brasil!E175)</f>
        <v/>
      </c>
      <c r="E175" s="1" t="str">
        <f aca="false">IF(Brasil!C175="","",Brasil!F175)</f>
        <v/>
      </c>
      <c r="F175" s="1" t="str">
        <f aca="false">IF(Brasil!C175="","",Brasil!D175)</f>
        <v/>
      </c>
      <c r="I175" s="1" t="str">
        <f aca="false">IF(Brasil!C175="","",Brasil!H175)</f>
        <v/>
      </c>
      <c r="J175" s="1" t="str">
        <f aca="false">IF(Brasil!C175="","",Brasil!D175*Brasil!H175)</f>
        <v/>
      </c>
      <c r="K175" s="1" t="str">
        <f aca="false">IF(Brasil!C175="","","BR")</f>
        <v/>
      </c>
      <c r="L175" s="1" t="str">
        <f aca="false">IF(Brasil!C175="","",IFERROR(INDEX(Gamma_Catalogo!$D$3:$D$1451,MATCH(Brasil!E175,Gamma_Catalogo!$A$3:$A$1451,0)),"Revisar Ip Code"))</f>
        <v/>
      </c>
      <c r="M175" s="1" t="str">
        <f aca="false">IF(Brasil!C175="","",IFERROR(INDEX(Gamma_Catalogo!$C$3:$C$1451,MATCH(Brasil!E175,Gamma_Catalogo!$A$3:$A$1451,0)),"Revisar Ip Code"))</f>
        <v/>
      </c>
      <c r="N175" s="1" t="str">
        <f aca="false">IF(Brasil!C175="","",IFERROR(INDEX(Gamma_Catalogo!$E$3:$E$1451,MATCH(Brasil!E175,Gamma_Catalogo!$A$3:$A$1451,0)),"Revisar Ip Code"))</f>
        <v/>
      </c>
      <c r="O175" s="1" t="str">
        <f aca="false">IF(Brasil!C175="","","Brasil")</f>
        <v/>
      </c>
    </row>
    <row r="176" customFormat="false" ht="15" hidden="false" customHeight="true" outlineLevel="0" collapsed="false">
      <c r="A176" s="1" t="str">
        <f aca="false">IF(Brasil!C176="","",IFERROR(INDEX(Mercados!$C$2:$C$32,MATCH(Brasil!B176,Mercados!$A$2:$A$32,0)),"Revisar Tscode"))</f>
        <v/>
      </c>
      <c r="B176" s="1" t="str">
        <f aca="false">IF(Brasil!C176="","",Brasil!C176)</f>
        <v/>
      </c>
      <c r="C176" s="1" t="str">
        <f aca="false">IF(Brasil!C176="","",Brasil!A176)</f>
        <v/>
      </c>
      <c r="D176" s="1" t="str">
        <f aca="false">IF(Brasil!C176="","",Brasil!E176)</f>
        <v/>
      </c>
      <c r="E176" s="1" t="str">
        <f aca="false">IF(Brasil!C176="","",Brasil!F176)</f>
        <v/>
      </c>
      <c r="F176" s="1" t="str">
        <f aca="false">IF(Brasil!C176="","",Brasil!D176)</f>
        <v/>
      </c>
      <c r="I176" s="1" t="str">
        <f aca="false">IF(Brasil!C176="","",Brasil!H176)</f>
        <v/>
      </c>
      <c r="J176" s="1" t="str">
        <f aca="false">IF(Brasil!C176="","",Brasil!D176*Brasil!H176)</f>
        <v/>
      </c>
      <c r="K176" s="1" t="str">
        <f aca="false">IF(Brasil!C176="","","BR")</f>
        <v/>
      </c>
      <c r="L176" s="1" t="str">
        <f aca="false">IF(Brasil!C176="","",IFERROR(INDEX(Gamma_Catalogo!$D$3:$D$1451,MATCH(Brasil!E176,Gamma_Catalogo!$A$3:$A$1451,0)),"Revisar Ip Code"))</f>
        <v/>
      </c>
      <c r="M176" s="1" t="str">
        <f aca="false">IF(Brasil!C176="","",IFERROR(INDEX(Gamma_Catalogo!$C$3:$C$1451,MATCH(Brasil!E176,Gamma_Catalogo!$A$3:$A$1451,0)),"Revisar Ip Code"))</f>
        <v/>
      </c>
      <c r="N176" s="1" t="str">
        <f aca="false">IF(Brasil!C176="","",IFERROR(INDEX(Gamma_Catalogo!$E$3:$E$1451,MATCH(Brasil!E176,Gamma_Catalogo!$A$3:$A$1451,0)),"Revisar Ip Code"))</f>
        <v/>
      </c>
      <c r="O176" s="1" t="str">
        <f aca="false">IF(Brasil!C176="","","Brasil")</f>
        <v/>
      </c>
    </row>
    <row r="177" customFormat="false" ht="15" hidden="false" customHeight="true" outlineLevel="0" collapsed="false">
      <c r="A177" s="1" t="str">
        <f aca="false">IF(Brasil!C177="","",IFERROR(INDEX(Mercados!$C$2:$C$32,MATCH(Brasil!B177,Mercados!$A$2:$A$32,0)),"Revisar Tscode"))</f>
        <v/>
      </c>
      <c r="B177" s="1" t="str">
        <f aca="false">IF(Brasil!C177="","",Brasil!C177)</f>
        <v/>
      </c>
      <c r="C177" s="1" t="str">
        <f aca="false">IF(Brasil!C177="","",Brasil!A177)</f>
        <v/>
      </c>
      <c r="D177" s="1" t="str">
        <f aca="false">IF(Brasil!C177="","",Brasil!E177)</f>
        <v/>
      </c>
      <c r="E177" s="1" t="str">
        <f aca="false">IF(Brasil!C177="","",Brasil!F177)</f>
        <v/>
      </c>
      <c r="F177" s="1" t="str">
        <f aca="false">IF(Brasil!C177="","",Brasil!D177)</f>
        <v/>
      </c>
      <c r="I177" s="1" t="str">
        <f aca="false">IF(Brasil!C177="","",Brasil!H177)</f>
        <v/>
      </c>
      <c r="J177" s="1" t="str">
        <f aca="false">IF(Brasil!C177="","",Brasil!D177*Brasil!H177)</f>
        <v/>
      </c>
      <c r="K177" s="1" t="str">
        <f aca="false">IF(Brasil!C177="","","BR")</f>
        <v/>
      </c>
      <c r="L177" s="1" t="str">
        <f aca="false">IF(Brasil!C177="","",IFERROR(INDEX(Gamma_Catalogo!$D$3:$D$1451,MATCH(Brasil!E177,Gamma_Catalogo!$A$3:$A$1451,0)),"Revisar Ip Code"))</f>
        <v/>
      </c>
      <c r="M177" s="1" t="str">
        <f aca="false">IF(Brasil!C177="","",IFERROR(INDEX(Gamma_Catalogo!$C$3:$C$1451,MATCH(Brasil!E177,Gamma_Catalogo!$A$3:$A$1451,0)),"Revisar Ip Code"))</f>
        <v/>
      </c>
      <c r="N177" s="1" t="str">
        <f aca="false">IF(Brasil!C177="","",IFERROR(INDEX(Gamma_Catalogo!$E$3:$E$1451,MATCH(Brasil!E177,Gamma_Catalogo!$A$3:$A$1451,0)),"Revisar Ip Code"))</f>
        <v/>
      </c>
      <c r="O177" s="1" t="str">
        <f aca="false">IF(Brasil!C177="","","Brasil")</f>
        <v/>
      </c>
    </row>
    <row r="178" customFormat="false" ht="15" hidden="false" customHeight="true" outlineLevel="0" collapsed="false">
      <c r="A178" s="1" t="str">
        <f aca="false">IF(Brasil!C178="","",IFERROR(INDEX(Mercados!$C$2:$C$32,MATCH(Brasil!B178,Mercados!$A$2:$A$32,0)),"Revisar Tscode"))</f>
        <v/>
      </c>
      <c r="B178" s="1" t="str">
        <f aca="false">IF(Brasil!C178="","",Brasil!C178)</f>
        <v/>
      </c>
      <c r="C178" s="1" t="str">
        <f aca="false">IF(Brasil!C178="","",Brasil!A178)</f>
        <v/>
      </c>
      <c r="D178" s="1" t="str">
        <f aca="false">IF(Brasil!C178="","",Brasil!E178)</f>
        <v/>
      </c>
      <c r="E178" s="1" t="str">
        <f aca="false">IF(Brasil!C178="","",Brasil!F178)</f>
        <v/>
      </c>
      <c r="F178" s="1" t="str">
        <f aca="false">IF(Brasil!C178="","",Brasil!D178)</f>
        <v/>
      </c>
      <c r="I178" s="1" t="str">
        <f aca="false">IF(Brasil!C178="","",Brasil!H178)</f>
        <v/>
      </c>
      <c r="J178" s="1" t="str">
        <f aca="false">IF(Brasil!C178="","",Brasil!D178*Brasil!H178)</f>
        <v/>
      </c>
      <c r="K178" s="1" t="str">
        <f aca="false">IF(Brasil!C178="","","BR")</f>
        <v/>
      </c>
      <c r="L178" s="1" t="str">
        <f aca="false">IF(Brasil!C178="","",IFERROR(INDEX(Gamma_Catalogo!$D$3:$D$1451,MATCH(Brasil!E178,Gamma_Catalogo!$A$3:$A$1451,0)),"Revisar Ip Code"))</f>
        <v/>
      </c>
      <c r="M178" s="1" t="str">
        <f aca="false">IF(Brasil!C178="","",IFERROR(INDEX(Gamma_Catalogo!$C$3:$C$1451,MATCH(Brasil!E178,Gamma_Catalogo!$A$3:$A$1451,0)),"Revisar Ip Code"))</f>
        <v/>
      </c>
      <c r="N178" s="1" t="str">
        <f aca="false">IF(Brasil!C178="","",IFERROR(INDEX(Gamma_Catalogo!$E$3:$E$1451,MATCH(Brasil!E178,Gamma_Catalogo!$A$3:$A$1451,0)),"Revisar Ip Code"))</f>
        <v/>
      </c>
      <c r="O178" s="1" t="str">
        <f aca="false">IF(Brasil!C178="","","Brasil")</f>
        <v/>
      </c>
    </row>
    <row r="179" customFormat="false" ht="15" hidden="false" customHeight="true" outlineLevel="0" collapsed="false">
      <c r="A179" s="1" t="str">
        <f aca="false">IF(Brasil!C179="","",IFERROR(INDEX(Mercados!$C$2:$C$32,MATCH(Brasil!B179,Mercados!$A$2:$A$32,0)),"Revisar Tscode"))</f>
        <v/>
      </c>
      <c r="B179" s="1" t="str">
        <f aca="false">IF(Brasil!C179="","",Brasil!C179)</f>
        <v/>
      </c>
      <c r="C179" s="1" t="str">
        <f aca="false">IF(Brasil!C179="","",Brasil!A179)</f>
        <v/>
      </c>
      <c r="D179" s="1" t="str">
        <f aca="false">IF(Brasil!C179="","",Brasil!E179)</f>
        <v/>
      </c>
      <c r="E179" s="1" t="str">
        <f aca="false">IF(Brasil!C179="","",Brasil!F179)</f>
        <v/>
      </c>
      <c r="F179" s="1" t="str">
        <f aca="false">IF(Brasil!C179="","",Brasil!D179)</f>
        <v/>
      </c>
      <c r="I179" s="1" t="str">
        <f aca="false">IF(Brasil!C179="","",Brasil!H179)</f>
        <v/>
      </c>
      <c r="J179" s="1" t="str">
        <f aca="false">IF(Brasil!C179="","",Brasil!D179*Brasil!H179)</f>
        <v/>
      </c>
      <c r="K179" s="1" t="str">
        <f aca="false">IF(Brasil!C179="","","BR")</f>
        <v/>
      </c>
      <c r="L179" s="1" t="str">
        <f aca="false">IF(Brasil!C179="","",IFERROR(INDEX(Gamma_Catalogo!$D$3:$D$1451,MATCH(Brasil!E179,Gamma_Catalogo!$A$3:$A$1451,0)),"Revisar Ip Code"))</f>
        <v/>
      </c>
      <c r="M179" s="1" t="str">
        <f aca="false">IF(Brasil!C179="","",IFERROR(INDEX(Gamma_Catalogo!$C$3:$C$1451,MATCH(Brasil!E179,Gamma_Catalogo!$A$3:$A$1451,0)),"Revisar Ip Code"))</f>
        <v/>
      </c>
      <c r="N179" s="1" t="str">
        <f aca="false">IF(Brasil!C179="","",IFERROR(INDEX(Gamma_Catalogo!$E$3:$E$1451,MATCH(Brasil!E179,Gamma_Catalogo!$A$3:$A$1451,0)),"Revisar Ip Code"))</f>
        <v/>
      </c>
      <c r="O179" s="1" t="str">
        <f aca="false">IF(Brasil!C179="","","Brasil")</f>
        <v/>
      </c>
    </row>
    <row r="180" customFormat="false" ht="15" hidden="false" customHeight="true" outlineLevel="0" collapsed="false">
      <c r="A180" s="1" t="str">
        <f aca="false">IF(Brasil!C180="","",IFERROR(INDEX(Mercados!$C$2:$C$32,MATCH(Brasil!B180,Mercados!$A$2:$A$32,0)),"Revisar Tscode"))</f>
        <v/>
      </c>
      <c r="B180" s="1" t="str">
        <f aca="false">IF(Brasil!C180="","",Brasil!C180)</f>
        <v/>
      </c>
      <c r="C180" s="1" t="str">
        <f aca="false">IF(Brasil!C180="","",Brasil!A180)</f>
        <v/>
      </c>
      <c r="D180" s="1" t="str">
        <f aca="false">IF(Brasil!C180="","",Brasil!E180)</f>
        <v/>
      </c>
      <c r="E180" s="1" t="str">
        <f aca="false">IF(Brasil!C180="","",Brasil!F180)</f>
        <v/>
      </c>
      <c r="F180" s="1" t="str">
        <f aca="false">IF(Brasil!C180="","",Brasil!D180)</f>
        <v/>
      </c>
      <c r="I180" s="1" t="str">
        <f aca="false">IF(Brasil!C180="","",Brasil!H180)</f>
        <v/>
      </c>
      <c r="J180" s="1" t="str">
        <f aca="false">IF(Brasil!C180="","",Brasil!D180*Brasil!H180)</f>
        <v/>
      </c>
      <c r="K180" s="1" t="str">
        <f aca="false">IF(Brasil!C180="","","BR")</f>
        <v/>
      </c>
      <c r="L180" s="1" t="str">
        <f aca="false">IF(Brasil!C180="","",IFERROR(INDEX(Gamma_Catalogo!$D$3:$D$1451,MATCH(Brasil!E180,Gamma_Catalogo!$A$3:$A$1451,0)),"Revisar Ip Code"))</f>
        <v/>
      </c>
      <c r="M180" s="1" t="str">
        <f aca="false">IF(Brasil!C180="","",IFERROR(INDEX(Gamma_Catalogo!$C$3:$C$1451,MATCH(Brasil!E180,Gamma_Catalogo!$A$3:$A$1451,0)),"Revisar Ip Code"))</f>
        <v/>
      </c>
      <c r="N180" s="1" t="str">
        <f aca="false">IF(Brasil!C180="","",IFERROR(INDEX(Gamma_Catalogo!$E$3:$E$1451,MATCH(Brasil!E180,Gamma_Catalogo!$A$3:$A$1451,0)),"Revisar Ip Code"))</f>
        <v/>
      </c>
      <c r="O180" s="1" t="str">
        <f aca="false">IF(Brasil!C180="","","Brasil")</f>
        <v/>
      </c>
    </row>
    <row r="181" customFormat="false" ht="15" hidden="false" customHeight="true" outlineLevel="0" collapsed="false">
      <c r="A181" s="1" t="str">
        <f aca="false">IF(Brasil!C181="","",IFERROR(INDEX(Mercados!$C$2:$C$32,MATCH(Brasil!B181,Mercados!$A$2:$A$32,0)),"Revisar Tscode"))</f>
        <v/>
      </c>
      <c r="B181" s="1" t="str">
        <f aca="false">IF(Brasil!C181="","",Brasil!C181)</f>
        <v/>
      </c>
      <c r="C181" s="1" t="str">
        <f aca="false">IF(Brasil!C181="","",Brasil!A181)</f>
        <v/>
      </c>
      <c r="D181" s="1" t="str">
        <f aca="false">IF(Brasil!C181="","",Brasil!E181)</f>
        <v/>
      </c>
      <c r="E181" s="1" t="str">
        <f aca="false">IF(Brasil!C181="","",Brasil!F181)</f>
        <v/>
      </c>
      <c r="F181" s="1" t="str">
        <f aca="false">IF(Brasil!C181="","",Brasil!D181)</f>
        <v/>
      </c>
      <c r="I181" s="1" t="str">
        <f aca="false">IF(Brasil!C181="","",Brasil!H181)</f>
        <v/>
      </c>
      <c r="J181" s="1" t="str">
        <f aca="false">IF(Brasil!C181="","",Brasil!D181*Brasil!H181)</f>
        <v/>
      </c>
      <c r="K181" s="1" t="str">
        <f aca="false">IF(Brasil!C181="","","BR")</f>
        <v/>
      </c>
      <c r="L181" s="1" t="str">
        <f aca="false">IF(Brasil!C181="","",IFERROR(INDEX(Gamma_Catalogo!$D$3:$D$1451,MATCH(Brasil!E181,Gamma_Catalogo!$A$3:$A$1451,0)),"Revisar Ip Code"))</f>
        <v/>
      </c>
      <c r="M181" s="1" t="str">
        <f aca="false">IF(Brasil!C181="","",IFERROR(INDEX(Gamma_Catalogo!$C$3:$C$1451,MATCH(Brasil!E181,Gamma_Catalogo!$A$3:$A$1451,0)),"Revisar Ip Code"))</f>
        <v/>
      </c>
      <c r="N181" s="1" t="str">
        <f aca="false">IF(Brasil!C181="","",IFERROR(INDEX(Gamma_Catalogo!$E$3:$E$1451,MATCH(Brasil!E181,Gamma_Catalogo!$A$3:$A$1451,0)),"Revisar Ip Code"))</f>
        <v/>
      </c>
      <c r="O181" s="1" t="str">
        <f aca="false">IF(Brasil!C181="","","Brasil")</f>
        <v/>
      </c>
    </row>
    <row r="182" customFormat="false" ht="15" hidden="false" customHeight="true" outlineLevel="0" collapsed="false">
      <c r="A182" s="1" t="str">
        <f aca="false">IF(Brasil!C182="","",IFERROR(INDEX(Mercados!$C$2:$C$32,MATCH(Brasil!B182,Mercados!$A$2:$A$32,0)),"Revisar Tscode"))</f>
        <v/>
      </c>
      <c r="B182" s="1" t="str">
        <f aca="false">IF(Brasil!C182="","",Brasil!C182)</f>
        <v/>
      </c>
      <c r="C182" s="1" t="str">
        <f aca="false">IF(Brasil!C182="","",Brasil!A182)</f>
        <v/>
      </c>
      <c r="D182" s="1" t="str">
        <f aca="false">IF(Brasil!C182="","",Brasil!E182)</f>
        <v/>
      </c>
      <c r="E182" s="1" t="str">
        <f aca="false">IF(Brasil!C182="","",Brasil!F182)</f>
        <v/>
      </c>
      <c r="F182" s="1" t="str">
        <f aca="false">IF(Brasil!C182="","",Brasil!D182)</f>
        <v/>
      </c>
      <c r="I182" s="1" t="str">
        <f aca="false">IF(Brasil!C182="","",Brasil!H182)</f>
        <v/>
      </c>
      <c r="J182" s="1" t="str">
        <f aca="false">IF(Brasil!C182="","",Brasil!D182*Brasil!H182)</f>
        <v/>
      </c>
      <c r="K182" s="1" t="str">
        <f aca="false">IF(Brasil!C182="","","BR")</f>
        <v/>
      </c>
      <c r="L182" s="1" t="str">
        <f aca="false">IF(Brasil!C182="","",IFERROR(INDEX(Gamma_Catalogo!$D$3:$D$1451,MATCH(Brasil!E182,Gamma_Catalogo!$A$3:$A$1451,0)),"Revisar Ip Code"))</f>
        <v/>
      </c>
      <c r="M182" s="1" t="str">
        <f aca="false">IF(Brasil!C182="","",IFERROR(INDEX(Gamma_Catalogo!$C$3:$C$1451,MATCH(Brasil!E182,Gamma_Catalogo!$A$3:$A$1451,0)),"Revisar Ip Code"))</f>
        <v/>
      </c>
      <c r="N182" s="1" t="str">
        <f aca="false">IF(Brasil!C182="","",IFERROR(INDEX(Gamma_Catalogo!$E$3:$E$1451,MATCH(Brasil!E182,Gamma_Catalogo!$A$3:$A$1451,0)),"Revisar Ip Code"))</f>
        <v/>
      </c>
      <c r="O182" s="1" t="str">
        <f aca="false">IF(Brasil!C182="","","Brasil")</f>
        <v/>
      </c>
    </row>
    <row r="183" customFormat="false" ht="15" hidden="false" customHeight="true" outlineLevel="0" collapsed="false">
      <c r="A183" s="1" t="str">
        <f aca="false">IF(Brasil!C183="","",IFERROR(INDEX(Mercados!$C$2:$C$32,MATCH(Brasil!B183,Mercados!$A$2:$A$32,0)),"Revisar Tscode"))</f>
        <v/>
      </c>
      <c r="B183" s="1" t="str">
        <f aca="false">IF(Brasil!C183="","",Brasil!C183)</f>
        <v/>
      </c>
      <c r="C183" s="1" t="str">
        <f aca="false">IF(Brasil!C183="","",Brasil!A183)</f>
        <v/>
      </c>
      <c r="D183" s="1" t="str">
        <f aca="false">IF(Brasil!C183="","",Brasil!E183)</f>
        <v/>
      </c>
      <c r="E183" s="1" t="str">
        <f aca="false">IF(Brasil!C183="","",Brasil!F183)</f>
        <v/>
      </c>
      <c r="F183" s="1" t="str">
        <f aca="false">IF(Brasil!C183="","",Brasil!D183)</f>
        <v/>
      </c>
      <c r="I183" s="1" t="str">
        <f aca="false">IF(Brasil!C183="","",Brasil!H183)</f>
        <v/>
      </c>
      <c r="J183" s="1" t="str">
        <f aca="false">IF(Brasil!C183="","",Brasil!D183*Brasil!H183)</f>
        <v/>
      </c>
      <c r="K183" s="1" t="str">
        <f aca="false">IF(Brasil!C183="","","BR")</f>
        <v/>
      </c>
      <c r="L183" s="1" t="str">
        <f aca="false">IF(Brasil!C183="","",IFERROR(INDEX(Gamma_Catalogo!$D$3:$D$1451,MATCH(Brasil!E183,Gamma_Catalogo!$A$3:$A$1451,0)),"Revisar Ip Code"))</f>
        <v/>
      </c>
      <c r="M183" s="1" t="str">
        <f aca="false">IF(Brasil!C183="","",IFERROR(INDEX(Gamma_Catalogo!$C$3:$C$1451,MATCH(Brasil!E183,Gamma_Catalogo!$A$3:$A$1451,0)),"Revisar Ip Code"))</f>
        <v/>
      </c>
      <c r="N183" s="1" t="str">
        <f aca="false">IF(Brasil!C183="","",IFERROR(INDEX(Gamma_Catalogo!$E$3:$E$1451,MATCH(Brasil!E183,Gamma_Catalogo!$A$3:$A$1451,0)),"Revisar Ip Code"))</f>
        <v/>
      </c>
      <c r="O183" s="1" t="str">
        <f aca="false">IF(Brasil!C183="","","Brasil")</f>
        <v/>
      </c>
    </row>
    <row r="184" customFormat="false" ht="15" hidden="false" customHeight="true" outlineLevel="0" collapsed="false">
      <c r="A184" s="1" t="str">
        <f aca="false">IF(Brasil!C184="","",IFERROR(INDEX(Mercados!$C$2:$C$32,MATCH(Brasil!B184,Mercados!$A$2:$A$32,0)),"Revisar Tscode"))</f>
        <v/>
      </c>
      <c r="B184" s="1" t="str">
        <f aca="false">IF(Brasil!C184="","",Brasil!C184)</f>
        <v/>
      </c>
      <c r="C184" s="1" t="str">
        <f aca="false">IF(Brasil!C184="","",Brasil!A184)</f>
        <v/>
      </c>
      <c r="D184" s="1" t="str">
        <f aca="false">IF(Brasil!C184="","",Brasil!E184)</f>
        <v/>
      </c>
      <c r="E184" s="1" t="str">
        <f aca="false">IF(Brasil!C184="","",Brasil!F184)</f>
        <v/>
      </c>
      <c r="F184" s="1" t="str">
        <f aca="false">IF(Brasil!C184="","",Brasil!D184)</f>
        <v/>
      </c>
      <c r="I184" s="1" t="str">
        <f aca="false">IF(Brasil!C184="","",Brasil!H184)</f>
        <v/>
      </c>
      <c r="J184" s="1" t="str">
        <f aca="false">IF(Brasil!C184="","",Brasil!D184*Brasil!H184)</f>
        <v/>
      </c>
      <c r="K184" s="1" t="str">
        <f aca="false">IF(Brasil!C184="","","BR")</f>
        <v/>
      </c>
      <c r="L184" s="1" t="str">
        <f aca="false">IF(Brasil!C184="","",IFERROR(INDEX(Gamma_Catalogo!$D$3:$D$1451,MATCH(Brasil!E184,Gamma_Catalogo!$A$3:$A$1451,0)),"Revisar Ip Code"))</f>
        <v/>
      </c>
      <c r="M184" s="1" t="str">
        <f aca="false">IF(Brasil!C184="","",IFERROR(INDEX(Gamma_Catalogo!$C$3:$C$1451,MATCH(Brasil!E184,Gamma_Catalogo!$A$3:$A$1451,0)),"Revisar Ip Code"))</f>
        <v/>
      </c>
      <c r="N184" s="1" t="str">
        <f aca="false">IF(Brasil!C184="","",IFERROR(INDEX(Gamma_Catalogo!$E$3:$E$1451,MATCH(Brasil!E184,Gamma_Catalogo!$A$3:$A$1451,0)),"Revisar Ip Code"))</f>
        <v/>
      </c>
      <c r="O184" s="1" t="str">
        <f aca="false">IF(Brasil!C184="","","Brasil")</f>
        <v/>
      </c>
    </row>
    <row r="185" customFormat="false" ht="15" hidden="false" customHeight="true" outlineLevel="0" collapsed="false">
      <c r="A185" s="1" t="str">
        <f aca="false">IF(Brasil!C185="","",IFERROR(INDEX(Mercados!$C$2:$C$32,MATCH(Brasil!B185,Mercados!$A$2:$A$32,0)),"Revisar Tscode"))</f>
        <v/>
      </c>
      <c r="B185" s="1" t="str">
        <f aca="false">IF(Brasil!C185="","",Brasil!C185)</f>
        <v/>
      </c>
      <c r="C185" s="1" t="str">
        <f aca="false">IF(Brasil!C185="","",Brasil!A185)</f>
        <v/>
      </c>
      <c r="D185" s="1" t="str">
        <f aca="false">IF(Brasil!C185="","",Brasil!E185)</f>
        <v/>
      </c>
      <c r="E185" s="1" t="str">
        <f aca="false">IF(Brasil!C185="","",Brasil!F185)</f>
        <v/>
      </c>
      <c r="F185" s="1" t="str">
        <f aca="false">IF(Brasil!C185="","",Brasil!D185)</f>
        <v/>
      </c>
      <c r="I185" s="1" t="str">
        <f aca="false">IF(Brasil!C185="","",Brasil!H185)</f>
        <v/>
      </c>
      <c r="J185" s="1" t="str">
        <f aca="false">IF(Brasil!C185="","",Brasil!D185*Brasil!H185)</f>
        <v/>
      </c>
      <c r="K185" s="1" t="str">
        <f aca="false">IF(Brasil!C185="","","BR")</f>
        <v/>
      </c>
      <c r="L185" s="1" t="str">
        <f aca="false">IF(Brasil!C185="","",IFERROR(INDEX(Gamma_Catalogo!$D$3:$D$1451,MATCH(Brasil!E185,Gamma_Catalogo!$A$3:$A$1451,0)),"Revisar Ip Code"))</f>
        <v/>
      </c>
      <c r="M185" s="1" t="str">
        <f aca="false">IF(Brasil!C185="","",IFERROR(INDEX(Gamma_Catalogo!$C$3:$C$1451,MATCH(Brasil!E185,Gamma_Catalogo!$A$3:$A$1451,0)),"Revisar Ip Code"))</f>
        <v/>
      </c>
      <c r="N185" s="1" t="str">
        <f aca="false">IF(Brasil!C185="","",IFERROR(INDEX(Gamma_Catalogo!$E$3:$E$1451,MATCH(Brasil!E185,Gamma_Catalogo!$A$3:$A$1451,0)),"Revisar Ip Code"))</f>
        <v/>
      </c>
      <c r="O185" s="1" t="str">
        <f aca="false">IF(Brasil!C185="","","Brasil")</f>
        <v/>
      </c>
    </row>
    <row r="186" customFormat="false" ht="15" hidden="false" customHeight="true" outlineLevel="0" collapsed="false">
      <c r="A186" s="1" t="str">
        <f aca="false">IF(Brasil!C186="","",IFERROR(INDEX(Mercados!$C$2:$C$32,MATCH(Brasil!B186,Mercados!$A$2:$A$32,0)),"Revisar Tscode"))</f>
        <v/>
      </c>
      <c r="B186" s="1" t="str">
        <f aca="false">IF(Brasil!C186="","",Brasil!C186)</f>
        <v/>
      </c>
      <c r="C186" s="1" t="str">
        <f aca="false">IF(Brasil!C186="","",Brasil!A186)</f>
        <v/>
      </c>
      <c r="D186" s="1" t="str">
        <f aca="false">IF(Brasil!C186="","",Brasil!E186)</f>
        <v/>
      </c>
      <c r="E186" s="1" t="str">
        <f aca="false">IF(Brasil!C186="","",Brasil!F186)</f>
        <v/>
      </c>
      <c r="F186" s="1" t="str">
        <f aca="false">IF(Brasil!C186="","",Brasil!D186)</f>
        <v/>
      </c>
      <c r="I186" s="1" t="str">
        <f aca="false">IF(Brasil!C186="","",Brasil!H186)</f>
        <v/>
      </c>
      <c r="J186" s="1" t="str">
        <f aca="false">IF(Brasil!C186="","",Brasil!D186*Brasil!H186)</f>
        <v/>
      </c>
      <c r="K186" s="1" t="str">
        <f aca="false">IF(Brasil!C186="","","BR")</f>
        <v/>
      </c>
      <c r="L186" s="1" t="str">
        <f aca="false">IF(Brasil!C186="","",IFERROR(INDEX(Gamma_Catalogo!$D$3:$D$1451,MATCH(Brasil!E186,Gamma_Catalogo!$A$3:$A$1451,0)),"Revisar Ip Code"))</f>
        <v/>
      </c>
      <c r="M186" s="1" t="str">
        <f aca="false">IF(Brasil!C186="","",IFERROR(INDEX(Gamma_Catalogo!$C$3:$C$1451,MATCH(Brasil!E186,Gamma_Catalogo!$A$3:$A$1451,0)),"Revisar Ip Code"))</f>
        <v/>
      </c>
      <c r="N186" s="1" t="str">
        <f aca="false">IF(Brasil!C186="","",IFERROR(INDEX(Gamma_Catalogo!$E$3:$E$1451,MATCH(Brasil!E186,Gamma_Catalogo!$A$3:$A$1451,0)),"Revisar Ip Code"))</f>
        <v/>
      </c>
      <c r="O186" s="1" t="str">
        <f aca="false">IF(Brasil!C186="","","Brasil")</f>
        <v/>
      </c>
    </row>
    <row r="187" customFormat="false" ht="15" hidden="false" customHeight="true" outlineLevel="0" collapsed="false">
      <c r="A187" s="1" t="str">
        <f aca="false">IF(Brasil!C187="","",IFERROR(INDEX(Mercados!$C$2:$C$32,MATCH(Brasil!B187,Mercados!$A$2:$A$32,0)),"Revisar Tscode"))</f>
        <v/>
      </c>
      <c r="B187" s="1" t="str">
        <f aca="false">IF(Brasil!C187="","",Brasil!C187)</f>
        <v/>
      </c>
      <c r="C187" s="1" t="str">
        <f aca="false">IF(Brasil!C187="","",Brasil!A187)</f>
        <v/>
      </c>
      <c r="D187" s="1" t="str">
        <f aca="false">IF(Brasil!C187="","",Brasil!E187)</f>
        <v/>
      </c>
      <c r="E187" s="1" t="str">
        <f aca="false">IF(Brasil!C187="","",Brasil!F187)</f>
        <v/>
      </c>
      <c r="F187" s="1" t="str">
        <f aca="false">IF(Brasil!C187="","",Brasil!D187)</f>
        <v/>
      </c>
      <c r="I187" s="1" t="str">
        <f aca="false">IF(Brasil!C187="","",Brasil!H187)</f>
        <v/>
      </c>
      <c r="J187" s="1" t="str">
        <f aca="false">IF(Brasil!C187="","",Brasil!D187*Brasil!H187)</f>
        <v/>
      </c>
      <c r="K187" s="1" t="str">
        <f aca="false">IF(Brasil!C187="","","BR")</f>
        <v/>
      </c>
      <c r="L187" s="1" t="str">
        <f aca="false">IF(Brasil!C187="","",IFERROR(INDEX(Gamma_Catalogo!$D$3:$D$1451,MATCH(Brasil!E187,Gamma_Catalogo!$A$3:$A$1451,0)),"Revisar Ip Code"))</f>
        <v/>
      </c>
      <c r="M187" s="1" t="str">
        <f aca="false">IF(Brasil!C187="","",IFERROR(INDEX(Gamma_Catalogo!$C$3:$C$1451,MATCH(Brasil!E187,Gamma_Catalogo!$A$3:$A$1451,0)),"Revisar Ip Code"))</f>
        <v/>
      </c>
      <c r="N187" s="1" t="str">
        <f aca="false">IF(Brasil!C187="","",IFERROR(INDEX(Gamma_Catalogo!$E$3:$E$1451,MATCH(Brasil!E187,Gamma_Catalogo!$A$3:$A$1451,0)),"Revisar Ip Code"))</f>
        <v/>
      </c>
      <c r="O187" s="1" t="str">
        <f aca="false">IF(Brasil!C187="","","Brasil")</f>
        <v/>
      </c>
    </row>
    <row r="188" customFormat="false" ht="15" hidden="false" customHeight="true" outlineLevel="0" collapsed="false">
      <c r="A188" s="1" t="str">
        <f aca="false">IF(Brasil!C188="","",IFERROR(INDEX(Mercados!$C$2:$C$32,MATCH(Brasil!B188,Mercados!$A$2:$A$32,0)),"Revisar Tscode"))</f>
        <v/>
      </c>
      <c r="B188" s="1" t="str">
        <f aca="false">IF(Brasil!C188="","",Brasil!C188)</f>
        <v/>
      </c>
      <c r="C188" s="1" t="str">
        <f aca="false">IF(Brasil!C188="","",Brasil!A188)</f>
        <v/>
      </c>
      <c r="D188" s="1" t="str">
        <f aca="false">IF(Brasil!C188="","",Brasil!E188)</f>
        <v/>
      </c>
      <c r="E188" s="1" t="str">
        <f aca="false">IF(Brasil!C188="","",Brasil!F188)</f>
        <v/>
      </c>
      <c r="F188" s="1" t="str">
        <f aca="false">IF(Brasil!C188="","",Brasil!D188)</f>
        <v/>
      </c>
      <c r="I188" s="1" t="str">
        <f aca="false">IF(Brasil!C188="","",Brasil!H188)</f>
        <v/>
      </c>
      <c r="J188" s="1" t="str">
        <f aca="false">IF(Brasil!C188="","",Brasil!D188*Brasil!H188)</f>
        <v/>
      </c>
      <c r="K188" s="1" t="str">
        <f aca="false">IF(Brasil!C188="","","BR")</f>
        <v/>
      </c>
      <c r="L188" s="1" t="str">
        <f aca="false">IF(Brasil!C188="","",IFERROR(INDEX(Gamma_Catalogo!$D$3:$D$1451,MATCH(Brasil!E188,Gamma_Catalogo!$A$3:$A$1451,0)),"Revisar Ip Code"))</f>
        <v/>
      </c>
      <c r="M188" s="1" t="str">
        <f aca="false">IF(Brasil!C188="","",IFERROR(INDEX(Gamma_Catalogo!$C$3:$C$1451,MATCH(Brasil!E188,Gamma_Catalogo!$A$3:$A$1451,0)),"Revisar Ip Code"))</f>
        <v/>
      </c>
      <c r="N188" s="1" t="str">
        <f aca="false">IF(Brasil!C188="","",IFERROR(INDEX(Gamma_Catalogo!$E$3:$E$1451,MATCH(Brasil!E188,Gamma_Catalogo!$A$3:$A$1451,0)),"Revisar Ip Code"))</f>
        <v/>
      </c>
      <c r="O188" s="1" t="str">
        <f aca="false">IF(Brasil!C188="","","Brasil")</f>
        <v/>
      </c>
    </row>
    <row r="189" customFormat="false" ht="15" hidden="false" customHeight="true" outlineLevel="0" collapsed="false">
      <c r="A189" s="1" t="str">
        <f aca="false">IF(Brasil!C189="","",IFERROR(INDEX(Mercados!$C$2:$C$32,MATCH(Brasil!B189,Mercados!$A$2:$A$32,0)),"Revisar Tscode"))</f>
        <v/>
      </c>
      <c r="B189" s="1" t="str">
        <f aca="false">IF(Brasil!C189="","",Brasil!C189)</f>
        <v/>
      </c>
      <c r="C189" s="1" t="str">
        <f aca="false">IF(Brasil!C189="","",Brasil!A189)</f>
        <v/>
      </c>
      <c r="D189" s="1" t="str">
        <f aca="false">IF(Brasil!C189="","",Brasil!E189)</f>
        <v/>
      </c>
      <c r="E189" s="1" t="str">
        <f aca="false">IF(Brasil!C189="","",Brasil!F189)</f>
        <v/>
      </c>
      <c r="F189" s="1" t="str">
        <f aca="false">IF(Brasil!C189="","",Brasil!D189)</f>
        <v/>
      </c>
      <c r="I189" s="1" t="str">
        <f aca="false">IF(Brasil!C189="","",Brasil!H189)</f>
        <v/>
      </c>
      <c r="J189" s="1" t="str">
        <f aca="false">IF(Brasil!C189="","",Brasil!D189*Brasil!H189)</f>
        <v/>
      </c>
      <c r="K189" s="1" t="str">
        <f aca="false">IF(Brasil!C189="","","BR")</f>
        <v/>
      </c>
      <c r="L189" s="1" t="str">
        <f aca="false">IF(Brasil!C189="","",IFERROR(INDEX(Gamma_Catalogo!$D$3:$D$1451,MATCH(Brasil!E189,Gamma_Catalogo!$A$3:$A$1451,0)),"Revisar Ip Code"))</f>
        <v/>
      </c>
      <c r="M189" s="1" t="str">
        <f aca="false">IF(Brasil!C189="","",IFERROR(INDEX(Gamma_Catalogo!$C$3:$C$1451,MATCH(Brasil!E189,Gamma_Catalogo!$A$3:$A$1451,0)),"Revisar Ip Code"))</f>
        <v/>
      </c>
      <c r="N189" s="1" t="str">
        <f aca="false">IF(Brasil!C189="","",IFERROR(INDEX(Gamma_Catalogo!$E$3:$E$1451,MATCH(Brasil!E189,Gamma_Catalogo!$A$3:$A$1451,0)),"Revisar Ip Code"))</f>
        <v/>
      </c>
      <c r="O189" s="1" t="str">
        <f aca="false">IF(Brasil!C189="","","Brasil")</f>
        <v/>
      </c>
    </row>
    <row r="190" customFormat="false" ht="15" hidden="false" customHeight="true" outlineLevel="0" collapsed="false">
      <c r="A190" s="1" t="str">
        <f aca="false">IF(Brasil!C190="","",IFERROR(INDEX(Mercados!$C$2:$C$32,MATCH(Brasil!B190,Mercados!$A$2:$A$32,0)),"Revisar Tscode"))</f>
        <v/>
      </c>
      <c r="B190" s="1" t="str">
        <f aca="false">IF(Brasil!C190="","",Brasil!C190)</f>
        <v/>
      </c>
      <c r="C190" s="1" t="str">
        <f aca="false">IF(Brasil!C190="","",Brasil!A190)</f>
        <v/>
      </c>
      <c r="D190" s="1" t="str">
        <f aca="false">IF(Brasil!C190="","",Brasil!E190)</f>
        <v/>
      </c>
      <c r="E190" s="1" t="str">
        <f aca="false">IF(Brasil!C190="","",Brasil!F190)</f>
        <v/>
      </c>
      <c r="F190" s="1" t="str">
        <f aca="false">IF(Brasil!C190="","",Brasil!D190)</f>
        <v/>
      </c>
      <c r="I190" s="1" t="str">
        <f aca="false">IF(Brasil!C190="","",Brasil!H190)</f>
        <v/>
      </c>
      <c r="J190" s="1" t="str">
        <f aca="false">IF(Brasil!C190="","",Brasil!D190*Brasil!H190)</f>
        <v/>
      </c>
      <c r="K190" s="1" t="str">
        <f aca="false">IF(Brasil!C190="","","BR")</f>
        <v/>
      </c>
      <c r="L190" s="1" t="str">
        <f aca="false">IF(Brasil!C190="","",IFERROR(INDEX(Gamma_Catalogo!$D$3:$D$1451,MATCH(Brasil!E190,Gamma_Catalogo!$A$3:$A$1451,0)),"Revisar Ip Code"))</f>
        <v/>
      </c>
      <c r="M190" s="1" t="str">
        <f aca="false">IF(Brasil!C190="","",IFERROR(INDEX(Gamma_Catalogo!$C$3:$C$1451,MATCH(Brasil!E190,Gamma_Catalogo!$A$3:$A$1451,0)),"Revisar Ip Code"))</f>
        <v/>
      </c>
      <c r="N190" s="1" t="str">
        <f aca="false">IF(Brasil!C190="","",IFERROR(INDEX(Gamma_Catalogo!$E$3:$E$1451,MATCH(Brasil!E190,Gamma_Catalogo!$A$3:$A$1451,0)),"Revisar Ip Code"))</f>
        <v/>
      </c>
      <c r="O190" s="1" t="str">
        <f aca="false">IF(Brasil!C190="","","Brasil")</f>
        <v/>
      </c>
    </row>
    <row r="191" customFormat="false" ht="15" hidden="false" customHeight="true" outlineLevel="0" collapsed="false">
      <c r="A191" s="1" t="str">
        <f aca="false">IF(Brasil!C191="","",IFERROR(INDEX(Mercados!$C$2:$C$32,MATCH(Brasil!B191,Mercados!$A$2:$A$32,0)),"Revisar Tscode"))</f>
        <v/>
      </c>
      <c r="B191" s="1" t="str">
        <f aca="false">IF(Brasil!C191="","",Brasil!C191)</f>
        <v/>
      </c>
      <c r="C191" s="1" t="str">
        <f aca="false">IF(Brasil!C191="","",Brasil!A191)</f>
        <v/>
      </c>
      <c r="D191" s="1" t="str">
        <f aca="false">IF(Brasil!C191="","",Brasil!E191)</f>
        <v/>
      </c>
      <c r="E191" s="1" t="str">
        <f aca="false">IF(Brasil!C191="","",Brasil!F191)</f>
        <v/>
      </c>
      <c r="F191" s="1" t="str">
        <f aca="false">IF(Brasil!C191="","",Brasil!D191)</f>
        <v/>
      </c>
      <c r="I191" s="1" t="str">
        <f aca="false">IF(Brasil!C191="","",Brasil!H191)</f>
        <v/>
      </c>
      <c r="J191" s="1" t="str">
        <f aca="false">IF(Brasil!C191="","",Brasil!D191*Brasil!H191)</f>
        <v/>
      </c>
      <c r="K191" s="1" t="str">
        <f aca="false">IF(Brasil!C191="","","BR")</f>
        <v/>
      </c>
      <c r="L191" s="1" t="str">
        <f aca="false">IF(Brasil!C191="","",IFERROR(INDEX(Gamma_Catalogo!$D$3:$D$1451,MATCH(Brasil!E191,Gamma_Catalogo!$A$3:$A$1451,0)),"Revisar Ip Code"))</f>
        <v/>
      </c>
      <c r="M191" s="1" t="str">
        <f aca="false">IF(Brasil!C191="","",IFERROR(INDEX(Gamma_Catalogo!$C$3:$C$1451,MATCH(Brasil!E191,Gamma_Catalogo!$A$3:$A$1451,0)),"Revisar Ip Code"))</f>
        <v/>
      </c>
      <c r="N191" s="1" t="str">
        <f aca="false">IF(Brasil!C191="","",IFERROR(INDEX(Gamma_Catalogo!$E$3:$E$1451,MATCH(Brasil!E191,Gamma_Catalogo!$A$3:$A$1451,0)),"Revisar Ip Code"))</f>
        <v/>
      </c>
      <c r="O191" s="1" t="str">
        <f aca="false">IF(Brasil!C191="","","Brasil")</f>
        <v/>
      </c>
    </row>
    <row r="192" customFormat="false" ht="15" hidden="false" customHeight="true" outlineLevel="0" collapsed="false">
      <c r="A192" s="1" t="str">
        <f aca="false">IF(Brasil!C192="","",IFERROR(INDEX(Mercados!$C$2:$C$32,MATCH(Brasil!B192,Mercados!$A$2:$A$32,0)),"Revisar Tscode"))</f>
        <v/>
      </c>
      <c r="B192" s="1" t="str">
        <f aca="false">IF(Brasil!C192="","",Brasil!C192)</f>
        <v/>
      </c>
      <c r="C192" s="1" t="str">
        <f aca="false">IF(Brasil!C192="","",Brasil!A192)</f>
        <v/>
      </c>
      <c r="D192" s="1" t="str">
        <f aca="false">IF(Brasil!C192="","",Brasil!E192)</f>
        <v/>
      </c>
      <c r="E192" s="1" t="str">
        <f aca="false">IF(Brasil!C192="","",Brasil!F192)</f>
        <v/>
      </c>
      <c r="F192" s="1" t="str">
        <f aca="false">IF(Brasil!C192="","",Brasil!D192)</f>
        <v/>
      </c>
      <c r="I192" s="1" t="str">
        <f aca="false">IF(Brasil!C192="","",Brasil!H192)</f>
        <v/>
      </c>
      <c r="J192" s="1" t="str">
        <f aca="false">IF(Brasil!C192="","",Brasil!D192*Brasil!H192)</f>
        <v/>
      </c>
      <c r="K192" s="1" t="str">
        <f aca="false">IF(Brasil!C192="","","BR")</f>
        <v/>
      </c>
      <c r="L192" s="1" t="str">
        <f aca="false">IF(Brasil!C192="","",IFERROR(INDEX(Gamma_Catalogo!$D$3:$D$1451,MATCH(Brasil!E192,Gamma_Catalogo!$A$3:$A$1451,0)),"Revisar Ip Code"))</f>
        <v/>
      </c>
      <c r="M192" s="1" t="str">
        <f aca="false">IF(Brasil!C192="","",IFERROR(INDEX(Gamma_Catalogo!$C$3:$C$1451,MATCH(Brasil!E192,Gamma_Catalogo!$A$3:$A$1451,0)),"Revisar Ip Code"))</f>
        <v/>
      </c>
      <c r="N192" s="1" t="str">
        <f aca="false">IF(Brasil!C192="","",IFERROR(INDEX(Gamma_Catalogo!$E$3:$E$1451,MATCH(Brasil!E192,Gamma_Catalogo!$A$3:$A$1451,0)),"Revisar Ip Code"))</f>
        <v/>
      </c>
      <c r="O192" s="1" t="str">
        <f aca="false">IF(Brasil!C192="","","Brasil")</f>
        <v/>
      </c>
    </row>
    <row r="193" customFormat="false" ht="15" hidden="false" customHeight="true" outlineLevel="0" collapsed="false">
      <c r="A193" s="1" t="str">
        <f aca="false">IF(Brasil!C193="","",IFERROR(INDEX(Mercados!$C$2:$C$32,MATCH(Brasil!B193,Mercados!$A$2:$A$32,0)),"Revisar Tscode"))</f>
        <v/>
      </c>
      <c r="B193" s="1" t="str">
        <f aca="false">IF(Brasil!C193="","",Brasil!C193)</f>
        <v/>
      </c>
      <c r="C193" s="1" t="str">
        <f aca="false">IF(Brasil!C193="","",Brasil!A193)</f>
        <v/>
      </c>
      <c r="D193" s="1" t="str">
        <f aca="false">IF(Brasil!C193="","",Brasil!E193)</f>
        <v/>
      </c>
      <c r="E193" s="1" t="str">
        <f aca="false">IF(Brasil!C193="","",Brasil!F193)</f>
        <v/>
      </c>
      <c r="F193" s="1" t="str">
        <f aca="false">IF(Brasil!C193="","",Brasil!D193)</f>
        <v/>
      </c>
      <c r="I193" s="1" t="str">
        <f aca="false">IF(Brasil!C193="","",Brasil!H193)</f>
        <v/>
      </c>
      <c r="J193" s="1" t="str">
        <f aca="false">IF(Brasil!C193="","",Brasil!D193*Brasil!H193)</f>
        <v/>
      </c>
      <c r="K193" s="1" t="str">
        <f aca="false">IF(Brasil!C193="","","BR")</f>
        <v/>
      </c>
      <c r="L193" s="1" t="str">
        <f aca="false">IF(Brasil!C193="","",IFERROR(INDEX(Gamma_Catalogo!$D$3:$D$1451,MATCH(Brasil!E193,Gamma_Catalogo!$A$3:$A$1451,0)),"Revisar Ip Code"))</f>
        <v/>
      </c>
      <c r="M193" s="1" t="str">
        <f aca="false">IF(Brasil!C193="","",IFERROR(INDEX(Gamma_Catalogo!$C$3:$C$1451,MATCH(Brasil!E193,Gamma_Catalogo!$A$3:$A$1451,0)),"Revisar Ip Code"))</f>
        <v/>
      </c>
      <c r="N193" s="1" t="str">
        <f aca="false">IF(Brasil!C193="","",IFERROR(INDEX(Gamma_Catalogo!$E$3:$E$1451,MATCH(Brasil!E193,Gamma_Catalogo!$A$3:$A$1451,0)),"Revisar Ip Code"))</f>
        <v/>
      </c>
      <c r="O193" s="1" t="str">
        <f aca="false">IF(Brasil!C193="","","Brasil")</f>
        <v/>
      </c>
    </row>
    <row r="194" customFormat="false" ht="15" hidden="false" customHeight="true" outlineLevel="0" collapsed="false">
      <c r="A194" s="1" t="str">
        <f aca="false">IF(Brasil!C194="","",IFERROR(INDEX(Mercados!$C$2:$C$32,MATCH(Brasil!B194,Mercados!$A$2:$A$32,0)),"Revisar Tscode"))</f>
        <v/>
      </c>
      <c r="B194" s="1" t="str">
        <f aca="false">IF(Brasil!C194="","",Brasil!C194)</f>
        <v/>
      </c>
      <c r="C194" s="1" t="str">
        <f aca="false">IF(Brasil!C194="","",Brasil!A194)</f>
        <v/>
      </c>
      <c r="D194" s="1" t="str">
        <f aca="false">IF(Brasil!C194="","",Brasil!E194)</f>
        <v/>
      </c>
      <c r="E194" s="1" t="str">
        <f aca="false">IF(Brasil!C194="","",Brasil!F194)</f>
        <v/>
      </c>
      <c r="F194" s="1" t="str">
        <f aca="false">IF(Brasil!C194="","",Brasil!D194)</f>
        <v/>
      </c>
      <c r="I194" s="1" t="str">
        <f aca="false">IF(Brasil!C194="","",Brasil!H194)</f>
        <v/>
      </c>
      <c r="J194" s="1" t="str">
        <f aca="false">IF(Brasil!C194="","",Brasil!D194*Brasil!H194)</f>
        <v/>
      </c>
      <c r="K194" s="1" t="str">
        <f aca="false">IF(Brasil!C194="","","BR")</f>
        <v/>
      </c>
      <c r="L194" s="1" t="str">
        <f aca="false">IF(Brasil!C194="","",IFERROR(INDEX(Gamma_Catalogo!$D$3:$D$1451,MATCH(Brasil!E194,Gamma_Catalogo!$A$3:$A$1451,0)),"Revisar Ip Code"))</f>
        <v/>
      </c>
      <c r="M194" s="1" t="str">
        <f aca="false">IF(Brasil!C194="","",IFERROR(INDEX(Gamma_Catalogo!$C$3:$C$1451,MATCH(Brasil!E194,Gamma_Catalogo!$A$3:$A$1451,0)),"Revisar Ip Code"))</f>
        <v/>
      </c>
      <c r="N194" s="1" t="str">
        <f aca="false">IF(Brasil!C194="","",IFERROR(INDEX(Gamma_Catalogo!$E$3:$E$1451,MATCH(Brasil!E194,Gamma_Catalogo!$A$3:$A$1451,0)),"Revisar Ip Code"))</f>
        <v/>
      </c>
      <c r="O194" s="1" t="str">
        <f aca="false">IF(Brasil!C194="","","Brasil")</f>
        <v/>
      </c>
    </row>
    <row r="195" customFormat="false" ht="15" hidden="false" customHeight="true" outlineLevel="0" collapsed="false">
      <c r="A195" s="1" t="str">
        <f aca="false">IF(Brasil!C195="","",IFERROR(INDEX(Mercados!$C$2:$C$32,MATCH(Brasil!B195,Mercados!$A$2:$A$32,0)),"Revisar Tscode"))</f>
        <v/>
      </c>
      <c r="B195" s="1" t="str">
        <f aca="false">IF(Brasil!C195="","",Brasil!C195)</f>
        <v/>
      </c>
      <c r="C195" s="1" t="str">
        <f aca="false">IF(Brasil!C195="","",Brasil!A195)</f>
        <v/>
      </c>
      <c r="D195" s="1" t="str">
        <f aca="false">IF(Brasil!C195="","",Brasil!E195)</f>
        <v/>
      </c>
      <c r="E195" s="1" t="str">
        <f aca="false">IF(Brasil!C195="","",Brasil!F195)</f>
        <v/>
      </c>
      <c r="F195" s="1" t="str">
        <f aca="false">IF(Brasil!C195="","",Brasil!D195)</f>
        <v/>
      </c>
      <c r="I195" s="1" t="str">
        <f aca="false">IF(Brasil!C195="","",Brasil!H195)</f>
        <v/>
      </c>
      <c r="J195" s="1" t="str">
        <f aca="false">IF(Brasil!C195="","",Brasil!D195*Brasil!H195)</f>
        <v/>
      </c>
      <c r="K195" s="1" t="str">
        <f aca="false">IF(Brasil!C195="","","BR")</f>
        <v/>
      </c>
      <c r="L195" s="1" t="str">
        <f aca="false">IF(Brasil!C195="","",IFERROR(INDEX(Gamma_Catalogo!$D$3:$D$1451,MATCH(Brasil!E195,Gamma_Catalogo!$A$3:$A$1451,0)),"Revisar Ip Code"))</f>
        <v/>
      </c>
      <c r="M195" s="1" t="str">
        <f aca="false">IF(Brasil!C195="","",IFERROR(INDEX(Gamma_Catalogo!$C$3:$C$1451,MATCH(Brasil!E195,Gamma_Catalogo!$A$3:$A$1451,0)),"Revisar Ip Code"))</f>
        <v/>
      </c>
      <c r="N195" s="1" t="str">
        <f aca="false">IF(Brasil!C195="","",IFERROR(INDEX(Gamma_Catalogo!$E$3:$E$1451,MATCH(Brasil!E195,Gamma_Catalogo!$A$3:$A$1451,0)),"Revisar Ip Code"))</f>
        <v/>
      </c>
      <c r="O195" s="1" t="str">
        <f aca="false">IF(Brasil!C195="","","Brasil")</f>
        <v/>
      </c>
    </row>
    <row r="196" customFormat="false" ht="15" hidden="false" customHeight="true" outlineLevel="0" collapsed="false">
      <c r="A196" s="1" t="str">
        <f aca="false">IF(Brasil!C196="","",IFERROR(INDEX(Mercados!$C$2:$C$32,MATCH(Brasil!B196,Mercados!$A$2:$A$32,0)),"Revisar Tscode"))</f>
        <v/>
      </c>
      <c r="B196" s="1" t="str">
        <f aca="false">IF(Brasil!C196="","",Brasil!C196)</f>
        <v/>
      </c>
      <c r="C196" s="1" t="str">
        <f aca="false">IF(Brasil!C196="","",Brasil!A196)</f>
        <v/>
      </c>
      <c r="D196" s="1" t="str">
        <f aca="false">IF(Brasil!C196="","",Brasil!E196)</f>
        <v/>
      </c>
      <c r="E196" s="1" t="str">
        <f aca="false">IF(Brasil!C196="","",Brasil!F196)</f>
        <v/>
      </c>
      <c r="F196" s="1" t="str">
        <f aca="false">IF(Brasil!C196="","",Brasil!D196)</f>
        <v/>
      </c>
      <c r="I196" s="1" t="str">
        <f aca="false">IF(Brasil!C196="","",Brasil!H196)</f>
        <v/>
      </c>
      <c r="J196" s="1" t="str">
        <f aca="false">IF(Brasil!C196="","",Brasil!D196*Brasil!H196)</f>
        <v/>
      </c>
      <c r="K196" s="1" t="str">
        <f aca="false">IF(Brasil!C196="","","BR")</f>
        <v/>
      </c>
      <c r="L196" s="1" t="str">
        <f aca="false">IF(Brasil!C196="","",IFERROR(INDEX(Gamma_Catalogo!$D$3:$D$1451,MATCH(Brasil!E196,Gamma_Catalogo!$A$3:$A$1451,0)),"Revisar Ip Code"))</f>
        <v/>
      </c>
      <c r="M196" s="1" t="str">
        <f aca="false">IF(Brasil!C196="","",IFERROR(INDEX(Gamma_Catalogo!$C$3:$C$1451,MATCH(Brasil!E196,Gamma_Catalogo!$A$3:$A$1451,0)),"Revisar Ip Code"))</f>
        <v/>
      </c>
      <c r="N196" s="1" t="str">
        <f aca="false">IF(Brasil!C196="","",IFERROR(INDEX(Gamma_Catalogo!$E$3:$E$1451,MATCH(Brasil!E196,Gamma_Catalogo!$A$3:$A$1451,0)),"Revisar Ip Code"))</f>
        <v/>
      </c>
      <c r="O196" s="1" t="str">
        <f aca="false">IF(Brasil!C196="","","Brasil")</f>
        <v/>
      </c>
    </row>
    <row r="197" customFormat="false" ht="15" hidden="false" customHeight="true" outlineLevel="0" collapsed="false">
      <c r="A197" s="1" t="str">
        <f aca="false">IF(Brasil!C197="","",IFERROR(INDEX(Mercados!$C$2:$C$32,MATCH(Brasil!B197,Mercados!$A$2:$A$32,0)),"Revisar Tscode"))</f>
        <v/>
      </c>
      <c r="B197" s="1" t="str">
        <f aca="false">IF(Brasil!C197="","",Brasil!C197)</f>
        <v/>
      </c>
      <c r="C197" s="1" t="str">
        <f aca="false">IF(Brasil!C197="","",Brasil!A197)</f>
        <v/>
      </c>
      <c r="D197" s="1" t="str">
        <f aca="false">IF(Brasil!C197="","",Brasil!E197)</f>
        <v/>
      </c>
      <c r="E197" s="1" t="str">
        <f aca="false">IF(Brasil!C197="","",Brasil!F197)</f>
        <v/>
      </c>
      <c r="F197" s="1" t="str">
        <f aca="false">IF(Brasil!C197="","",Brasil!D197)</f>
        <v/>
      </c>
      <c r="I197" s="1" t="str">
        <f aca="false">IF(Brasil!C197="","",Brasil!H197)</f>
        <v/>
      </c>
      <c r="J197" s="1" t="str">
        <f aca="false">IF(Brasil!C197="","",Brasil!D197*Brasil!H197)</f>
        <v/>
      </c>
      <c r="K197" s="1" t="str">
        <f aca="false">IF(Brasil!C197="","","BR")</f>
        <v/>
      </c>
      <c r="L197" s="1" t="str">
        <f aca="false">IF(Brasil!C197="","",IFERROR(INDEX(Gamma_Catalogo!$D$3:$D$1451,MATCH(Brasil!E197,Gamma_Catalogo!$A$3:$A$1451,0)),"Revisar Ip Code"))</f>
        <v/>
      </c>
      <c r="M197" s="1" t="str">
        <f aca="false">IF(Brasil!C197="","",IFERROR(INDEX(Gamma_Catalogo!$C$3:$C$1451,MATCH(Brasil!E197,Gamma_Catalogo!$A$3:$A$1451,0)),"Revisar Ip Code"))</f>
        <v/>
      </c>
      <c r="N197" s="1" t="str">
        <f aca="false">IF(Brasil!C197="","",IFERROR(INDEX(Gamma_Catalogo!$E$3:$E$1451,MATCH(Brasil!E197,Gamma_Catalogo!$A$3:$A$1451,0)),"Revisar Ip Code"))</f>
        <v/>
      </c>
      <c r="O197" s="1" t="str">
        <f aca="false">IF(Brasil!C197="","","Brasil")</f>
        <v/>
      </c>
    </row>
    <row r="198" customFormat="false" ht="15" hidden="false" customHeight="true" outlineLevel="0" collapsed="false">
      <c r="A198" s="1" t="str">
        <f aca="false">IF(Brasil!C198="","",IFERROR(INDEX(Mercados!$C$2:$C$32,MATCH(Brasil!B198,Mercados!$A$2:$A$32,0)),"Revisar Tscode"))</f>
        <v/>
      </c>
      <c r="B198" s="1" t="str">
        <f aca="false">IF(Brasil!C198="","",Brasil!C198)</f>
        <v/>
      </c>
      <c r="C198" s="1" t="str">
        <f aca="false">IF(Brasil!C198="","",Brasil!A198)</f>
        <v/>
      </c>
      <c r="D198" s="1" t="str">
        <f aca="false">IF(Brasil!C198="","",Brasil!E198)</f>
        <v/>
      </c>
      <c r="E198" s="1" t="str">
        <f aca="false">IF(Brasil!C198="","",Brasil!F198)</f>
        <v/>
      </c>
      <c r="F198" s="1" t="str">
        <f aca="false">IF(Brasil!C198="","",Brasil!D198)</f>
        <v/>
      </c>
      <c r="I198" s="1" t="str">
        <f aca="false">IF(Brasil!C198="","",Brasil!H198)</f>
        <v/>
      </c>
      <c r="J198" s="1" t="str">
        <f aca="false">IF(Brasil!C198="","",Brasil!D198*Brasil!H198)</f>
        <v/>
      </c>
      <c r="K198" s="1" t="str">
        <f aca="false">IF(Brasil!C198="","","BR")</f>
        <v/>
      </c>
      <c r="L198" s="1" t="str">
        <f aca="false">IF(Brasil!C198="","",IFERROR(INDEX(Gamma_Catalogo!$D$3:$D$1451,MATCH(Brasil!E198,Gamma_Catalogo!$A$3:$A$1451,0)),"Revisar Ip Code"))</f>
        <v/>
      </c>
      <c r="M198" s="1" t="str">
        <f aca="false">IF(Brasil!C198="","",IFERROR(INDEX(Gamma_Catalogo!$C$3:$C$1451,MATCH(Brasil!E198,Gamma_Catalogo!$A$3:$A$1451,0)),"Revisar Ip Code"))</f>
        <v/>
      </c>
      <c r="N198" s="1" t="str">
        <f aca="false">IF(Brasil!C198="","",IFERROR(INDEX(Gamma_Catalogo!$E$3:$E$1451,MATCH(Brasil!E198,Gamma_Catalogo!$A$3:$A$1451,0)),"Revisar Ip Code"))</f>
        <v/>
      </c>
      <c r="O198" s="1" t="str">
        <f aca="false">IF(Brasil!C198="","","Brasil")</f>
        <v/>
      </c>
    </row>
    <row r="199" customFormat="false" ht="15" hidden="false" customHeight="true" outlineLevel="0" collapsed="false">
      <c r="A199" s="1" t="str">
        <f aca="false">IF(Brasil!C199="","",IFERROR(INDEX(Mercados!$C$2:$C$32,MATCH(Brasil!B199,Mercados!$A$2:$A$32,0)),"Revisar Tscode"))</f>
        <v/>
      </c>
      <c r="B199" s="1" t="str">
        <f aca="false">IF(Brasil!C199="","",Brasil!C199)</f>
        <v/>
      </c>
      <c r="C199" s="1" t="str">
        <f aca="false">IF(Brasil!C199="","",Brasil!A199)</f>
        <v/>
      </c>
      <c r="D199" s="1" t="str">
        <f aca="false">IF(Brasil!C199="","",Brasil!E199)</f>
        <v/>
      </c>
      <c r="E199" s="1" t="str">
        <f aca="false">IF(Brasil!C199="","",Brasil!F199)</f>
        <v/>
      </c>
      <c r="F199" s="1" t="str">
        <f aca="false">IF(Brasil!C199="","",Brasil!D199)</f>
        <v/>
      </c>
      <c r="I199" s="1" t="str">
        <f aca="false">IF(Brasil!C199="","",Brasil!H199)</f>
        <v/>
      </c>
      <c r="J199" s="1" t="str">
        <f aca="false">IF(Brasil!C199="","",Brasil!D199*Brasil!H199)</f>
        <v/>
      </c>
      <c r="K199" s="1" t="str">
        <f aca="false">IF(Brasil!C199="","","BR")</f>
        <v/>
      </c>
      <c r="L199" s="1" t="str">
        <f aca="false">IF(Brasil!C199="","",IFERROR(INDEX(Gamma_Catalogo!$D$3:$D$1451,MATCH(Brasil!E199,Gamma_Catalogo!$A$3:$A$1451,0)),"Revisar Ip Code"))</f>
        <v/>
      </c>
      <c r="M199" s="1" t="str">
        <f aca="false">IF(Brasil!C199="","",IFERROR(INDEX(Gamma_Catalogo!$C$3:$C$1451,MATCH(Brasil!E199,Gamma_Catalogo!$A$3:$A$1451,0)),"Revisar Ip Code"))</f>
        <v/>
      </c>
      <c r="N199" s="1" t="str">
        <f aca="false">IF(Brasil!C199="","",IFERROR(INDEX(Gamma_Catalogo!$E$3:$E$1451,MATCH(Brasil!E199,Gamma_Catalogo!$A$3:$A$1451,0)),"Revisar Ip Code"))</f>
        <v/>
      </c>
      <c r="O199" s="1" t="str">
        <f aca="false">IF(Brasil!C199="","","Brasil")</f>
        <v/>
      </c>
    </row>
    <row r="200" customFormat="false" ht="15" hidden="false" customHeight="true" outlineLevel="0" collapsed="false">
      <c r="A200" s="1" t="str">
        <f aca="false">IF(Brasil!C200="","",IFERROR(INDEX(Mercados!$C$2:$C$32,MATCH(Brasil!B200,Mercados!$A$2:$A$32,0)),"Revisar Tscode"))</f>
        <v/>
      </c>
      <c r="B200" s="1" t="str">
        <f aca="false">IF(Brasil!C200="","",Brasil!C200)</f>
        <v/>
      </c>
      <c r="C200" s="1" t="str">
        <f aca="false">IF(Brasil!C200="","",Brasil!A200)</f>
        <v/>
      </c>
      <c r="D200" s="1" t="str">
        <f aca="false">IF(Brasil!C200="","",Brasil!E200)</f>
        <v/>
      </c>
      <c r="E200" s="1" t="str">
        <f aca="false">IF(Brasil!C200="","",Brasil!F200)</f>
        <v/>
      </c>
      <c r="F200" s="1" t="str">
        <f aca="false">IF(Brasil!C200="","",Brasil!D200)</f>
        <v/>
      </c>
      <c r="I200" s="1" t="str">
        <f aca="false">IF(Brasil!C200="","",Brasil!H200)</f>
        <v/>
      </c>
      <c r="J200" s="1" t="str">
        <f aca="false">IF(Brasil!C200="","",Brasil!D200*Brasil!H200)</f>
        <v/>
      </c>
      <c r="K200" s="1" t="str">
        <f aca="false">IF(Brasil!C200="","","BR")</f>
        <v/>
      </c>
      <c r="L200" s="1" t="str">
        <f aca="false">IF(Brasil!C200="","",IFERROR(INDEX(Gamma_Catalogo!$D$3:$D$1451,MATCH(Brasil!E200,Gamma_Catalogo!$A$3:$A$1451,0)),"Revisar Ip Code"))</f>
        <v/>
      </c>
      <c r="M200" s="1" t="str">
        <f aca="false">IF(Brasil!C200="","",IFERROR(INDEX(Gamma_Catalogo!$C$3:$C$1451,MATCH(Brasil!E200,Gamma_Catalogo!$A$3:$A$1451,0)),"Revisar Ip Code"))</f>
        <v/>
      </c>
      <c r="N200" s="1" t="str">
        <f aca="false">IF(Brasil!C200="","",IFERROR(INDEX(Gamma_Catalogo!$E$3:$E$1451,MATCH(Brasil!E200,Gamma_Catalogo!$A$3:$A$1451,0)),"Revisar Ip Code"))</f>
        <v/>
      </c>
      <c r="O200" s="1" t="str">
        <f aca="false">IF(Brasil!C200="","","Brasil")</f>
        <v/>
      </c>
    </row>
    <row r="201" customFormat="false" ht="15" hidden="false" customHeight="true" outlineLevel="0" collapsed="false">
      <c r="A201" s="1" t="str">
        <f aca="false">IF(Brasil!C201="","",IFERROR(INDEX(Mercados!$C$2:$C$32,MATCH(Brasil!B201,Mercados!$A$2:$A$32,0)),"Revisar Tscode"))</f>
        <v/>
      </c>
      <c r="B201" s="1" t="str">
        <f aca="false">IF(Brasil!C201="","",Brasil!C201)</f>
        <v/>
      </c>
      <c r="C201" s="1" t="str">
        <f aca="false">IF(Brasil!C201="","",Brasil!A201)</f>
        <v/>
      </c>
      <c r="D201" s="1" t="str">
        <f aca="false">IF(Brasil!C201="","",Brasil!E201)</f>
        <v/>
      </c>
      <c r="E201" s="1" t="str">
        <f aca="false">IF(Brasil!C201="","",Brasil!F201)</f>
        <v/>
      </c>
      <c r="F201" s="1" t="str">
        <f aca="false">IF(Brasil!C201="","",Brasil!D201)</f>
        <v/>
      </c>
      <c r="I201" s="1" t="str">
        <f aca="false">IF(Brasil!C201="","",Brasil!H201)</f>
        <v/>
      </c>
      <c r="J201" s="1" t="str">
        <f aca="false">IF(Brasil!C201="","",Brasil!D201*Brasil!H201)</f>
        <v/>
      </c>
      <c r="K201" s="1" t="str">
        <f aca="false">IF(Brasil!C201="","","BR")</f>
        <v/>
      </c>
      <c r="L201" s="1" t="str">
        <f aca="false">IF(Brasil!C201="","",IFERROR(INDEX(Gamma_Catalogo!$D$3:$D$1451,MATCH(Brasil!E201,Gamma_Catalogo!$A$3:$A$1451,0)),"Revisar Ip Code"))</f>
        <v/>
      </c>
      <c r="M201" s="1" t="str">
        <f aca="false">IF(Brasil!C201="","",IFERROR(INDEX(Gamma_Catalogo!$C$3:$C$1451,MATCH(Brasil!E201,Gamma_Catalogo!$A$3:$A$1451,0)),"Revisar Ip Code"))</f>
        <v/>
      </c>
      <c r="N201" s="1" t="str">
        <f aca="false">IF(Brasil!C201="","",IFERROR(INDEX(Gamma_Catalogo!$E$3:$E$1451,MATCH(Brasil!E201,Gamma_Catalogo!$A$3:$A$1451,0)),"Revisar Ip Code"))</f>
        <v/>
      </c>
      <c r="O201" s="1" t="str">
        <f aca="false">IF(Brasil!C201="","","Brasil")</f>
        <v/>
      </c>
    </row>
    <row r="202" customFormat="false" ht="15" hidden="false" customHeight="true" outlineLevel="0" collapsed="false">
      <c r="A202" s="1" t="str">
        <f aca="false">IF(Brasil!C202="","",IFERROR(INDEX(Mercados!$C$2:$C$32,MATCH(Brasil!B202,Mercados!$A$2:$A$32,0)),"Revisar Tscode"))</f>
        <v/>
      </c>
      <c r="B202" s="1" t="str">
        <f aca="false">IF(Brasil!C202="","",Brasil!C202)</f>
        <v/>
      </c>
      <c r="C202" s="1" t="str">
        <f aca="false">IF(Brasil!C202="","",Brasil!A202)</f>
        <v/>
      </c>
      <c r="D202" s="1" t="str">
        <f aca="false">IF(Brasil!C202="","",Brasil!E202)</f>
        <v/>
      </c>
      <c r="E202" s="1" t="str">
        <f aca="false">IF(Brasil!C202="","",Brasil!F202)</f>
        <v/>
      </c>
      <c r="F202" s="1" t="str">
        <f aca="false">IF(Brasil!C202="","",Brasil!D202)</f>
        <v/>
      </c>
      <c r="I202" s="1" t="str">
        <f aca="false">IF(Brasil!C202="","",Brasil!H202)</f>
        <v/>
      </c>
      <c r="J202" s="1" t="str">
        <f aca="false">IF(Brasil!C202="","",Brasil!D202*Brasil!H202)</f>
        <v/>
      </c>
      <c r="K202" s="1" t="str">
        <f aca="false">IF(Brasil!C202="","","BR")</f>
        <v/>
      </c>
      <c r="L202" s="1" t="str">
        <f aca="false">IF(Brasil!C202="","",IFERROR(INDEX(Gamma_Catalogo!$D$3:$D$1451,MATCH(Brasil!E202,Gamma_Catalogo!$A$3:$A$1451,0)),"Revisar Ip Code"))</f>
        <v/>
      </c>
      <c r="M202" s="1" t="str">
        <f aca="false">IF(Brasil!C202="","",IFERROR(INDEX(Gamma_Catalogo!$C$3:$C$1451,MATCH(Brasil!E202,Gamma_Catalogo!$A$3:$A$1451,0)),"Revisar Ip Code"))</f>
        <v/>
      </c>
      <c r="N202" s="1" t="str">
        <f aca="false">IF(Brasil!C202="","",IFERROR(INDEX(Gamma_Catalogo!$E$3:$E$1451,MATCH(Brasil!E202,Gamma_Catalogo!$A$3:$A$1451,0)),"Revisar Ip Code"))</f>
        <v/>
      </c>
      <c r="O202" s="1" t="str">
        <f aca="false">IF(Brasil!C202="","","Brasil")</f>
        <v/>
      </c>
    </row>
    <row r="203" customFormat="false" ht="15" hidden="false" customHeight="true" outlineLevel="0" collapsed="false">
      <c r="A203" s="1" t="str">
        <f aca="false">IF(Brasil!C203="","",IFERROR(INDEX(Mercados!$C$2:$C$32,MATCH(Brasil!B203,Mercados!$A$2:$A$32,0)),"Revisar Tscode"))</f>
        <v/>
      </c>
      <c r="B203" s="1" t="str">
        <f aca="false">IF(Brasil!C203="","",Brasil!C203)</f>
        <v/>
      </c>
      <c r="C203" s="1" t="str">
        <f aca="false">IF(Brasil!C203="","",Brasil!A203)</f>
        <v/>
      </c>
      <c r="D203" s="1" t="str">
        <f aca="false">IF(Brasil!C203="","",Brasil!E203)</f>
        <v/>
      </c>
      <c r="E203" s="1" t="str">
        <f aca="false">IF(Brasil!C203="","",Brasil!F203)</f>
        <v/>
      </c>
      <c r="F203" s="1" t="str">
        <f aca="false">IF(Brasil!C203="","",Brasil!D203)</f>
        <v/>
      </c>
      <c r="I203" s="1" t="str">
        <f aca="false">IF(Brasil!C203="","",Brasil!H203)</f>
        <v/>
      </c>
      <c r="J203" s="1" t="str">
        <f aca="false">IF(Brasil!C203="","",Brasil!D203*Brasil!H203)</f>
        <v/>
      </c>
      <c r="K203" s="1" t="str">
        <f aca="false">IF(Brasil!C203="","","BR")</f>
        <v/>
      </c>
      <c r="L203" s="1" t="str">
        <f aca="false">IF(Brasil!C203="","",IFERROR(INDEX(Gamma_Catalogo!$D$3:$D$1451,MATCH(Brasil!E203,Gamma_Catalogo!$A$3:$A$1451,0)),"Revisar Ip Code"))</f>
        <v/>
      </c>
      <c r="M203" s="1" t="str">
        <f aca="false">IF(Brasil!C203="","",IFERROR(INDEX(Gamma_Catalogo!$C$3:$C$1451,MATCH(Brasil!E203,Gamma_Catalogo!$A$3:$A$1451,0)),"Revisar Ip Code"))</f>
        <v/>
      </c>
      <c r="N203" s="1" t="str">
        <f aca="false">IF(Brasil!C203="","",IFERROR(INDEX(Gamma_Catalogo!$E$3:$E$1451,MATCH(Brasil!E203,Gamma_Catalogo!$A$3:$A$1451,0)),"Revisar Ip Code"))</f>
        <v/>
      </c>
      <c r="O203" s="1" t="str">
        <f aca="false">IF(Brasil!C203="","","Brasil")</f>
        <v/>
      </c>
    </row>
    <row r="204" customFormat="false" ht="15" hidden="false" customHeight="true" outlineLevel="0" collapsed="false">
      <c r="A204" s="1" t="str">
        <f aca="false">IF(Brasil!C204="","",IFERROR(INDEX(Mercados!$C$2:$C$32,MATCH(Brasil!B204,Mercados!$A$2:$A$32,0)),"Revisar Tscode"))</f>
        <v/>
      </c>
      <c r="B204" s="1" t="str">
        <f aca="false">IF(Brasil!C204="","",Brasil!C204)</f>
        <v/>
      </c>
      <c r="C204" s="1" t="str">
        <f aca="false">IF(Brasil!C204="","",Brasil!A204)</f>
        <v/>
      </c>
      <c r="D204" s="1" t="str">
        <f aca="false">IF(Brasil!C204="","",Brasil!E204)</f>
        <v/>
      </c>
      <c r="E204" s="1" t="str">
        <f aca="false">IF(Brasil!C204="","",Brasil!F204)</f>
        <v/>
      </c>
      <c r="F204" s="1" t="str">
        <f aca="false">IF(Brasil!C204="","",Brasil!D204)</f>
        <v/>
      </c>
      <c r="I204" s="1" t="str">
        <f aca="false">IF(Brasil!C204="","",Brasil!H204)</f>
        <v/>
      </c>
      <c r="J204" s="1" t="str">
        <f aca="false">IF(Brasil!C204="","",Brasil!D204*Brasil!H204)</f>
        <v/>
      </c>
      <c r="K204" s="1" t="str">
        <f aca="false">IF(Brasil!C204="","","BR")</f>
        <v/>
      </c>
      <c r="L204" s="1" t="str">
        <f aca="false">IF(Brasil!C204="","",IFERROR(INDEX(Gamma_Catalogo!$D$3:$D$1451,MATCH(Brasil!E204,Gamma_Catalogo!$A$3:$A$1451,0)),"Revisar Ip Code"))</f>
        <v/>
      </c>
      <c r="M204" s="1" t="str">
        <f aca="false">IF(Brasil!C204="","",IFERROR(INDEX(Gamma_Catalogo!$C$3:$C$1451,MATCH(Brasil!E204,Gamma_Catalogo!$A$3:$A$1451,0)),"Revisar Ip Code"))</f>
        <v/>
      </c>
      <c r="N204" s="1" t="str">
        <f aca="false">IF(Brasil!C204="","",IFERROR(INDEX(Gamma_Catalogo!$E$3:$E$1451,MATCH(Brasil!E204,Gamma_Catalogo!$A$3:$A$1451,0)),"Revisar Ip Code"))</f>
        <v/>
      </c>
      <c r="O204" s="1" t="str">
        <f aca="false">IF(Brasil!C204="","","Brasil")</f>
        <v/>
      </c>
    </row>
    <row r="205" customFormat="false" ht="15" hidden="false" customHeight="true" outlineLevel="0" collapsed="false">
      <c r="A205" s="1" t="str">
        <f aca="false">IF(Brasil!C205="","",IFERROR(INDEX(Mercados!$C$2:$C$32,MATCH(Brasil!B205,Mercados!$A$2:$A$32,0)),"Revisar Tscode"))</f>
        <v/>
      </c>
      <c r="B205" s="1" t="str">
        <f aca="false">IF(Brasil!C205="","",Brasil!C205)</f>
        <v/>
      </c>
      <c r="C205" s="1" t="str">
        <f aca="false">IF(Brasil!C205="","",Brasil!A205)</f>
        <v/>
      </c>
      <c r="D205" s="1" t="str">
        <f aca="false">IF(Brasil!C205="","",Brasil!E205)</f>
        <v/>
      </c>
      <c r="E205" s="1" t="str">
        <f aca="false">IF(Brasil!C205="","",Brasil!F205)</f>
        <v/>
      </c>
      <c r="F205" s="1" t="str">
        <f aca="false">IF(Brasil!C205="","",Brasil!D205)</f>
        <v/>
      </c>
      <c r="I205" s="1" t="str">
        <f aca="false">IF(Brasil!C205="","",Brasil!H205)</f>
        <v/>
      </c>
      <c r="J205" s="1" t="str">
        <f aca="false">IF(Brasil!C205="","",Brasil!D205*Brasil!H205)</f>
        <v/>
      </c>
      <c r="K205" s="1" t="str">
        <f aca="false">IF(Brasil!C205="","","BR")</f>
        <v/>
      </c>
      <c r="L205" s="1" t="str">
        <f aca="false">IF(Brasil!C205="","",IFERROR(INDEX(Gamma_Catalogo!$D$3:$D$1451,MATCH(Brasil!E205,Gamma_Catalogo!$A$3:$A$1451,0)),"Revisar Ip Code"))</f>
        <v/>
      </c>
      <c r="M205" s="1" t="str">
        <f aca="false">IF(Brasil!C205="","",IFERROR(INDEX(Gamma_Catalogo!$C$3:$C$1451,MATCH(Brasil!E205,Gamma_Catalogo!$A$3:$A$1451,0)),"Revisar Ip Code"))</f>
        <v/>
      </c>
      <c r="N205" s="1" t="str">
        <f aca="false">IF(Brasil!C205="","",IFERROR(INDEX(Gamma_Catalogo!$E$3:$E$1451,MATCH(Brasil!E205,Gamma_Catalogo!$A$3:$A$1451,0)),"Revisar Ip Code"))</f>
        <v/>
      </c>
      <c r="O205" s="1" t="str">
        <f aca="false">IF(Brasil!C205="","","Brasil")</f>
        <v/>
      </c>
    </row>
    <row r="206" customFormat="false" ht="15" hidden="false" customHeight="true" outlineLevel="0" collapsed="false">
      <c r="A206" s="1" t="str">
        <f aca="false">IF(Brasil!C206="","",IFERROR(INDEX(Mercados!$C$2:$C$32,MATCH(Brasil!B206,Mercados!$A$2:$A$32,0)),"Revisar Tscode"))</f>
        <v/>
      </c>
      <c r="B206" s="1" t="str">
        <f aca="false">IF(Brasil!C206="","",Brasil!C206)</f>
        <v/>
      </c>
      <c r="C206" s="1" t="str">
        <f aca="false">IF(Brasil!C206="","",Brasil!A206)</f>
        <v/>
      </c>
      <c r="D206" s="1" t="str">
        <f aca="false">IF(Brasil!C206="","",Brasil!E206)</f>
        <v/>
      </c>
      <c r="E206" s="1" t="str">
        <f aca="false">IF(Brasil!C206="","",Brasil!F206)</f>
        <v/>
      </c>
      <c r="F206" s="1" t="str">
        <f aca="false">IF(Brasil!C206="","",Brasil!D206)</f>
        <v/>
      </c>
      <c r="I206" s="1" t="str">
        <f aca="false">IF(Brasil!C206="","",Brasil!H206)</f>
        <v/>
      </c>
      <c r="J206" s="1" t="str">
        <f aca="false">IF(Brasil!C206="","",Brasil!D206*Brasil!H206)</f>
        <v/>
      </c>
      <c r="K206" s="1" t="str">
        <f aca="false">IF(Brasil!C206="","","BR")</f>
        <v/>
      </c>
      <c r="L206" s="1" t="str">
        <f aca="false">IF(Brasil!C206="","",IFERROR(INDEX(Gamma_Catalogo!$D$3:$D$1451,MATCH(Brasil!E206,Gamma_Catalogo!$A$3:$A$1451,0)),"Revisar Ip Code"))</f>
        <v/>
      </c>
      <c r="M206" s="1" t="str">
        <f aca="false">IF(Brasil!C206="","",IFERROR(INDEX(Gamma_Catalogo!$C$3:$C$1451,MATCH(Brasil!E206,Gamma_Catalogo!$A$3:$A$1451,0)),"Revisar Ip Code"))</f>
        <v/>
      </c>
      <c r="N206" s="1" t="str">
        <f aca="false">IF(Brasil!C206="","",IFERROR(INDEX(Gamma_Catalogo!$E$3:$E$1451,MATCH(Brasil!E206,Gamma_Catalogo!$A$3:$A$1451,0)),"Revisar Ip Code"))</f>
        <v/>
      </c>
      <c r="O206" s="1" t="str">
        <f aca="false">IF(Brasil!C206="","","Brasil")</f>
        <v/>
      </c>
    </row>
    <row r="207" customFormat="false" ht="15" hidden="false" customHeight="true" outlineLevel="0" collapsed="false">
      <c r="A207" s="1" t="str">
        <f aca="false">IF(Brasil!C207="","",IFERROR(INDEX(Mercados!$C$2:$C$32,MATCH(Brasil!B207,Mercados!$A$2:$A$32,0)),"Revisar Tscode"))</f>
        <v/>
      </c>
      <c r="B207" s="1" t="str">
        <f aca="false">IF(Brasil!C207="","",Brasil!C207)</f>
        <v/>
      </c>
      <c r="C207" s="1" t="str">
        <f aca="false">IF(Brasil!C207="","",Brasil!A207)</f>
        <v/>
      </c>
      <c r="D207" s="1" t="str">
        <f aca="false">IF(Brasil!C207="","",Brasil!E207)</f>
        <v/>
      </c>
      <c r="E207" s="1" t="str">
        <f aca="false">IF(Brasil!C207="","",Brasil!F207)</f>
        <v/>
      </c>
      <c r="F207" s="1" t="str">
        <f aca="false">IF(Brasil!C207="","",Brasil!D207)</f>
        <v/>
      </c>
      <c r="I207" s="1" t="str">
        <f aca="false">IF(Brasil!C207="","",Brasil!H207)</f>
        <v/>
      </c>
      <c r="J207" s="1" t="str">
        <f aca="false">IF(Brasil!C207="","",Brasil!D207*Brasil!H207)</f>
        <v/>
      </c>
      <c r="K207" s="1" t="str">
        <f aca="false">IF(Brasil!C207="","","BR")</f>
        <v/>
      </c>
      <c r="L207" s="1" t="str">
        <f aca="false">IF(Brasil!C207="","",IFERROR(INDEX(Gamma_Catalogo!$D$3:$D$1451,MATCH(Brasil!E207,Gamma_Catalogo!$A$3:$A$1451,0)),"Revisar Ip Code"))</f>
        <v/>
      </c>
      <c r="M207" s="1" t="str">
        <f aca="false">IF(Brasil!C207="","",IFERROR(INDEX(Gamma_Catalogo!$C$3:$C$1451,MATCH(Brasil!E207,Gamma_Catalogo!$A$3:$A$1451,0)),"Revisar Ip Code"))</f>
        <v/>
      </c>
      <c r="N207" s="1" t="str">
        <f aca="false">IF(Brasil!C207="","",IFERROR(INDEX(Gamma_Catalogo!$E$3:$E$1451,MATCH(Brasil!E207,Gamma_Catalogo!$A$3:$A$1451,0)),"Revisar Ip Code"))</f>
        <v/>
      </c>
      <c r="O207" s="1" t="str">
        <f aca="false">IF(Brasil!C207="","","Brasil")</f>
        <v/>
      </c>
    </row>
    <row r="208" customFormat="false" ht="15" hidden="false" customHeight="true" outlineLevel="0" collapsed="false">
      <c r="A208" s="1" t="str">
        <f aca="false">IF(Brasil!C208="","",IFERROR(INDEX(Mercados!$C$2:$C$32,MATCH(Brasil!B208,Mercados!$A$2:$A$32,0)),"Revisar Tscode"))</f>
        <v/>
      </c>
      <c r="B208" s="1" t="str">
        <f aca="false">IF(Brasil!C208="","",Brasil!C208)</f>
        <v/>
      </c>
      <c r="C208" s="1" t="str">
        <f aca="false">IF(Brasil!C208="","",Brasil!A208)</f>
        <v/>
      </c>
      <c r="D208" s="1" t="str">
        <f aca="false">IF(Brasil!C208="","",Brasil!E208)</f>
        <v/>
      </c>
      <c r="E208" s="1" t="str">
        <f aca="false">IF(Brasil!C208="","",Brasil!F208)</f>
        <v/>
      </c>
      <c r="F208" s="1" t="str">
        <f aca="false">IF(Brasil!C208="","",Brasil!D208)</f>
        <v/>
      </c>
      <c r="I208" s="1" t="str">
        <f aca="false">IF(Brasil!C208="","",Brasil!H208)</f>
        <v/>
      </c>
      <c r="J208" s="1" t="str">
        <f aca="false">IF(Brasil!C208="","",Brasil!D208*Brasil!H208)</f>
        <v/>
      </c>
      <c r="K208" s="1" t="str">
        <f aca="false">IF(Brasil!C208="","","BR")</f>
        <v/>
      </c>
      <c r="L208" s="1" t="str">
        <f aca="false">IF(Brasil!C208="","",IFERROR(INDEX(Gamma_Catalogo!$D$3:$D$1451,MATCH(Brasil!E208,Gamma_Catalogo!$A$3:$A$1451,0)),"Revisar Ip Code"))</f>
        <v/>
      </c>
      <c r="M208" s="1" t="str">
        <f aca="false">IF(Brasil!C208="","",IFERROR(INDEX(Gamma_Catalogo!$C$3:$C$1451,MATCH(Brasil!E208,Gamma_Catalogo!$A$3:$A$1451,0)),"Revisar Ip Code"))</f>
        <v/>
      </c>
      <c r="N208" s="1" t="str">
        <f aca="false">IF(Brasil!C208="","",IFERROR(INDEX(Gamma_Catalogo!$E$3:$E$1451,MATCH(Brasil!E208,Gamma_Catalogo!$A$3:$A$1451,0)),"Revisar Ip Code"))</f>
        <v/>
      </c>
      <c r="O208" s="1" t="str">
        <f aca="false">IF(Brasil!C208="","","Brasil")</f>
        <v/>
      </c>
    </row>
    <row r="209" customFormat="false" ht="15" hidden="false" customHeight="true" outlineLevel="0" collapsed="false">
      <c r="A209" s="1" t="str">
        <f aca="false">IF(Brasil!C209="","",IFERROR(INDEX(Mercados!$C$2:$C$32,MATCH(Brasil!B209,Mercados!$A$2:$A$32,0)),"Revisar Tscode"))</f>
        <v/>
      </c>
      <c r="B209" s="1" t="str">
        <f aca="false">IF(Brasil!C209="","",Brasil!C209)</f>
        <v/>
      </c>
      <c r="C209" s="1" t="str">
        <f aca="false">IF(Brasil!C209="","",Brasil!A209)</f>
        <v/>
      </c>
      <c r="D209" s="1" t="str">
        <f aca="false">IF(Brasil!C209="","",Brasil!E209)</f>
        <v/>
      </c>
      <c r="E209" s="1" t="str">
        <f aca="false">IF(Brasil!C209="","",Brasil!F209)</f>
        <v/>
      </c>
      <c r="F209" s="1" t="str">
        <f aca="false">IF(Brasil!C209="","",Brasil!D209)</f>
        <v/>
      </c>
      <c r="I209" s="1" t="str">
        <f aca="false">IF(Brasil!C209="","",Brasil!H209)</f>
        <v/>
      </c>
      <c r="J209" s="1" t="str">
        <f aca="false">IF(Brasil!C209="","",Brasil!D209*Brasil!H209)</f>
        <v/>
      </c>
      <c r="K209" s="1" t="str">
        <f aca="false">IF(Brasil!C209="","","BR")</f>
        <v/>
      </c>
      <c r="L209" s="1" t="str">
        <f aca="false">IF(Brasil!C209="","",IFERROR(INDEX(Gamma_Catalogo!$D$3:$D$1451,MATCH(Brasil!E209,Gamma_Catalogo!$A$3:$A$1451,0)),"Revisar Ip Code"))</f>
        <v/>
      </c>
      <c r="M209" s="1" t="str">
        <f aca="false">IF(Brasil!C209="","",IFERROR(INDEX(Gamma_Catalogo!$C$3:$C$1451,MATCH(Brasil!E209,Gamma_Catalogo!$A$3:$A$1451,0)),"Revisar Ip Code"))</f>
        <v/>
      </c>
      <c r="N209" s="1" t="str">
        <f aca="false">IF(Brasil!C209="","",IFERROR(INDEX(Gamma_Catalogo!$E$3:$E$1451,MATCH(Brasil!E209,Gamma_Catalogo!$A$3:$A$1451,0)),"Revisar Ip Code"))</f>
        <v/>
      </c>
      <c r="O209" s="1" t="str">
        <f aca="false">IF(Brasil!C209="","","Brasil")</f>
        <v/>
      </c>
    </row>
    <row r="210" customFormat="false" ht="15" hidden="false" customHeight="true" outlineLevel="0" collapsed="false">
      <c r="A210" s="1" t="str">
        <f aca="false">IF(Brasil!C210="","",IFERROR(INDEX(Mercados!$C$2:$C$32,MATCH(Brasil!B210,Mercados!$A$2:$A$32,0)),"Revisar Tscode"))</f>
        <v/>
      </c>
      <c r="B210" s="1" t="str">
        <f aca="false">IF(Brasil!C210="","",Brasil!C210)</f>
        <v/>
      </c>
      <c r="C210" s="1" t="str">
        <f aca="false">IF(Brasil!C210="","",Brasil!A210)</f>
        <v/>
      </c>
      <c r="D210" s="1" t="str">
        <f aca="false">IF(Brasil!C210="","",Brasil!E210)</f>
        <v/>
      </c>
      <c r="E210" s="1" t="str">
        <f aca="false">IF(Brasil!C210="","",Brasil!F210)</f>
        <v/>
      </c>
      <c r="F210" s="1" t="str">
        <f aca="false">IF(Brasil!C210="","",Brasil!D210)</f>
        <v/>
      </c>
      <c r="I210" s="1" t="str">
        <f aca="false">IF(Brasil!C210="","",Brasil!H210)</f>
        <v/>
      </c>
      <c r="J210" s="1" t="str">
        <f aca="false">IF(Brasil!C210="","",Brasil!D210*Brasil!H210)</f>
        <v/>
      </c>
      <c r="K210" s="1" t="str">
        <f aca="false">IF(Brasil!C210="","","BR")</f>
        <v/>
      </c>
      <c r="L210" s="1" t="str">
        <f aca="false">IF(Brasil!C210="","",IFERROR(INDEX(Gamma_Catalogo!$D$3:$D$1451,MATCH(Brasil!E210,Gamma_Catalogo!$A$3:$A$1451,0)),"Revisar Ip Code"))</f>
        <v/>
      </c>
      <c r="M210" s="1" t="str">
        <f aca="false">IF(Brasil!C210="","",IFERROR(INDEX(Gamma_Catalogo!$C$3:$C$1451,MATCH(Brasil!E210,Gamma_Catalogo!$A$3:$A$1451,0)),"Revisar Ip Code"))</f>
        <v/>
      </c>
      <c r="N210" s="1" t="str">
        <f aca="false">IF(Brasil!C210="","",IFERROR(INDEX(Gamma_Catalogo!$E$3:$E$1451,MATCH(Brasil!E210,Gamma_Catalogo!$A$3:$A$1451,0)),"Revisar Ip Code"))</f>
        <v/>
      </c>
      <c r="O210" s="1" t="str">
        <f aca="false">IF(Brasil!C210="","","Brasil")</f>
        <v/>
      </c>
    </row>
    <row r="211" customFormat="false" ht="15" hidden="false" customHeight="true" outlineLevel="0" collapsed="false">
      <c r="A211" s="1" t="str">
        <f aca="false">IF(Brasil!C211="","",IFERROR(INDEX(Mercados!$C$2:$C$32,MATCH(Brasil!B211,Mercados!$A$2:$A$32,0)),"Revisar Tscode"))</f>
        <v/>
      </c>
      <c r="B211" s="1" t="str">
        <f aca="false">IF(Brasil!C211="","",Brasil!C211)</f>
        <v/>
      </c>
      <c r="C211" s="1" t="str">
        <f aca="false">IF(Brasil!C211="","",Brasil!A211)</f>
        <v/>
      </c>
      <c r="D211" s="1" t="str">
        <f aca="false">IF(Brasil!C211="","",Brasil!E211)</f>
        <v/>
      </c>
      <c r="E211" s="1" t="str">
        <f aca="false">IF(Brasil!C211="","",Brasil!F211)</f>
        <v/>
      </c>
      <c r="F211" s="1" t="str">
        <f aca="false">IF(Brasil!C211="","",Brasil!D211)</f>
        <v/>
      </c>
      <c r="I211" s="1" t="str">
        <f aca="false">IF(Brasil!C211="","",Brasil!H211)</f>
        <v/>
      </c>
      <c r="J211" s="1" t="str">
        <f aca="false">IF(Brasil!C211="","",Brasil!D211*Brasil!H211)</f>
        <v/>
      </c>
      <c r="K211" s="1" t="str">
        <f aca="false">IF(Brasil!C211="","","BR")</f>
        <v/>
      </c>
      <c r="L211" s="1" t="str">
        <f aca="false">IF(Brasil!C211="","",IFERROR(INDEX(Gamma_Catalogo!$D$3:$D$1451,MATCH(Brasil!E211,Gamma_Catalogo!$A$3:$A$1451,0)),"Revisar Ip Code"))</f>
        <v/>
      </c>
      <c r="M211" s="1" t="str">
        <f aca="false">IF(Brasil!C211="","",IFERROR(INDEX(Gamma_Catalogo!$C$3:$C$1451,MATCH(Brasil!E211,Gamma_Catalogo!$A$3:$A$1451,0)),"Revisar Ip Code"))</f>
        <v/>
      </c>
      <c r="N211" s="1" t="str">
        <f aca="false">IF(Brasil!C211="","",IFERROR(INDEX(Gamma_Catalogo!$E$3:$E$1451,MATCH(Brasil!E211,Gamma_Catalogo!$A$3:$A$1451,0)),"Revisar Ip Code"))</f>
        <v/>
      </c>
      <c r="O211" s="1" t="str">
        <f aca="false">IF(Brasil!C211="","","Brasil")</f>
        <v/>
      </c>
    </row>
    <row r="212" customFormat="false" ht="15" hidden="false" customHeight="true" outlineLevel="0" collapsed="false">
      <c r="A212" s="1" t="str">
        <f aca="false">IF(Brasil!C212="","",IFERROR(INDEX(Mercados!$C$2:$C$32,MATCH(Brasil!B212,Mercados!$A$2:$A$32,0)),"Revisar Tscode"))</f>
        <v/>
      </c>
      <c r="B212" s="1" t="str">
        <f aca="false">IF(Brasil!C212="","",Brasil!C212)</f>
        <v/>
      </c>
      <c r="C212" s="1" t="str">
        <f aca="false">IF(Brasil!C212="","",Brasil!A212)</f>
        <v/>
      </c>
      <c r="D212" s="1" t="str">
        <f aca="false">IF(Brasil!C212="","",Brasil!E212)</f>
        <v/>
      </c>
      <c r="E212" s="1" t="str">
        <f aca="false">IF(Brasil!C212="","",Brasil!F212)</f>
        <v/>
      </c>
      <c r="F212" s="1" t="str">
        <f aca="false">IF(Brasil!C212="","",Brasil!D212)</f>
        <v/>
      </c>
      <c r="I212" s="1" t="str">
        <f aca="false">IF(Brasil!C212="","",Brasil!H212)</f>
        <v/>
      </c>
      <c r="J212" s="1" t="str">
        <f aca="false">IF(Brasil!C212="","",Brasil!D212*Brasil!H212)</f>
        <v/>
      </c>
      <c r="K212" s="1" t="str">
        <f aca="false">IF(Brasil!C212="","","BR")</f>
        <v/>
      </c>
      <c r="L212" s="1" t="str">
        <f aca="false">IF(Brasil!C212="","",IFERROR(INDEX(Gamma_Catalogo!$D$3:$D$1451,MATCH(Brasil!E212,Gamma_Catalogo!$A$3:$A$1451,0)),"Revisar Ip Code"))</f>
        <v/>
      </c>
      <c r="M212" s="1" t="str">
        <f aca="false">IF(Brasil!C212="","",IFERROR(INDEX(Gamma_Catalogo!$C$3:$C$1451,MATCH(Brasil!E212,Gamma_Catalogo!$A$3:$A$1451,0)),"Revisar Ip Code"))</f>
        <v/>
      </c>
      <c r="N212" s="1" t="str">
        <f aca="false">IF(Brasil!C212="","",IFERROR(INDEX(Gamma_Catalogo!$E$3:$E$1451,MATCH(Brasil!E212,Gamma_Catalogo!$A$3:$A$1451,0)),"Revisar Ip Code"))</f>
        <v/>
      </c>
      <c r="O212" s="1" t="str">
        <f aca="false">IF(Brasil!C212="","","Brasil")</f>
        <v/>
      </c>
    </row>
    <row r="213" customFormat="false" ht="15" hidden="false" customHeight="true" outlineLevel="0" collapsed="false">
      <c r="A213" s="1" t="str">
        <f aca="false">IF(Brasil!C213="","",IFERROR(INDEX(Mercados!$C$2:$C$32,MATCH(Brasil!B213,Mercados!$A$2:$A$32,0)),"Revisar Tscode"))</f>
        <v/>
      </c>
      <c r="B213" s="1" t="str">
        <f aca="false">IF(Brasil!C213="","",Brasil!C213)</f>
        <v/>
      </c>
      <c r="C213" s="1" t="str">
        <f aca="false">IF(Brasil!C213="","",Brasil!A213)</f>
        <v/>
      </c>
      <c r="D213" s="1" t="str">
        <f aca="false">IF(Brasil!C213="","",Brasil!E213)</f>
        <v/>
      </c>
      <c r="E213" s="1" t="str">
        <f aca="false">IF(Brasil!C213="","",Brasil!F213)</f>
        <v/>
      </c>
      <c r="F213" s="1" t="str">
        <f aca="false">IF(Brasil!C213="","",Brasil!D213)</f>
        <v/>
      </c>
      <c r="I213" s="1" t="str">
        <f aca="false">IF(Brasil!C213="","",Brasil!H213)</f>
        <v/>
      </c>
      <c r="J213" s="1" t="str">
        <f aca="false">IF(Brasil!C213="","",Brasil!D213*Brasil!H213)</f>
        <v/>
      </c>
      <c r="K213" s="1" t="str">
        <f aca="false">IF(Brasil!C213="","","BR")</f>
        <v/>
      </c>
      <c r="L213" s="1" t="str">
        <f aca="false">IF(Brasil!C213="","",IFERROR(INDEX(Gamma_Catalogo!$D$3:$D$1451,MATCH(Brasil!E213,Gamma_Catalogo!$A$3:$A$1451,0)),"Revisar Ip Code"))</f>
        <v/>
      </c>
      <c r="M213" s="1" t="str">
        <f aca="false">IF(Brasil!C213="","",IFERROR(INDEX(Gamma_Catalogo!$C$3:$C$1451,MATCH(Brasil!E213,Gamma_Catalogo!$A$3:$A$1451,0)),"Revisar Ip Code"))</f>
        <v/>
      </c>
      <c r="N213" s="1" t="str">
        <f aca="false">IF(Brasil!C213="","",IFERROR(INDEX(Gamma_Catalogo!$E$3:$E$1451,MATCH(Brasil!E213,Gamma_Catalogo!$A$3:$A$1451,0)),"Revisar Ip Code"))</f>
        <v/>
      </c>
      <c r="O213" s="1" t="str">
        <f aca="false">IF(Brasil!C213="","","Brasil")</f>
        <v/>
      </c>
    </row>
    <row r="214" customFormat="false" ht="15" hidden="false" customHeight="true" outlineLevel="0" collapsed="false">
      <c r="A214" s="1" t="str">
        <f aca="false">IF(Brasil!C214="","",IFERROR(INDEX(Mercados!$C$2:$C$32,MATCH(Brasil!B214,Mercados!$A$2:$A$32,0)),"Revisar Tscode"))</f>
        <v/>
      </c>
      <c r="B214" s="1" t="str">
        <f aca="false">IF(Brasil!C214="","",Brasil!C214)</f>
        <v/>
      </c>
      <c r="C214" s="1" t="str">
        <f aca="false">IF(Brasil!C214="","",Brasil!A214)</f>
        <v/>
      </c>
      <c r="D214" s="1" t="str">
        <f aca="false">IF(Brasil!C214="","",Brasil!E214)</f>
        <v/>
      </c>
      <c r="E214" s="1" t="str">
        <f aca="false">IF(Brasil!C214="","",Brasil!F214)</f>
        <v/>
      </c>
      <c r="F214" s="1" t="str">
        <f aca="false">IF(Brasil!C214="","",Brasil!D214)</f>
        <v/>
      </c>
      <c r="I214" s="1" t="str">
        <f aca="false">IF(Brasil!C214="","",Brasil!H214)</f>
        <v/>
      </c>
      <c r="J214" s="1" t="str">
        <f aca="false">IF(Brasil!C214="","",Brasil!D214*Brasil!H214)</f>
        <v/>
      </c>
      <c r="K214" s="1" t="str">
        <f aca="false">IF(Brasil!C214="","","BR")</f>
        <v/>
      </c>
      <c r="L214" s="1" t="str">
        <f aca="false">IF(Brasil!C214="","",IFERROR(INDEX(Gamma_Catalogo!$D$3:$D$1451,MATCH(Brasil!E214,Gamma_Catalogo!$A$3:$A$1451,0)),"Revisar Ip Code"))</f>
        <v/>
      </c>
      <c r="M214" s="1" t="str">
        <f aca="false">IF(Brasil!C214="","",IFERROR(INDEX(Gamma_Catalogo!$C$3:$C$1451,MATCH(Brasil!E214,Gamma_Catalogo!$A$3:$A$1451,0)),"Revisar Ip Code"))</f>
        <v/>
      </c>
      <c r="N214" s="1" t="str">
        <f aca="false">IF(Brasil!C214="","",IFERROR(INDEX(Gamma_Catalogo!$E$3:$E$1451,MATCH(Brasil!E214,Gamma_Catalogo!$A$3:$A$1451,0)),"Revisar Ip Code"))</f>
        <v/>
      </c>
      <c r="O214" s="1" t="str">
        <f aca="false">IF(Brasil!C214="","","Brasil")</f>
        <v/>
      </c>
    </row>
    <row r="215" customFormat="false" ht="15" hidden="false" customHeight="true" outlineLevel="0" collapsed="false">
      <c r="A215" s="1" t="str">
        <f aca="false">IF(Brasil!C215="","",IFERROR(INDEX(Mercados!$C$2:$C$32,MATCH(Brasil!B215,Mercados!$A$2:$A$32,0)),"Revisar Tscode"))</f>
        <v/>
      </c>
      <c r="B215" s="1" t="str">
        <f aca="false">IF(Brasil!C215="","",Brasil!C215)</f>
        <v/>
      </c>
      <c r="C215" s="1" t="str">
        <f aca="false">IF(Brasil!C215="","",Brasil!A215)</f>
        <v/>
      </c>
      <c r="D215" s="1" t="str">
        <f aca="false">IF(Brasil!C215="","",Brasil!E215)</f>
        <v/>
      </c>
      <c r="E215" s="1" t="str">
        <f aca="false">IF(Brasil!C215="","",Brasil!F215)</f>
        <v/>
      </c>
      <c r="F215" s="1" t="str">
        <f aca="false">IF(Brasil!C215="","",Brasil!D215)</f>
        <v/>
      </c>
      <c r="I215" s="1" t="str">
        <f aca="false">IF(Brasil!C215="","",Brasil!H215)</f>
        <v/>
      </c>
      <c r="J215" s="1" t="str">
        <f aca="false">IF(Brasil!C215="","",Brasil!D215*Brasil!H215)</f>
        <v/>
      </c>
      <c r="K215" s="1" t="str">
        <f aca="false">IF(Brasil!C215="","","BR")</f>
        <v/>
      </c>
      <c r="L215" s="1" t="str">
        <f aca="false">IF(Brasil!C215="","",IFERROR(INDEX(Gamma_Catalogo!$D$3:$D$1451,MATCH(Brasil!E215,Gamma_Catalogo!$A$3:$A$1451,0)),"Revisar Ip Code"))</f>
        <v/>
      </c>
      <c r="M215" s="1" t="str">
        <f aca="false">IF(Brasil!C215="","",IFERROR(INDEX(Gamma_Catalogo!$C$3:$C$1451,MATCH(Brasil!E215,Gamma_Catalogo!$A$3:$A$1451,0)),"Revisar Ip Code"))</f>
        <v/>
      </c>
      <c r="N215" s="1" t="str">
        <f aca="false">IF(Brasil!C215="","",IFERROR(INDEX(Gamma_Catalogo!$E$3:$E$1451,MATCH(Brasil!E215,Gamma_Catalogo!$A$3:$A$1451,0)),"Revisar Ip Code"))</f>
        <v/>
      </c>
      <c r="O215" s="1" t="str">
        <f aca="false">IF(Brasil!C215="","","Brasil")</f>
        <v/>
      </c>
    </row>
    <row r="216" customFormat="false" ht="15" hidden="false" customHeight="true" outlineLevel="0" collapsed="false">
      <c r="A216" s="1" t="str">
        <f aca="false">IF(Brasil!C216="","",IFERROR(INDEX(Mercados!$C$2:$C$32,MATCH(Brasil!B216,Mercados!$A$2:$A$32,0)),"Revisar Tscode"))</f>
        <v/>
      </c>
      <c r="B216" s="1" t="str">
        <f aca="false">IF(Brasil!C216="","",Brasil!C216)</f>
        <v/>
      </c>
      <c r="C216" s="1" t="str">
        <f aca="false">IF(Brasil!C216="","",Brasil!A216)</f>
        <v/>
      </c>
      <c r="D216" s="1" t="str">
        <f aca="false">IF(Brasil!C216="","",Brasil!E216)</f>
        <v/>
      </c>
      <c r="E216" s="1" t="str">
        <f aca="false">IF(Brasil!C216="","",Brasil!F216)</f>
        <v/>
      </c>
      <c r="F216" s="1" t="str">
        <f aca="false">IF(Brasil!C216="","",Brasil!D216)</f>
        <v/>
      </c>
      <c r="I216" s="1" t="str">
        <f aca="false">IF(Brasil!C216="","",Brasil!H216)</f>
        <v/>
      </c>
      <c r="J216" s="1" t="str">
        <f aca="false">IF(Brasil!C216="","",Brasil!D216*Brasil!H216)</f>
        <v/>
      </c>
      <c r="K216" s="1" t="str">
        <f aca="false">IF(Brasil!C216="","","BR")</f>
        <v/>
      </c>
      <c r="L216" s="1" t="str">
        <f aca="false">IF(Brasil!C216="","",IFERROR(INDEX(Gamma_Catalogo!$D$3:$D$1451,MATCH(Brasil!E216,Gamma_Catalogo!$A$3:$A$1451,0)),"Revisar Ip Code"))</f>
        <v/>
      </c>
      <c r="M216" s="1" t="str">
        <f aca="false">IF(Brasil!C216="","",IFERROR(INDEX(Gamma_Catalogo!$C$3:$C$1451,MATCH(Brasil!E216,Gamma_Catalogo!$A$3:$A$1451,0)),"Revisar Ip Code"))</f>
        <v/>
      </c>
      <c r="N216" s="1" t="str">
        <f aca="false">IF(Brasil!C216="","",IFERROR(INDEX(Gamma_Catalogo!$E$3:$E$1451,MATCH(Brasil!E216,Gamma_Catalogo!$A$3:$A$1451,0)),"Revisar Ip Code"))</f>
        <v/>
      </c>
      <c r="O216" s="1" t="str">
        <f aca="false">IF(Brasil!C216="","","Brasil")</f>
        <v/>
      </c>
    </row>
    <row r="217" customFormat="false" ht="15" hidden="false" customHeight="true" outlineLevel="0" collapsed="false">
      <c r="A217" s="1" t="str">
        <f aca="false">IF(Brasil!C217="","",IFERROR(INDEX(Mercados!$C$2:$C$32,MATCH(Brasil!B217,Mercados!$A$2:$A$32,0)),"Revisar Tscode"))</f>
        <v/>
      </c>
      <c r="B217" s="1" t="str">
        <f aca="false">IF(Brasil!C217="","",Brasil!C217)</f>
        <v/>
      </c>
      <c r="C217" s="1" t="str">
        <f aca="false">IF(Brasil!C217="","",Brasil!A217)</f>
        <v/>
      </c>
      <c r="D217" s="1" t="str">
        <f aca="false">IF(Brasil!C217="","",Brasil!E217)</f>
        <v/>
      </c>
      <c r="E217" s="1" t="str">
        <f aca="false">IF(Brasil!C217="","",Brasil!F217)</f>
        <v/>
      </c>
      <c r="F217" s="1" t="str">
        <f aca="false">IF(Brasil!C217="","",Brasil!D217)</f>
        <v/>
      </c>
      <c r="I217" s="1" t="str">
        <f aca="false">IF(Brasil!C217="","",Brasil!H217)</f>
        <v/>
      </c>
      <c r="J217" s="1" t="str">
        <f aca="false">IF(Brasil!C217="","",Brasil!D217*Brasil!H217)</f>
        <v/>
      </c>
      <c r="K217" s="1" t="str">
        <f aca="false">IF(Brasil!C217="","","BR")</f>
        <v/>
      </c>
      <c r="L217" s="1" t="str">
        <f aca="false">IF(Brasil!C217="","",IFERROR(INDEX(Gamma_Catalogo!$D$3:$D$1451,MATCH(Brasil!E217,Gamma_Catalogo!$A$3:$A$1451,0)),"Revisar Ip Code"))</f>
        <v/>
      </c>
      <c r="M217" s="1" t="str">
        <f aca="false">IF(Brasil!C217="","",IFERROR(INDEX(Gamma_Catalogo!$C$3:$C$1451,MATCH(Brasil!E217,Gamma_Catalogo!$A$3:$A$1451,0)),"Revisar Ip Code"))</f>
        <v/>
      </c>
      <c r="N217" s="1" t="str">
        <f aca="false">IF(Brasil!C217="","",IFERROR(INDEX(Gamma_Catalogo!$E$3:$E$1451,MATCH(Brasil!E217,Gamma_Catalogo!$A$3:$A$1451,0)),"Revisar Ip Code"))</f>
        <v/>
      </c>
      <c r="O217" s="1" t="str">
        <f aca="false">IF(Brasil!C217="","","Brasil")</f>
        <v/>
      </c>
    </row>
    <row r="218" customFormat="false" ht="15" hidden="false" customHeight="true" outlineLevel="0" collapsed="false">
      <c r="A218" s="1" t="str">
        <f aca="false">IF(Brasil!C218="","",IFERROR(INDEX(Mercados!$C$2:$C$32,MATCH(Brasil!B218,Mercados!$A$2:$A$32,0)),"Revisar Tscode"))</f>
        <v/>
      </c>
      <c r="B218" s="1" t="str">
        <f aca="false">IF(Brasil!C218="","",Brasil!C218)</f>
        <v/>
      </c>
      <c r="C218" s="1" t="str">
        <f aca="false">IF(Brasil!C218="","",Brasil!A218)</f>
        <v/>
      </c>
      <c r="D218" s="1" t="str">
        <f aca="false">IF(Brasil!C218="","",Brasil!E218)</f>
        <v/>
      </c>
      <c r="E218" s="1" t="str">
        <f aca="false">IF(Brasil!C218="","",Brasil!F218)</f>
        <v/>
      </c>
      <c r="F218" s="1" t="str">
        <f aca="false">IF(Brasil!C218="","",Brasil!D218)</f>
        <v/>
      </c>
      <c r="I218" s="1" t="str">
        <f aca="false">IF(Brasil!C218="","",Brasil!H218)</f>
        <v/>
      </c>
      <c r="J218" s="1" t="str">
        <f aca="false">IF(Brasil!C218="","",Brasil!D218*Brasil!H218)</f>
        <v/>
      </c>
      <c r="K218" s="1" t="str">
        <f aca="false">IF(Brasil!C218="","","BR")</f>
        <v/>
      </c>
      <c r="L218" s="1" t="str">
        <f aca="false">IF(Brasil!C218="","",IFERROR(INDEX(Gamma_Catalogo!$D$3:$D$1451,MATCH(Brasil!E218,Gamma_Catalogo!$A$3:$A$1451,0)),"Revisar Ip Code"))</f>
        <v/>
      </c>
      <c r="M218" s="1" t="str">
        <f aca="false">IF(Brasil!C218="","",IFERROR(INDEX(Gamma_Catalogo!$C$3:$C$1451,MATCH(Brasil!E218,Gamma_Catalogo!$A$3:$A$1451,0)),"Revisar Ip Code"))</f>
        <v/>
      </c>
      <c r="N218" s="1" t="str">
        <f aca="false">IF(Brasil!C218="","",IFERROR(INDEX(Gamma_Catalogo!$E$3:$E$1451,MATCH(Brasil!E218,Gamma_Catalogo!$A$3:$A$1451,0)),"Revisar Ip Code"))</f>
        <v/>
      </c>
      <c r="O218" s="1" t="str">
        <f aca="false">IF(Brasil!C218="","","Brasil")</f>
        <v/>
      </c>
    </row>
    <row r="219" customFormat="false" ht="15" hidden="false" customHeight="true" outlineLevel="0" collapsed="false">
      <c r="A219" s="1" t="str">
        <f aca="false">IF(Brasil!C219="","",IFERROR(INDEX(Mercados!$C$2:$C$32,MATCH(Brasil!B219,Mercados!$A$2:$A$32,0)),"Revisar Tscode"))</f>
        <v/>
      </c>
      <c r="B219" s="1" t="str">
        <f aca="false">IF(Brasil!C219="","",Brasil!C219)</f>
        <v/>
      </c>
      <c r="C219" s="1" t="str">
        <f aca="false">IF(Brasil!C219="","",Brasil!A219)</f>
        <v/>
      </c>
      <c r="D219" s="1" t="str">
        <f aca="false">IF(Brasil!C219="","",Brasil!E219)</f>
        <v/>
      </c>
      <c r="E219" s="1" t="str">
        <f aca="false">IF(Brasil!C219="","",Brasil!F219)</f>
        <v/>
      </c>
      <c r="F219" s="1" t="str">
        <f aca="false">IF(Brasil!C219="","",Brasil!D219)</f>
        <v/>
      </c>
      <c r="I219" s="1" t="str">
        <f aca="false">IF(Brasil!C219="","",Brasil!H219)</f>
        <v/>
      </c>
      <c r="J219" s="1" t="str">
        <f aca="false">IF(Brasil!C219="","",Brasil!D219*Brasil!H219)</f>
        <v/>
      </c>
      <c r="K219" s="1" t="str">
        <f aca="false">IF(Brasil!C219="","","BR")</f>
        <v/>
      </c>
      <c r="L219" s="1" t="str">
        <f aca="false">IF(Brasil!C219="","",IFERROR(INDEX(Gamma_Catalogo!$D$3:$D$1451,MATCH(Brasil!E219,Gamma_Catalogo!$A$3:$A$1451,0)),"Revisar Ip Code"))</f>
        <v/>
      </c>
      <c r="M219" s="1" t="str">
        <f aca="false">IF(Brasil!C219="","",IFERROR(INDEX(Gamma_Catalogo!$C$3:$C$1451,MATCH(Brasil!E219,Gamma_Catalogo!$A$3:$A$1451,0)),"Revisar Ip Code"))</f>
        <v/>
      </c>
      <c r="N219" s="1" t="str">
        <f aca="false">IF(Brasil!C219="","",IFERROR(INDEX(Gamma_Catalogo!$E$3:$E$1451,MATCH(Brasil!E219,Gamma_Catalogo!$A$3:$A$1451,0)),"Revisar Ip Code"))</f>
        <v/>
      </c>
      <c r="O219" s="1" t="str">
        <f aca="false">IF(Brasil!C219="","","Brasil")</f>
        <v/>
      </c>
    </row>
    <row r="220" customFormat="false" ht="15" hidden="false" customHeight="true" outlineLevel="0" collapsed="false">
      <c r="A220" s="1" t="str">
        <f aca="false">IF(Brasil!C220="","",IFERROR(INDEX(Mercados!$C$2:$C$32,MATCH(Brasil!B220,Mercados!$A$2:$A$32,0)),"Revisar Tscode"))</f>
        <v/>
      </c>
      <c r="B220" s="1" t="str">
        <f aca="false">IF(Brasil!C220="","",Brasil!C220)</f>
        <v/>
      </c>
      <c r="C220" s="1" t="str">
        <f aca="false">IF(Brasil!C220="","",Brasil!A220)</f>
        <v/>
      </c>
      <c r="D220" s="1" t="str">
        <f aca="false">IF(Brasil!C220="","",Brasil!E220)</f>
        <v/>
      </c>
      <c r="E220" s="1" t="str">
        <f aca="false">IF(Brasil!C220="","",Brasil!F220)</f>
        <v/>
      </c>
      <c r="F220" s="1" t="str">
        <f aca="false">IF(Brasil!C220="","",Brasil!D220)</f>
        <v/>
      </c>
      <c r="I220" s="1" t="str">
        <f aca="false">IF(Brasil!C220="","",Brasil!H220)</f>
        <v/>
      </c>
      <c r="J220" s="1" t="str">
        <f aca="false">IF(Brasil!C220="","",Brasil!D220*Brasil!H220)</f>
        <v/>
      </c>
      <c r="K220" s="1" t="str">
        <f aca="false">IF(Brasil!C220="","","BR")</f>
        <v/>
      </c>
      <c r="L220" s="1" t="str">
        <f aca="false">IF(Brasil!C220="","",IFERROR(INDEX(Gamma_Catalogo!$D$3:$D$1451,MATCH(Brasil!E220,Gamma_Catalogo!$A$3:$A$1451,0)),"Revisar Ip Code"))</f>
        <v/>
      </c>
      <c r="M220" s="1" t="str">
        <f aca="false">IF(Brasil!C220="","",IFERROR(INDEX(Gamma_Catalogo!$C$3:$C$1451,MATCH(Brasil!E220,Gamma_Catalogo!$A$3:$A$1451,0)),"Revisar Ip Code"))</f>
        <v/>
      </c>
      <c r="N220" s="1" t="str">
        <f aca="false">IF(Brasil!C220="","",IFERROR(INDEX(Gamma_Catalogo!$E$3:$E$1451,MATCH(Brasil!E220,Gamma_Catalogo!$A$3:$A$1451,0)),"Revisar Ip Code"))</f>
        <v/>
      </c>
      <c r="O220" s="1" t="str">
        <f aca="false">IF(Brasil!C220="","","Brasil")</f>
        <v/>
      </c>
    </row>
    <row r="221" customFormat="false" ht="15" hidden="false" customHeight="true" outlineLevel="0" collapsed="false">
      <c r="A221" s="1" t="str">
        <f aca="false">IF(Brasil!C221="","",IFERROR(INDEX(Mercados!$C$2:$C$32,MATCH(Brasil!B221,Mercados!$A$2:$A$32,0)),"Revisar Tscode"))</f>
        <v/>
      </c>
      <c r="B221" s="1" t="str">
        <f aca="false">IF(Brasil!C221="","",Brasil!C221)</f>
        <v/>
      </c>
      <c r="C221" s="1" t="str">
        <f aca="false">IF(Brasil!C221="","",Brasil!A221)</f>
        <v/>
      </c>
      <c r="D221" s="1" t="str">
        <f aca="false">IF(Brasil!C221="","",Brasil!E221)</f>
        <v/>
      </c>
      <c r="E221" s="1" t="str">
        <f aca="false">IF(Brasil!C221="","",Brasil!F221)</f>
        <v/>
      </c>
      <c r="F221" s="1" t="str">
        <f aca="false">IF(Brasil!C221="","",Brasil!D221)</f>
        <v/>
      </c>
      <c r="I221" s="1" t="str">
        <f aca="false">IF(Brasil!C221="","",Brasil!H221)</f>
        <v/>
      </c>
      <c r="J221" s="1" t="str">
        <f aca="false">IF(Brasil!C221="","",Brasil!D221*Brasil!H221)</f>
        <v/>
      </c>
      <c r="K221" s="1" t="str">
        <f aca="false">IF(Brasil!C221="","","BR")</f>
        <v/>
      </c>
      <c r="L221" s="1" t="str">
        <f aca="false">IF(Brasil!C221="","",IFERROR(INDEX(Gamma_Catalogo!$D$3:$D$1451,MATCH(Brasil!E221,Gamma_Catalogo!$A$3:$A$1451,0)),"Revisar Ip Code"))</f>
        <v/>
      </c>
      <c r="M221" s="1" t="str">
        <f aca="false">IF(Brasil!C221="","",IFERROR(INDEX(Gamma_Catalogo!$C$3:$C$1451,MATCH(Brasil!E221,Gamma_Catalogo!$A$3:$A$1451,0)),"Revisar Ip Code"))</f>
        <v/>
      </c>
      <c r="N221" s="1" t="str">
        <f aca="false">IF(Brasil!C221="","",IFERROR(INDEX(Gamma_Catalogo!$E$3:$E$1451,MATCH(Brasil!E221,Gamma_Catalogo!$A$3:$A$1451,0)),"Revisar Ip Code"))</f>
        <v/>
      </c>
      <c r="O221" s="1" t="str">
        <f aca="false">IF(Brasil!C221="","","Brasil")</f>
        <v/>
      </c>
    </row>
    <row r="222" customFormat="false" ht="15" hidden="false" customHeight="true" outlineLevel="0" collapsed="false">
      <c r="A222" s="1" t="str">
        <f aca="false">IF(Brasil!C222="","",IFERROR(INDEX(Mercados!$C$2:$C$32,MATCH(Brasil!B222,Mercados!$A$2:$A$32,0)),"Revisar Tscode"))</f>
        <v/>
      </c>
      <c r="B222" s="1" t="str">
        <f aca="false">IF(Brasil!C222="","",Brasil!C222)</f>
        <v/>
      </c>
      <c r="C222" s="1" t="str">
        <f aca="false">IF(Brasil!C222="","",Brasil!A222)</f>
        <v/>
      </c>
      <c r="D222" s="1" t="str">
        <f aca="false">IF(Brasil!C222="","",Brasil!E222)</f>
        <v/>
      </c>
      <c r="E222" s="1" t="str">
        <f aca="false">IF(Brasil!C222="","",Brasil!F222)</f>
        <v/>
      </c>
      <c r="F222" s="1" t="str">
        <f aca="false">IF(Brasil!C222="","",Brasil!D222)</f>
        <v/>
      </c>
      <c r="I222" s="1" t="str">
        <f aca="false">IF(Brasil!C222="","",Brasil!H222)</f>
        <v/>
      </c>
      <c r="J222" s="1" t="str">
        <f aca="false">IF(Brasil!C222="","",Brasil!D222*Brasil!H222)</f>
        <v/>
      </c>
      <c r="K222" s="1" t="str">
        <f aca="false">IF(Brasil!C222="","","BR")</f>
        <v/>
      </c>
      <c r="L222" s="1" t="str">
        <f aca="false">IF(Brasil!C222="","",IFERROR(INDEX(Gamma_Catalogo!$D$3:$D$1451,MATCH(Brasil!E222,Gamma_Catalogo!$A$3:$A$1451,0)),"Revisar Ip Code"))</f>
        <v/>
      </c>
      <c r="M222" s="1" t="str">
        <f aca="false">IF(Brasil!C222="","",IFERROR(INDEX(Gamma_Catalogo!$C$3:$C$1451,MATCH(Brasil!E222,Gamma_Catalogo!$A$3:$A$1451,0)),"Revisar Ip Code"))</f>
        <v/>
      </c>
      <c r="N222" s="1" t="str">
        <f aca="false">IF(Brasil!C222="","",IFERROR(INDEX(Gamma_Catalogo!$E$3:$E$1451,MATCH(Brasil!E222,Gamma_Catalogo!$A$3:$A$1451,0)),"Revisar Ip Code"))</f>
        <v/>
      </c>
      <c r="O222" s="1" t="str">
        <f aca="false">IF(Brasil!C222="","","Brasil")</f>
        <v/>
      </c>
    </row>
    <row r="223" customFormat="false" ht="15" hidden="false" customHeight="true" outlineLevel="0" collapsed="false">
      <c r="A223" s="1" t="str">
        <f aca="false">IF(Brasil!C223="","",IFERROR(INDEX(Mercados!$C$2:$C$32,MATCH(Brasil!B223,Mercados!$A$2:$A$32,0)),"Revisar Tscode"))</f>
        <v/>
      </c>
      <c r="B223" s="1" t="str">
        <f aca="false">IF(Brasil!C223="","",Brasil!C223)</f>
        <v/>
      </c>
      <c r="C223" s="1" t="str">
        <f aca="false">IF(Brasil!C223="","",Brasil!A223)</f>
        <v/>
      </c>
      <c r="D223" s="1" t="str">
        <f aca="false">IF(Brasil!C223="","",Brasil!E223)</f>
        <v/>
      </c>
      <c r="E223" s="1" t="str">
        <f aca="false">IF(Brasil!C223="","",Brasil!F223)</f>
        <v/>
      </c>
      <c r="F223" s="1" t="str">
        <f aca="false">IF(Brasil!C223="","",Brasil!D223)</f>
        <v/>
      </c>
      <c r="I223" s="1" t="str">
        <f aca="false">IF(Brasil!C223="","",Brasil!H223)</f>
        <v/>
      </c>
      <c r="J223" s="1" t="str">
        <f aca="false">IF(Brasil!C223="","",Brasil!D223*Brasil!H223)</f>
        <v/>
      </c>
      <c r="K223" s="1" t="str">
        <f aca="false">IF(Brasil!C223="","","BR")</f>
        <v/>
      </c>
      <c r="L223" s="1" t="str">
        <f aca="false">IF(Brasil!C223="","",IFERROR(INDEX(Gamma_Catalogo!$D$3:$D$1451,MATCH(Brasil!E223,Gamma_Catalogo!$A$3:$A$1451,0)),"Revisar Ip Code"))</f>
        <v/>
      </c>
      <c r="M223" s="1" t="str">
        <f aca="false">IF(Brasil!C223="","",IFERROR(INDEX(Gamma_Catalogo!$C$3:$C$1451,MATCH(Brasil!E223,Gamma_Catalogo!$A$3:$A$1451,0)),"Revisar Ip Code"))</f>
        <v/>
      </c>
      <c r="N223" s="1" t="str">
        <f aca="false">IF(Brasil!C223="","",IFERROR(INDEX(Gamma_Catalogo!$E$3:$E$1451,MATCH(Brasil!E223,Gamma_Catalogo!$A$3:$A$1451,0)),"Revisar Ip Code"))</f>
        <v/>
      </c>
      <c r="O223" s="1" t="str">
        <f aca="false">IF(Brasil!C223="","","Brasil")</f>
        <v/>
      </c>
    </row>
    <row r="224" customFormat="false" ht="15" hidden="false" customHeight="true" outlineLevel="0" collapsed="false">
      <c r="A224" s="1" t="str">
        <f aca="false">IF(Brasil!C224="","",IFERROR(INDEX(Mercados!$C$2:$C$32,MATCH(Brasil!B224,Mercados!$A$2:$A$32,0)),"Revisar Tscode"))</f>
        <v/>
      </c>
      <c r="B224" s="1" t="str">
        <f aca="false">IF(Brasil!C224="","",Brasil!C224)</f>
        <v/>
      </c>
      <c r="C224" s="1" t="str">
        <f aca="false">IF(Brasil!C224="","",Brasil!A224)</f>
        <v/>
      </c>
      <c r="D224" s="1" t="str">
        <f aca="false">IF(Brasil!C224="","",Brasil!E224)</f>
        <v/>
      </c>
      <c r="E224" s="1" t="str">
        <f aca="false">IF(Brasil!C224="","",Brasil!F224)</f>
        <v/>
      </c>
      <c r="F224" s="1" t="str">
        <f aca="false">IF(Brasil!C224="","",Brasil!D224)</f>
        <v/>
      </c>
      <c r="I224" s="1" t="str">
        <f aca="false">IF(Brasil!C224="","",Brasil!H224)</f>
        <v/>
      </c>
      <c r="J224" s="1" t="str">
        <f aca="false">IF(Brasil!C224="","",Brasil!D224*Brasil!H224)</f>
        <v/>
      </c>
      <c r="K224" s="1" t="str">
        <f aca="false">IF(Brasil!C224="","","BR")</f>
        <v/>
      </c>
      <c r="L224" s="1" t="str">
        <f aca="false">IF(Brasil!C224="","",IFERROR(INDEX(Gamma_Catalogo!$D$3:$D$1451,MATCH(Brasil!E224,Gamma_Catalogo!$A$3:$A$1451,0)),"Revisar Ip Code"))</f>
        <v/>
      </c>
      <c r="M224" s="1" t="str">
        <f aca="false">IF(Brasil!C224="","",IFERROR(INDEX(Gamma_Catalogo!$C$3:$C$1451,MATCH(Brasil!E224,Gamma_Catalogo!$A$3:$A$1451,0)),"Revisar Ip Code"))</f>
        <v/>
      </c>
      <c r="N224" s="1" t="str">
        <f aca="false">IF(Brasil!C224="","",IFERROR(INDEX(Gamma_Catalogo!$E$3:$E$1451,MATCH(Brasil!E224,Gamma_Catalogo!$A$3:$A$1451,0)),"Revisar Ip Code"))</f>
        <v/>
      </c>
      <c r="O224" s="1" t="str">
        <f aca="false">IF(Brasil!C224="","","Brasil")</f>
        <v/>
      </c>
    </row>
    <row r="225" customFormat="false" ht="15" hidden="false" customHeight="true" outlineLevel="0" collapsed="false">
      <c r="A225" s="1" t="str">
        <f aca="false">IF(Brasil!C225="","",IFERROR(INDEX(Mercados!$C$2:$C$32,MATCH(Brasil!B225,Mercados!$A$2:$A$32,0)),"Revisar Tscode"))</f>
        <v/>
      </c>
      <c r="B225" s="1" t="str">
        <f aca="false">IF(Brasil!C225="","",Brasil!C225)</f>
        <v/>
      </c>
      <c r="C225" s="1" t="str">
        <f aca="false">IF(Brasil!C225="","",Brasil!A225)</f>
        <v/>
      </c>
      <c r="D225" s="1" t="str">
        <f aca="false">IF(Brasil!C225="","",Brasil!E225)</f>
        <v/>
      </c>
      <c r="E225" s="1" t="str">
        <f aca="false">IF(Brasil!C225="","",Brasil!F225)</f>
        <v/>
      </c>
      <c r="F225" s="1" t="str">
        <f aca="false">IF(Brasil!C225="","",Brasil!D225)</f>
        <v/>
      </c>
      <c r="I225" s="1" t="str">
        <f aca="false">IF(Brasil!C225="","",Brasil!H225)</f>
        <v/>
      </c>
      <c r="J225" s="1" t="str">
        <f aca="false">IF(Brasil!C225="","",Brasil!D225*Brasil!H225)</f>
        <v/>
      </c>
      <c r="K225" s="1" t="str">
        <f aca="false">IF(Brasil!C225="","","BR")</f>
        <v/>
      </c>
      <c r="L225" s="1" t="str">
        <f aca="false">IF(Brasil!C225="","",IFERROR(INDEX(Gamma_Catalogo!$D$3:$D$1451,MATCH(Brasil!E225,Gamma_Catalogo!$A$3:$A$1451,0)),"Revisar Ip Code"))</f>
        <v/>
      </c>
      <c r="M225" s="1" t="str">
        <f aca="false">IF(Brasil!C225="","",IFERROR(INDEX(Gamma_Catalogo!$C$3:$C$1451,MATCH(Brasil!E225,Gamma_Catalogo!$A$3:$A$1451,0)),"Revisar Ip Code"))</f>
        <v/>
      </c>
      <c r="N225" s="1" t="str">
        <f aca="false">IF(Brasil!C225="","",IFERROR(INDEX(Gamma_Catalogo!$E$3:$E$1451,MATCH(Brasil!E225,Gamma_Catalogo!$A$3:$A$1451,0)),"Revisar Ip Code"))</f>
        <v/>
      </c>
      <c r="O225" s="1" t="str">
        <f aca="false">IF(Brasil!C225="","","Brasil")</f>
        <v/>
      </c>
    </row>
    <row r="226" customFormat="false" ht="15" hidden="false" customHeight="true" outlineLevel="0" collapsed="false">
      <c r="A226" s="1" t="str">
        <f aca="false">IF(Brasil!C226="","",IFERROR(INDEX(Mercados!$C$2:$C$32,MATCH(Brasil!B226,Mercados!$A$2:$A$32,0)),"Revisar Tscode"))</f>
        <v/>
      </c>
      <c r="B226" s="1" t="str">
        <f aca="false">IF(Brasil!C226="","",Brasil!C226)</f>
        <v/>
      </c>
      <c r="C226" s="1" t="str">
        <f aca="false">IF(Brasil!C226="","",Brasil!A226)</f>
        <v/>
      </c>
      <c r="D226" s="1" t="str">
        <f aca="false">IF(Brasil!C226="","",Brasil!E226)</f>
        <v/>
      </c>
      <c r="E226" s="1" t="str">
        <f aca="false">IF(Brasil!C226="","",Brasil!F226)</f>
        <v/>
      </c>
      <c r="F226" s="1" t="str">
        <f aca="false">IF(Brasil!C226="","",Brasil!D226)</f>
        <v/>
      </c>
      <c r="I226" s="1" t="str">
        <f aca="false">IF(Brasil!C226="","",Brasil!H226)</f>
        <v/>
      </c>
      <c r="J226" s="1" t="str">
        <f aca="false">IF(Brasil!C226="","",Brasil!D226*Brasil!H226)</f>
        <v/>
      </c>
      <c r="K226" s="1" t="str">
        <f aca="false">IF(Brasil!C226="","","BR")</f>
        <v/>
      </c>
      <c r="L226" s="1" t="str">
        <f aca="false">IF(Brasil!C226="","",IFERROR(INDEX(Gamma_Catalogo!$D$3:$D$1451,MATCH(Brasil!E226,Gamma_Catalogo!$A$3:$A$1451,0)),"Revisar Ip Code"))</f>
        <v/>
      </c>
      <c r="M226" s="1" t="str">
        <f aca="false">IF(Brasil!C226="","",IFERROR(INDEX(Gamma_Catalogo!$C$3:$C$1451,MATCH(Brasil!E226,Gamma_Catalogo!$A$3:$A$1451,0)),"Revisar Ip Code"))</f>
        <v/>
      </c>
      <c r="N226" s="1" t="str">
        <f aca="false">IF(Brasil!C226="","",IFERROR(INDEX(Gamma_Catalogo!$E$3:$E$1451,MATCH(Brasil!E226,Gamma_Catalogo!$A$3:$A$1451,0)),"Revisar Ip Code"))</f>
        <v/>
      </c>
      <c r="O226" s="1" t="str">
        <f aca="false">IF(Brasil!C226="","","Brasil")</f>
        <v/>
      </c>
    </row>
    <row r="227" customFormat="false" ht="15" hidden="false" customHeight="true" outlineLevel="0" collapsed="false">
      <c r="A227" s="1" t="str">
        <f aca="false">IF(Brasil!C227="","",IFERROR(INDEX(Mercados!$C$2:$C$32,MATCH(Brasil!B227,Mercados!$A$2:$A$32,0)),"Revisar Tscode"))</f>
        <v/>
      </c>
      <c r="B227" s="1" t="str">
        <f aca="false">IF(Brasil!C227="","",Brasil!C227)</f>
        <v/>
      </c>
      <c r="C227" s="1" t="str">
        <f aca="false">IF(Brasil!C227="","",Brasil!A227)</f>
        <v/>
      </c>
      <c r="D227" s="1" t="str">
        <f aca="false">IF(Brasil!C227="","",Brasil!E227)</f>
        <v/>
      </c>
      <c r="E227" s="1" t="str">
        <f aca="false">IF(Brasil!C227="","",Brasil!F227)</f>
        <v/>
      </c>
      <c r="F227" s="1" t="str">
        <f aca="false">IF(Brasil!C227="","",Brasil!D227)</f>
        <v/>
      </c>
      <c r="I227" s="1" t="str">
        <f aca="false">IF(Brasil!C227="","",Brasil!H227)</f>
        <v/>
      </c>
      <c r="J227" s="1" t="str">
        <f aca="false">IF(Brasil!C227="","",Brasil!D227*Brasil!H227)</f>
        <v/>
      </c>
      <c r="K227" s="1" t="str">
        <f aca="false">IF(Brasil!C227="","","BR")</f>
        <v/>
      </c>
      <c r="L227" s="1" t="str">
        <f aca="false">IF(Brasil!C227="","",IFERROR(INDEX(Gamma_Catalogo!$D$3:$D$1451,MATCH(Brasil!E227,Gamma_Catalogo!$A$3:$A$1451,0)),"Revisar Ip Code"))</f>
        <v/>
      </c>
      <c r="M227" s="1" t="str">
        <f aca="false">IF(Brasil!C227="","",IFERROR(INDEX(Gamma_Catalogo!$C$3:$C$1451,MATCH(Brasil!E227,Gamma_Catalogo!$A$3:$A$1451,0)),"Revisar Ip Code"))</f>
        <v/>
      </c>
      <c r="N227" s="1" t="str">
        <f aca="false">IF(Brasil!C227="","",IFERROR(INDEX(Gamma_Catalogo!$E$3:$E$1451,MATCH(Brasil!E227,Gamma_Catalogo!$A$3:$A$1451,0)),"Revisar Ip Code"))</f>
        <v/>
      </c>
      <c r="O227" s="1" t="str">
        <f aca="false">IF(Brasil!C227="","","Brasil")</f>
        <v/>
      </c>
    </row>
    <row r="228" customFormat="false" ht="15" hidden="false" customHeight="true" outlineLevel="0" collapsed="false">
      <c r="A228" s="1" t="str">
        <f aca="false">IF(Brasil!C228="","",IFERROR(INDEX(Mercados!$C$2:$C$32,MATCH(Brasil!B228,Mercados!$A$2:$A$32,0)),"Revisar Tscode"))</f>
        <v/>
      </c>
      <c r="B228" s="1" t="str">
        <f aca="false">IF(Brasil!C228="","",Brasil!C228)</f>
        <v/>
      </c>
      <c r="C228" s="1" t="str">
        <f aca="false">IF(Brasil!C228="","",Brasil!A228)</f>
        <v/>
      </c>
      <c r="D228" s="1" t="str">
        <f aca="false">IF(Brasil!C228="","",Brasil!E228)</f>
        <v/>
      </c>
      <c r="E228" s="1" t="str">
        <f aca="false">IF(Brasil!C228="","",Brasil!F228)</f>
        <v/>
      </c>
      <c r="F228" s="1" t="str">
        <f aca="false">IF(Brasil!C228="","",Brasil!D228)</f>
        <v/>
      </c>
      <c r="I228" s="1" t="str">
        <f aca="false">IF(Brasil!C228="","",Brasil!H228)</f>
        <v/>
      </c>
      <c r="J228" s="1" t="str">
        <f aca="false">IF(Brasil!C228="","",Brasil!D228*Brasil!H228)</f>
        <v/>
      </c>
      <c r="K228" s="1" t="str">
        <f aca="false">IF(Brasil!C228="","","BR")</f>
        <v/>
      </c>
      <c r="L228" s="1" t="str">
        <f aca="false">IF(Brasil!C228="","",IFERROR(INDEX(Gamma_Catalogo!$D$3:$D$1451,MATCH(Brasil!E228,Gamma_Catalogo!$A$3:$A$1451,0)),"Revisar Ip Code"))</f>
        <v/>
      </c>
      <c r="M228" s="1" t="str">
        <f aca="false">IF(Brasil!C228="","",IFERROR(INDEX(Gamma_Catalogo!$C$3:$C$1451,MATCH(Brasil!E228,Gamma_Catalogo!$A$3:$A$1451,0)),"Revisar Ip Code"))</f>
        <v/>
      </c>
      <c r="N228" s="1" t="str">
        <f aca="false">IF(Brasil!C228="","",IFERROR(INDEX(Gamma_Catalogo!$E$3:$E$1451,MATCH(Brasil!E228,Gamma_Catalogo!$A$3:$A$1451,0)),"Revisar Ip Code"))</f>
        <v/>
      </c>
      <c r="O228" s="1" t="str">
        <f aca="false">IF(Brasil!C228="","","Brasil")</f>
        <v/>
      </c>
    </row>
    <row r="229" customFormat="false" ht="15" hidden="false" customHeight="true" outlineLevel="0" collapsed="false">
      <c r="A229" s="1" t="str">
        <f aca="false">IF(Brasil!C229="","",IFERROR(INDEX(Mercados!$C$2:$C$32,MATCH(Brasil!B229,Mercados!$A$2:$A$32,0)),"Revisar Tscode"))</f>
        <v/>
      </c>
      <c r="B229" s="1" t="str">
        <f aca="false">IF(Brasil!C229="","",Brasil!C229)</f>
        <v/>
      </c>
      <c r="C229" s="1" t="str">
        <f aca="false">IF(Brasil!C229="","",Brasil!A229)</f>
        <v/>
      </c>
      <c r="D229" s="1" t="str">
        <f aca="false">IF(Brasil!C229="","",Brasil!E229)</f>
        <v/>
      </c>
      <c r="E229" s="1" t="str">
        <f aca="false">IF(Brasil!C229="","",Brasil!F229)</f>
        <v/>
      </c>
      <c r="F229" s="1" t="str">
        <f aca="false">IF(Brasil!C229="","",Brasil!D229)</f>
        <v/>
      </c>
      <c r="I229" s="1" t="str">
        <f aca="false">IF(Brasil!C229="","",Brasil!H229)</f>
        <v/>
      </c>
      <c r="J229" s="1" t="str">
        <f aca="false">IF(Brasil!C229="","",Brasil!D229*Brasil!H229)</f>
        <v/>
      </c>
      <c r="K229" s="1" t="str">
        <f aca="false">IF(Brasil!C229="","","BR")</f>
        <v/>
      </c>
      <c r="L229" s="1" t="str">
        <f aca="false">IF(Brasil!C229="","",IFERROR(INDEX(Gamma_Catalogo!$D$3:$D$1451,MATCH(Brasil!E229,Gamma_Catalogo!$A$3:$A$1451,0)),"Revisar Ip Code"))</f>
        <v/>
      </c>
      <c r="M229" s="1" t="str">
        <f aca="false">IF(Brasil!C229="","",IFERROR(INDEX(Gamma_Catalogo!$C$3:$C$1451,MATCH(Brasil!E229,Gamma_Catalogo!$A$3:$A$1451,0)),"Revisar Ip Code"))</f>
        <v/>
      </c>
      <c r="N229" s="1" t="str">
        <f aca="false">IF(Brasil!C229="","",IFERROR(INDEX(Gamma_Catalogo!$E$3:$E$1451,MATCH(Brasil!E229,Gamma_Catalogo!$A$3:$A$1451,0)),"Revisar Ip Code"))</f>
        <v/>
      </c>
      <c r="O229" s="1" t="str">
        <f aca="false">IF(Brasil!C229="","","Brasil")</f>
        <v/>
      </c>
    </row>
    <row r="230" customFormat="false" ht="15" hidden="false" customHeight="true" outlineLevel="0" collapsed="false">
      <c r="A230" s="1" t="str">
        <f aca="false">IF(Brasil!C230="","",IFERROR(INDEX(Mercados!$C$2:$C$32,MATCH(Brasil!B230,Mercados!$A$2:$A$32,0)),"Revisar Tscode"))</f>
        <v/>
      </c>
      <c r="B230" s="1" t="str">
        <f aca="false">IF(Brasil!C230="","",Brasil!C230)</f>
        <v/>
      </c>
      <c r="C230" s="1" t="str">
        <f aca="false">IF(Brasil!C230="","",Brasil!A230)</f>
        <v/>
      </c>
      <c r="D230" s="1" t="str">
        <f aca="false">IF(Brasil!C230="","",Brasil!E230)</f>
        <v/>
      </c>
      <c r="E230" s="1" t="str">
        <f aca="false">IF(Brasil!C230="","",Brasil!F230)</f>
        <v/>
      </c>
      <c r="F230" s="1" t="str">
        <f aca="false">IF(Brasil!C230="","",Brasil!D230)</f>
        <v/>
      </c>
      <c r="I230" s="1" t="str">
        <f aca="false">IF(Brasil!C230="","",Brasil!H230)</f>
        <v/>
      </c>
      <c r="J230" s="1" t="str">
        <f aca="false">IF(Brasil!C230="","",Brasil!D230*Brasil!H230)</f>
        <v/>
      </c>
      <c r="K230" s="1" t="str">
        <f aca="false">IF(Brasil!C230="","","BR")</f>
        <v/>
      </c>
      <c r="L230" s="1" t="str">
        <f aca="false">IF(Brasil!C230="","",IFERROR(INDEX(Gamma_Catalogo!$D$3:$D$1451,MATCH(Brasil!E230,Gamma_Catalogo!$A$3:$A$1451,0)),"Revisar Ip Code"))</f>
        <v/>
      </c>
      <c r="M230" s="1" t="str">
        <f aca="false">IF(Brasil!C230="","",IFERROR(INDEX(Gamma_Catalogo!$C$3:$C$1451,MATCH(Brasil!E230,Gamma_Catalogo!$A$3:$A$1451,0)),"Revisar Ip Code"))</f>
        <v/>
      </c>
      <c r="N230" s="1" t="str">
        <f aca="false">IF(Brasil!C230="","",IFERROR(INDEX(Gamma_Catalogo!$E$3:$E$1451,MATCH(Brasil!E230,Gamma_Catalogo!$A$3:$A$1451,0)),"Revisar Ip Code"))</f>
        <v/>
      </c>
      <c r="O230" s="1" t="str">
        <f aca="false">IF(Brasil!C230="","","Brasil")</f>
        <v/>
      </c>
    </row>
    <row r="231" customFormat="false" ht="15" hidden="false" customHeight="true" outlineLevel="0" collapsed="false">
      <c r="A231" s="1" t="str">
        <f aca="false">IF(Brasil!C231="","",IFERROR(INDEX(Mercados!$C$2:$C$32,MATCH(Brasil!B231,Mercados!$A$2:$A$32,0)),"Revisar Tscode"))</f>
        <v/>
      </c>
      <c r="B231" s="1" t="str">
        <f aca="false">IF(Brasil!C231="","",Brasil!C231)</f>
        <v/>
      </c>
      <c r="C231" s="1" t="str">
        <f aca="false">IF(Brasil!C231="","",Brasil!A231)</f>
        <v/>
      </c>
      <c r="D231" s="1" t="str">
        <f aca="false">IF(Brasil!C231="","",Brasil!E231)</f>
        <v/>
      </c>
      <c r="E231" s="1" t="str">
        <f aca="false">IF(Brasil!C231="","",Brasil!F231)</f>
        <v/>
      </c>
      <c r="F231" s="1" t="str">
        <f aca="false">IF(Brasil!C231="","",Brasil!D231)</f>
        <v/>
      </c>
      <c r="I231" s="1" t="str">
        <f aca="false">IF(Brasil!C231="","",Brasil!H231)</f>
        <v/>
      </c>
      <c r="J231" s="1" t="str">
        <f aca="false">IF(Brasil!C231="","",Brasil!D231*Brasil!H231)</f>
        <v/>
      </c>
      <c r="K231" s="1" t="str">
        <f aca="false">IF(Brasil!C231="","","BR")</f>
        <v/>
      </c>
      <c r="L231" s="1" t="str">
        <f aca="false">IF(Brasil!C231="","",IFERROR(INDEX(Gamma_Catalogo!$D$3:$D$1451,MATCH(Brasil!E231,Gamma_Catalogo!$A$3:$A$1451,0)),"Revisar Ip Code"))</f>
        <v/>
      </c>
      <c r="M231" s="1" t="str">
        <f aca="false">IF(Brasil!C231="","",IFERROR(INDEX(Gamma_Catalogo!$C$3:$C$1451,MATCH(Brasil!E231,Gamma_Catalogo!$A$3:$A$1451,0)),"Revisar Ip Code"))</f>
        <v/>
      </c>
      <c r="N231" s="1" t="str">
        <f aca="false">IF(Brasil!C231="","",IFERROR(INDEX(Gamma_Catalogo!$E$3:$E$1451,MATCH(Brasil!E231,Gamma_Catalogo!$A$3:$A$1451,0)),"Revisar Ip Code"))</f>
        <v/>
      </c>
      <c r="O231" s="1" t="str">
        <f aca="false">IF(Brasil!C231="","","Brasil")</f>
        <v/>
      </c>
    </row>
    <row r="232" customFormat="false" ht="15" hidden="false" customHeight="true" outlineLevel="0" collapsed="false">
      <c r="A232" s="1" t="str">
        <f aca="false">IF(Brasil!C232="","",IFERROR(INDEX(Mercados!$C$2:$C$32,MATCH(Brasil!B232,Mercados!$A$2:$A$32,0)),"Revisar Tscode"))</f>
        <v/>
      </c>
      <c r="B232" s="1" t="str">
        <f aca="false">IF(Brasil!C232="","",Brasil!C232)</f>
        <v/>
      </c>
      <c r="C232" s="1" t="str">
        <f aca="false">IF(Brasil!C232="","",Brasil!A232)</f>
        <v/>
      </c>
      <c r="D232" s="1" t="str">
        <f aca="false">IF(Brasil!C232="","",Brasil!E232)</f>
        <v/>
      </c>
      <c r="E232" s="1" t="str">
        <f aca="false">IF(Brasil!C232="","",Brasil!F232)</f>
        <v/>
      </c>
      <c r="F232" s="1" t="str">
        <f aca="false">IF(Brasil!C232="","",Brasil!D232)</f>
        <v/>
      </c>
      <c r="I232" s="1" t="str">
        <f aca="false">IF(Brasil!C232="","",Brasil!H232)</f>
        <v/>
      </c>
      <c r="J232" s="1" t="str">
        <f aca="false">IF(Brasil!C232="","",Brasil!D232*Brasil!H232)</f>
        <v/>
      </c>
      <c r="K232" s="1" t="str">
        <f aca="false">IF(Brasil!C232="","","BR")</f>
        <v/>
      </c>
      <c r="L232" s="1" t="str">
        <f aca="false">IF(Brasil!C232="","",IFERROR(INDEX(Gamma_Catalogo!$D$3:$D$1451,MATCH(Brasil!E232,Gamma_Catalogo!$A$3:$A$1451,0)),"Revisar Ip Code"))</f>
        <v/>
      </c>
      <c r="M232" s="1" t="str">
        <f aca="false">IF(Brasil!C232="","",IFERROR(INDEX(Gamma_Catalogo!$C$3:$C$1451,MATCH(Brasil!E232,Gamma_Catalogo!$A$3:$A$1451,0)),"Revisar Ip Code"))</f>
        <v/>
      </c>
      <c r="N232" s="1" t="str">
        <f aca="false">IF(Brasil!C232="","",IFERROR(INDEX(Gamma_Catalogo!$E$3:$E$1451,MATCH(Brasil!E232,Gamma_Catalogo!$A$3:$A$1451,0)),"Revisar Ip Code"))</f>
        <v/>
      </c>
      <c r="O232" s="1" t="str">
        <f aca="false">IF(Brasil!C232="","","Brasil")</f>
        <v/>
      </c>
    </row>
    <row r="233" customFormat="false" ht="15" hidden="false" customHeight="true" outlineLevel="0" collapsed="false">
      <c r="A233" s="1" t="str">
        <f aca="false">IF(Brasil!C233="","",IFERROR(INDEX(Mercados!$C$2:$C$32,MATCH(Brasil!B233,Mercados!$A$2:$A$32,0)),"Revisar Tscode"))</f>
        <v/>
      </c>
      <c r="B233" s="1" t="str">
        <f aca="false">IF(Brasil!C233="","",Brasil!C233)</f>
        <v/>
      </c>
      <c r="C233" s="1" t="str">
        <f aca="false">IF(Brasil!C233="","",Brasil!A233)</f>
        <v/>
      </c>
      <c r="D233" s="1" t="str">
        <f aca="false">IF(Brasil!C233="","",Brasil!E233)</f>
        <v/>
      </c>
      <c r="E233" s="1" t="str">
        <f aca="false">IF(Brasil!C233="","",Brasil!F233)</f>
        <v/>
      </c>
      <c r="F233" s="1" t="str">
        <f aca="false">IF(Brasil!C233="","",Brasil!D233)</f>
        <v/>
      </c>
      <c r="I233" s="1" t="str">
        <f aca="false">IF(Brasil!C233="","",Brasil!H233)</f>
        <v/>
      </c>
      <c r="J233" s="1" t="str">
        <f aca="false">IF(Brasil!C233="","",Brasil!D233*Brasil!H233)</f>
        <v/>
      </c>
      <c r="K233" s="1" t="str">
        <f aca="false">IF(Brasil!C233="","","BR")</f>
        <v/>
      </c>
      <c r="L233" s="1" t="str">
        <f aca="false">IF(Brasil!C233="","",IFERROR(INDEX(Gamma_Catalogo!$D$3:$D$1451,MATCH(Brasil!E233,Gamma_Catalogo!$A$3:$A$1451,0)),"Revisar Ip Code"))</f>
        <v/>
      </c>
      <c r="M233" s="1" t="str">
        <f aca="false">IF(Brasil!C233="","",IFERROR(INDEX(Gamma_Catalogo!$C$3:$C$1451,MATCH(Brasil!E233,Gamma_Catalogo!$A$3:$A$1451,0)),"Revisar Ip Code"))</f>
        <v/>
      </c>
      <c r="N233" s="1" t="str">
        <f aca="false">IF(Brasil!C233="","",IFERROR(INDEX(Gamma_Catalogo!$E$3:$E$1451,MATCH(Brasil!E233,Gamma_Catalogo!$A$3:$A$1451,0)),"Revisar Ip Code"))</f>
        <v/>
      </c>
      <c r="O233" s="1" t="str">
        <f aca="false">IF(Brasil!C233="","","Brasil")</f>
        <v/>
      </c>
    </row>
    <row r="234" customFormat="false" ht="15" hidden="false" customHeight="true" outlineLevel="0" collapsed="false">
      <c r="A234" s="1" t="str">
        <f aca="false">IF(Brasil!C234="","",IFERROR(INDEX(Mercados!$C$2:$C$32,MATCH(Brasil!B234,Mercados!$A$2:$A$32,0)),"Revisar Tscode"))</f>
        <v/>
      </c>
      <c r="B234" s="1" t="str">
        <f aca="false">IF(Brasil!C234="","",Brasil!C234)</f>
        <v/>
      </c>
      <c r="C234" s="1" t="str">
        <f aca="false">IF(Brasil!C234="","",Brasil!A234)</f>
        <v/>
      </c>
      <c r="D234" s="1" t="str">
        <f aca="false">IF(Brasil!C234="","",Brasil!E234)</f>
        <v/>
      </c>
      <c r="E234" s="1" t="str">
        <f aca="false">IF(Brasil!C234="","",Brasil!F234)</f>
        <v/>
      </c>
      <c r="F234" s="1" t="str">
        <f aca="false">IF(Brasil!C234="","",Brasil!D234)</f>
        <v/>
      </c>
      <c r="I234" s="1" t="str">
        <f aca="false">IF(Brasil!C234="","",Brasil!H234)</f>
        <v/>
      </c>
      <c r="J234" s="1" t="str">
        <f aca="false">IF(Brasil!C234="","",Brasil!D234*Brasil!H234)</f>
        <v/>
      </c>
      <c r="K234" s="1" t="str">
        <f aca="false">IF(Brasil!C234="","","BR")</f>
        <v/>
      </c>
      <c r="L234" s="1" t="str">
        <f aca="false">IF(Brasil!C234="","",IFERROR(INDEX(Gamma_Catalogo!$D$3:$D$1451,MATCH(Brasil!E234,Gamma_Catalogo!$A$3:$A$1451,0)),"Revisar Ip Code"))</f>
        <v/>
      </c>
      <c r="M234" s="1" t="str">
        <f aca="false">IF(Brasil!C234="","",IFERROR(INDEX(Gamma_Catalogo!$C$3:$C$1451,MATCH(Brasil!E234,Gamma_Catalogo!$A$3:$A$1451,0)),"Revisar Ip Code"))</f>
        <v/>
      </c>
      <c r="N234" s="1" t="str">
        <f aca="false">IF(Brasil!C234="","",IFERROR(INDEX(Gamma_Catalogo!$E$3:$E$1451,MATCH(Brasil!E234,Gamma_Catalogo!$A$3:$A$1451,0)),"Revisar Ip Code"))</f>
        <v/>
      </c>
      <c r="O234" s="1" t="str">
        <f aca="false">IF(Brasil!C234="","","Brasil")</f>
        <v/>
      </c>
    </row>
    <row r="235" customFormat="false" ht="15" hidden="false" customHeight="true" outlineLevel="0" collapsed="false">
      <c r="A235" s="1" t="str">
        <f aca="false">IF(Brasil!C235="","",IFERROR(INDEX(Mercados!$C$2:$C$32,MATCH(Brasil!B235,Mercados!$A$2:$A$32,0)),"Revisar Tscode"))</f>
        <v/>
      </c>
      <c r="B235" s="1" t="str">
        <f aca="false">IF(Brasil!C235="","",Brasil!C235)</f>
        <v/>
      </c>
      <c r="C235" s="1" t="str">
        <f aca="false">IF(Brasil!C235="","",Brasil!A235)</f>
        <v/>
      </c>
      <c r="D235" s="1" t="str">
        <f aca="false">IF(Brasil!C235="","",Brasil!E235)</f>
        <v/>
      </c>
      <c r="E235" s="1" t="str">
        <f aca="false">IF(Brasil!C235="","",Brasil!F235)</f>
        <v/>
      </c>
      <c r="F235" s="1" t="str">
        <f aca="false">IF(Brasil!C235="","",Brasil!D235)</f>
        <v/>
      </c>
      <c r="I235" s="1" t="str">
        <f aca="false">IF(Brasil!C235="","",Brasil!H235)</f>
        <v/>
      </c>
      <c r="J235" s="1" t="str">
        <f aca="false">IF(Brasil!C235="","",Brasil!D235*Brasil!H235)</f>
        <v/>
      </c>
      <c r="K235" s="1" t="str">
        <f aca="false">IF(Brasil!C235="","","BR")</f>
        <v/>
      </c>
      <c r="L235" s="1" t="str">
        <f aca="false">IF(Brasil!C235="","",IFERROR(INDEX(Gamma_Catalogo!$D$3:$D$1451,MATCH(Brasil!E235,Gamma_Catalogo!$A$3:$A$1451,0)),"Revisar Ip Code"))</f>
        <v/>
      </c>
      <c r="M235" s="1" t="str">
        <f aca="false">IF(Brasil!C235="","",IFERROR(INDEX(Gamma_Catalogo!$C$3:$C$1451,MATCH(Brasil!E235,Gamma_Catalogo!$A$3:$A$1451,0)),"Revisar Ip Code"))</f>
        <v/>
      </c>
      <c r="N235" s="1" t="str">
        <f aca="false">IF(Brasil!C235="","",IFERROR(INDEX(Gamma_Catalogo!$E$3:$E$1451,MATCH(Brasil!E235,Gamma_Catalogo!$A$3:$A$1451,0)),"Revisar Ip Code"))</f>
        <v/>
      </c>
      <c r="O235" s="1" t="str">
        <f aca="false">IF(Brasil!C235="","","Brasil")</f>
        <v/>
      </c>
    </row>
    <row r="236" customFormat="false" ht="15" hidden="false" customHeight="true" outlineLevel="0" collapsed="false">
      <c r="A236" s="1" t="str">
        <f aca="false">IF(Brasil!C236="","",IFERROR(INDEX(Mercados!$C$2:$C$32,MATCH(Brasil!B236,Mercados!$A$2:$A$32,0)),"Revisar Tscode"))</f>
        <v/>
      </c>
      <c r="B236" s="1" t="str">
        <f aca="false">IF(Brasil!C236="","",Brasil!C236)</f>
        <v/>
      </c>
      <c r="C236" s="1" t="str">
        <f aca="false">IF(Brasil!C236="","",Brasil!A236)</f>
        <v/>
      </c>
      <c r="D236" s="1" t="str">
        <f aca="false">IF(Brasil!C236="","",Brasil!E236)</f>
        <v/>
      </c>
      <c r="E236" s="1" t="str">
        <f aca="false">IF(Brasil!C236="","",Brasil!F236)</f>
        <v/>
      </c>
      <c r="F236" s="1" t="str">
        <f aca="false">IF(Brasil!C236="","",Brasil!D236)</f>
        <v/>
      </c>
      <c r="I236" s="1" t="str">
        <f aca="false">IF(Brasil!C236="","",Brasil!H236)</f>
        <v/>
      </c>
      <c r="J236" s="1" t="str">
        <f aca="false">IF(Brasil!C236="","",Brasil!D236*Brasil!H236)</f>
        <v/>
      </c>
      <c r="K236" s="1" t="str">
        <f aca="false">IF(Brasil!C236="","","BR")</f>
        <v/>
      </c>
      <c r="L236" s="1" t="str">
        <f aca="false">IF(Brasil!C236="","",IFERROR(INDEX(Gamma_Catalogo!$D$3:$D$1451,MATCH(Brasil!E236,Gamma_Catalogo!$A$3:$A$1451,0)),"Revisar Ip Code"))</f>
        <v/>
      </c>
      <c r="M236" s="1" t="str">
        <f aca="false">IF(Brasil!C236="","",IFERROR(INDEX(Gamma_Catalogo!$C$3:$C$1451,MATCH(Brasil!E236,Gamma_Catalogo!$A$3:$A$1451,0)),"Revisar Ip Code"))</f>
        <v/>
      </c>
      <c r="N236" s="1" t="str">
        <f aca="false">IF(Brasil!C236="","",IFERROR(INDEX(Gamma_Catalogo!$E$3:$E$1451,MATCH(Brasil!E236,Gamma_Catalogo!$A$3:$A$1451,0)),"Revisar Ip Code"))</f>
        <v/>
      </c>
      <c r="O236" s="1" t="str">
        <f aca="false">IF(Brasil!C236="","","Brasil")</f>
        <v/>
      </c>
    </row>
    <row r="237" customFormat="false" ht="15" hidden="false" customHeight="true" outlineLevel="0" collapsed="false">
      <c r="A237" s="1" t="str">
        <f aca="false">IF(Brasil!C237="","",IFERROR(INDEX(Mercados!$C$2:$C$32,MATCH(Brasil!B237,Mercados!$A$2:$A$32,0)),"Revisar Tscode"))</f>
        <v/>
      </c>
      <c r="B237" s="1" t="str">
        <f aca="false">IF(Brasil!C237="","",Brasil!C237)</f>
        <v/>
      </c>
      <c r="C237" s="1" t="str">
        <f aca="false">IF(Brasil!C237="","",Brasil!A237)</f>
        <v/>
      </c>
      <c r="D237" s="1" t="str">
        <f aca="false">IF(Brasil!C237="","",Brasil!E237)</f>
        <v/>
      </c>
      <c r="E237" s="1" t="str">
        <f aca="false">IF(Brasil!C237="","",Brasil!F237)</f>
        <v/>
      </c>
      <c r="F237" s="1" t="str">
        <f aca="false">IF(Brasil!C237="","",Brasil!D237)</f>
        <v/>
      </c>
      <c r="I237" s="1" t="str">
        <f aca="false">IF(Brasil!C237="","",Brasil!H237)</f>
        <v/>
      </c>
      <c r="J237" s="1" t="str">
        <f aca="false">IF(Brasil!C237="","",Brasil!D237*Brasil!H237)</f>
        <v/>
      </c>
      <c r="K237" s="1" t="str">
        <f aca="false">IF(Brasil!C237="","","BR")</f>
        <v/>
      </c>
      <c r="L237" s="1" t="str">
        <f aca="false">IF(Brasil!C237="","",IFERROR(INDEX(Gamma_Catalogo!$D$3:$D$1451,MATCH(Brasil!E237,Gamma_Catalogo!$A$3:$A$1451,0)),"Revisar Ip Code"))</f>
        <v/>
      </c>
      <c r="M237" s="1" t="str">
        <f aca="false">IF(Brasil!C237="","",IFERROR(INDEX(Gamma_Catalogo!$C$3:$C$1451,MATCH(Brasil!E237,Gamma_Catalogo!$A$3:$A$1451,0)),"Revisar Ip Code"))</f>
        <v/>
      </c>
      <c r="N237" s="1" t="str">
        <f aca="false">IF(Brasil!C237="","",IFERROR(INDEX(Gamma_Catalogo!$E$3:$E$1451,MATCH(Brasil!E237,Gamma_Catalogo!$A$3:$A$1451,0)),"Revisar Ip Code"))</f>
        <v/>
      </c>
      <c r="O237" s="1" t="str">
        <f aca="false">IF(Brasil!C237="","","Brasil")</f>
        <v/>
      </c>
    </row>
    <row r="238" customFormat="false" ht="15" hidden="false" customHeight="true" outlineLevel="0" collapsed="false">
      <c r="A238" s="1" t="str">
        <f aca="false">IF(Brasil!C238="","",IFERROR(INDEX(Mercados!$C$2:$C$32,MATCH(Brasil!B238,Mercados!$A$2:$A$32,0)),"Revisar Tscode"))</f>
        <v/>
      </c>
      <c r="B238" s="1" t="str">
        <f aca="false">IF(Brasil!C238="","",Brasil!C238)</f>
        <v/>
      </c>
      <c r="C238" s="1" t="str">
        <f aca="false">IF(Brasil!C238="","",Brasil!A238)</f>
        <v/>
      </c>
      <c r="D238" s="1" t="str">
        <f aca="false">IF(Brasil!C238="","",Brasil!E238)</f>
        <v/>
      </c>
      <c r="E238" s="1" t="str">
        <f aca="false">IF(Brasil!C238="","",Brasil!F238)</f>
        <v/>
      </c>
      <c r="F238" s="1" t="str">
        <f aca="false">IF(Brasil!C238="","",Brasil!D238)</f>
        <v/>
      </c>
      <c r="I238" s="1" t="str">
        <f aca="false">IF(Brasil!C238="","",Brasil!H238)</f>
        <v/>
      </c>
      <c r="J238" s="1" t="str">
        <f aca="false">IF(Brasil!C238="","",Brasil!D238*Brasil!H238)</f>
        <v/>
      </c>
      <c r="K238" s="1" t="str">
        <f aca="false">IF(Brasil!C238="","","BR")</f>
        <v/>
      </c>
      <c r="L238" s="1" t="str">
        <f aca="false">IF(Brasil!C238="","",IFERROR(INDEX(Gamma_Catalogo!$D$3:$D$1451,MATCH(Brasil!E238,Gamma_Catalogo!$A$3:$A$1451,0)),"Revisar Ip Code"))</f>
        <v/>
      </c>
      <c r="M238" s="1" t="str">
        <f aca="false">IF(Brasil!C238="","",IFERROR(INDEX(Gamma_Catalogo!$C$3:$C$1451,MATCH(Brasil!E238,Gamma_Catalogo!$A$3:$A$1451,0)),"Revisar Ip Code"))</f>
        <v/>
      </c>
      <c r="N238" s="1" t="str">
        <f aca="false">IF(Brasil!C238="","",IFERROR(INDEX(Gamma_Catalogo!$E$3:$E$1451,MATCH(Brasil!E238,Gamma_Catalogo!$A$3:$A$1451,0)),"Revisar Ip Code"))</f>
        <v/>
      </c>
      <c r="O238" s="1" t="str">
        <f aca="false">IF(Brasil!C238="","","Brasil")</f>
        <v/>
      </c>
    </row>
    <row r="239" customFormat="false" ht="15" hidden="false" customHeight="true" outlineLevel="0" collapsed="false">
      <c r="A239" s="1" t="str">
        <f aca="false">IF(Brasil!C239="","",IFERROR(INDEX(Mercados!$C$2:$C$32,MATCH(Brasil!B239,Mercados!$A$2:$A$32,0)),"Revisar Tscode"))</f>
        <v/>
      </c>
      <c r="B239" s="1" t="str">
        <f aca="false">IF(Brasil!C239="","",Brasil!C239)</f>
        <v/>
      </c>
      <c r="C239" s="1" t="str">
        <f aca="false">IF(Brasil!C239="","",Brasil!A239)</f>
        <v/>
      </c>
      <c r="D239" s="1" t="str">
        <f aca="false">IF(Brasil!C239="","",Brasil!E239)</f>
        <v/>
      </c>
      <c r="E239" s="1" t="str">
        <f aca="false">IF(Brasil!C239="","",Brasil!F239)</f>
        <v/>
      </c>
      <c r="F239" s="1" t="str">
        <f aca="false">IF(Brasil!C239="","",Brasil!D239)</f>
        <v/>
      </c>
      <c r="I239" s="1" t="str">
        <f aca="false">IF(Brasil!C239="","",Brasil!H239)</f>
        <v/>
      </c>
      <c r="J239" s="1" t="str">
        <f aca="false">IF(Brasil!C239="","",Brasil!D239*Brasil!H239)</f>
        <v/>
      </c>
      <c r="K239" s="1" t="str">
        <f aca="false">IF(Brasil!C239="","","BR")</f>
        <v/>
      </c>
      <c r="L239" s="1" t="str">
        <f aca="false">IF(Brasil!C239="","",IFERROR(INDEX(Gamma_Catalogo!$D$3:$D$1451,MATCH(Brasil!E239,Gamma_Catalogo!$A$3:$A$1451,0)),"Revisar Ip Code"))</f>
        <v/>
      </c>
      <c r="M239" s="1" t="str">
        <f aca="false">IF(Brasil!C239="","",IFERROR(INDEX(Gamma_Catalogo!$C$3:$C$1451,MATCH(Brasil!E239,Gamma_Catalogo!$A$3:$A$1451,0)),"Revisar Ip Code"))</f>
        <v/>
      </c>
      <c r="N239" s="1" t="str">
        <f aca="false">IF(Brasil!C239="","",IFERROR(INDEX(Gamma_Catalogo!$E$3:$E$1451,MATCH(Brasil!E239,Gamma_Catalogo!$A$3:$A$1451,0)),"Revisar Ip Code"))</f>
        <v/>
      </c>
      <c r="O239" s="1" t="str">
        <f aca="false">IF(Brasil!C239="","","Brasil")</f>
        <v/>
      </c>
    </row>
    <row r="240" customFormat="false" ht="15" hidden="false" customHeight="true" outlineLevel="0" collapsed="false">
      <c r="A240" s="1" t="str">
        <f aca="false">IF(Brasil!C240="","",IFERROR(INDEX(Mercados!$C$2:$C$32,MATCH(Brasil!B240,Mercados!$A$2:$A$32,0)),"Revisar Tscode"))</f>
        <v/>
      </c>
      <c r="B240" s="1" t="str">
        <f aca="false">IF(Brasil!C240="","",Brasil!C240)</f>
        <v/>
      </c>
      <c r="C240" s="1" t="str">
        <f aca="false">IF(Brasil!C240="","",Brasil!A240)</f>
        <v/>
      </c>
      <c r="D240" s="1" t="str">
        <f aca="false">IF(Brasil!C240="","",Brasil!E240)</f>
        <v/>
      </c>
      <c r="E240" s="1" t="str">
        <f aca="false">IF(Brasil!C240="","",Brasil!F240)</f>
        <v/>
      </c>
      <c r="F240" s="1" t="str">
        <f aca="false">IF(Brasil!C240="","",Brasil!D240)</f>
        <v/>
      </c>
      <c r="I240" s="1" t="str">
        <f aca="false">IF(Brasil!C240="","",Brasil!H240)</f>
        <v/>
      </c>
      <c r="J240" s="1" t="str">
        <f aca="false">IF(Brasil!C240="","",Brasil!D240*Brasil!H240)</f>
        <v/>
      </c>
      <c r="K240" s="1" t="str">
        <f aca="false">IF(Brasil!C240="","","BR")</f>
        <v/>
      </c>
      <c r="L240" s="1" t="str">
        <f aca="false">IF(Brasil!C240="","",IFERROR(INDEX(Gamma_Catalogo!$D$3:$D$1451,MATCH(Brasil!E240,Gamma_Catalogo!$A$3:$A$1451,0)),"Revisar Ip Code"))</f>
        <v/>
      </c>
      <c r="M240" s="1" t="str">
        <f aca="false">IF(Brasil!C240="","",IFERROR(INDEX(Gamma_Catalogo!$C$3:$C$1451,MATCH(Brasil!E240,Gamma_Catalogo!$A$3:$A$1451,0)),"Revisar Ip Code"))</f>
        <v/>
      </c>
      <c r="N240" s="1" t="str">
        <f aca="false">IF(Brasil!C240="","",IFERROR(INDEX(Gamma_Catalogo!$E$3:$E$1451,MATCH(Brasil!E240,Gamma_Catalogo!$A$3:$A$1451,0)),"Revisar Ip Code"))</f>
        <v/>
      </c>
      <c r="O240" s="1" t="str">
        <f aca="false">IF(Brasil!C240="","","Brasil")</f>
        <v/>
      </c>
    </row>
    <row r="241" customFormat="false" ht="15" hidden="false" customHeight="true" outlineLevel="0" collapsed="false">
      <c r="A241" s="1" t="str">
        <f aca="false">IF(Brasil!C241="","",IFERROR(INDEX(Mercados!$C$2:$C$32,MATCH(Brasil!B241,Mercados!$A$2:$A$32,0)),"Revisar Tscode"))</f>
        <v/>
      </c>
      <c r="B241" s="1" t="str">
        <f aca="false">IF(Brasil!C241="","",Brasil!C241)</f>
        <v/>
      </c>
      <c r="C241" s="1" t="str">
        <f aca="false">IF(Brasil!C241="","",Brasil!A241)</f>
        <v/>
      </c>
      <c r="D241" s="1" t="str">
        <f aca="false">IF(Brasil!C241="","",Brasil!E241)</f>
        <v/>
      </c>
      <c r="E241" s="1" t="str">
        <f aca="false">IF(Brasil!C241="","",Brasil!F241)</f>
        <v/>
      </c>
      <c r="F241" s="1" t="str">
        <f aca="false">IF(Brasil!C241="","",Brasil!D241)</f>
        <v/>
      </c>
      <c r="I241" s="1" t="str">
        <f aca="false">IF(Brasil!C241="","",Brasil!H241)</f>
        <v/>
      </c>
      <c r="J241" s="1" t="str">
        <f aca="false">IF(Brasil!C241="","",Brasil!D241*Brasil!H241)</f>
        <v/>
      </c>
      <c r="K241" s="1" t="str">
        <f aca="false">IF(Brasil!C241="","","BR")</f>
        <v/>
      </c>
      <c r="L241" s="1" t="str">
        <f aca="false">IF(Brasil!C241="","",IFERROR(INDEX(Gamma_Catalogo!$D$3:$D$1451,MATCH(Brasil!E241,Gamma_Catalogo!$A$3:$A$1451,0)),"Revisar Ip Code"))</f>
        <v/>
      </c>
      <c r="M241" s="1" t="str">
        <f aca="false">IF(Brasil!C241="","",IFERROR(INDEX(Gamma_Catalogo!$C$3:$C$1451,MATCH(Brasil!E241,Gamma_Catalogo!$A$3:$A$1451,0)),"Revisar Ip Code"))</f>
        <v/>
      </c>
      <c r="N241" s="1" t="str">
        <f aca="false">IF(Brasil!C241="","",IFERROR(INDEX(Gamma_Catalogo!$E$3:$E$1451,MATCH(Brasil!E241,Gamma_Catalogo!$A$3:$A$1451,0)),"Revisar Ip Code"))</f>
        <v/>
      </c>
      <c r="O241" s="1" t="str">
        <f aca="false">IF(Brasil!C241="","","Brasil")</f>
        <v/>
      </c>
    </row>
    <row r="242" customFormat="false" ht="15" hidden="false" customHeight="true" outlineLevel="0" collapsed="false">
      <c r="A242" s="1" t="str">
        <f aca="false">IF(Brasil!C242="","",IFERROR(INDEX(Mercados!$C$2:$C$32,MATCH(Brasil!B242,Mercados!$A$2:$A$32,0)),"Revisar Tscode"))</f>
        <v/>
      </c>
      <c r="B242" s="1" t="str">
        <f aca="false">IF(Brasil!C242="","",Brasil!C242)</f>
        <v/>
      </c>
      <c r="C242" s="1" t="str">
        <f aca="false">IF(Brasil!C242="","",Brasil!A242)</f>
        <v/>
      </c>
      <c r="D242" s="1" t="str">
        <f aca="false">IF(Brasil!C242="","",Brasil!E242)</f>
        <v/>
      </c>
      <c r="E242" s="1" t="str">
        <f aca="false">IF(Brasil!C242="","",Brasil!F242)</f>
        <v/>
      </c>
      <c r="F242" s="1" t="str">
        <f aca="false">IF(Brasil!C242="","",Brasil!D242)</f>
        <v/>
      </c>
      <c r="I242" s="1" t="str">
        <f aca="false">IF(Brasil!C242="","",Brasil!H242)</f>
        <v/>
      </c>
      <c r="J242" s="1" t="str">
        <f aca="false">IF(Brasil!C242="","",Brasil!D242*Brasil!H242)</f>
        <v/>
      </c>
      <c r="K242" s="1" t="str">
        <f aca="false">IF(Brasil!C242="","","BR")</f>
        <v/>
      </c>
      <c r="L242" s="1" t="str">
        <f aca="false">IF(Brasil!C242="","",IFERROR(INDEX(Gamma_Catalogo!$D$3:$D$1451,MATCH(Brasil!E242,Gamma_Catalogo!$A$3:$A$1451,0)),"Revisar Ip Code"))</f>
        <v/>
      </c>
      <c r="M242" s="1" t="str">
        <f aca="false">IF(Brasil!C242="","",IFERROR(INDEX(Gamma_Catalogo!$C$3:$C$1451,MATCH(Brasil!E242,Gamma_Catalogo!$A$3:$A$1451,0)),"Revisar Ip Code"))</f>
        <v/>
      </c>
      <c r="N242" s="1" t="str">
        <f aca="false">IF(Brasil!C242="","",IFERROR(INDEX(Gamma_Catalogo!$E$3:$E$1451,MATCH(Brasil!E242,Gamma_Catalogo!$A$3:$A$1451,0)),"Revisar Ip Code"))</f>
        <v/>
      </c>
      <c r="O242" s="1" t="str">
        <f aca="false">IF(Brasil!C242="","","Brasil")</f>
        <v/>
      </c>
    </row>
    <row r="243" customFormat="false" ht="15" hidden="false" customHeight="true" outlineLevel="0" collapsed="false">
      <c r="A243" s="1" t="str">
        <f aca="false">IF(Brasil!C243="","",IFERROR(INDEX(Mercados!$C$2:$C$32,MATCH(Brasil!B243,Mercados!$A$2:$A$32,0)),"Revisar Tscode"))</f>
        <v/>
      </c>
      <c r="B243" s="1" t="str">
        <f aca="false">IF(Brasil!C243="","",Brasil!C243)</f>
        <v/>
      </c>
      <c r="C243" s="1" t="str">
        <f aca="false">IF(Brasil!C243="","",Brasil!A243)</f>
        <v/>
      </c>
      <c r="D243" s="1" t="str">
        <f aca="false">IF(Brasil!C243="","",Brasil!E243)</f>
        <v/>
      </c>
      <c r="E243" s="1" t="str">
        <f aca="false">IF(Brasil!C243="","",Brasil!F243)</f>
        <v/>
      </c>
      <c r="F243" s="1" t="str">
        <f aca="false">IF(Brasil!C243="","",Brasil!D243)</f>
        <v/>
      </c>
      <c r="I243" s="1" t="str">
        <f aca="false">IF(Brasil!C243="","",Brasil!H243)</f>
        <v/>
      </c>
      <c r="J243" s="1" t="str">
        <f aca="false">IF(Brasil!C243="","",Brasil!D243*Brasil!H243)</f>
        <v/>
      </c>
      <c r="K243" s="1" t="str">
        <f aca="false">IF(Brasil!C243="","","BR")</f>
        <v/>
      </c>
      <c r="L243" s="1" t="str">
        <f aca="false">IF(Brasil!C243="","",IFERROR(INDEX(Gamma_Catalogo!$D$3:$D$1451,MATCH(Brasil!E243,Gamma_Catalogo!$A$3:$A$1451,0)),"Revisar Ip Code"))</f>
        <v/>
      </c>
      <c r="M243" s="1" t="str">
        <f aca="false">IF(Brasil!C243="","",IFERROR(INDEX(Gamma_Catalogo!$C$3:$C$1451,MATCH(Brasil!E243,Gamma_Catalogo!$A$3:$A$1451,0)),"Revisar Ip Code"))</f>
        <v/>
      </c>
      <c r="N243" s="1" t="str">
        <f aca="false">IF(Brasil!C243="","",IFERROR(INDEX(Gamma_Catalogo!$E$3:$E$1451,MATCH(Brasil!E243,Gamma_Catalogo!$A$3:$A$1451,0)),"Revisar Ip Code"))</f>
        <v/>
      </c>
      <c r="O243" s="1" t="str">
        <f aca="false">IF(Brasil!C243="","","Brasil")</f>
        <v/>
      </c>
    </row>
    <row r="244" customFormat="false" ht="15" hidden="false" customHeight="true" outlineLevel="0" collapsed="false">
      <c r="A244" s="1" t="str">
        <f aca="false">IF(Brasil!C244="","",IFERROR(INDEX(Mercados!$C$2:$C$32,MATCH(Brasil!B244,Mercados!$A$2:$A$32,0)),"Revisar Tscode"))</f>
        <v/>
      </c>
      <c r="B244" s="1" t="str">
        <f aca="false">IF(Brasil!C244="","",Brasil!C244)</f>
        <v/>
      </c>
      <c r="C244" s="1" t="str">
        <f aca="false">IF(Brasil!C244="","",Brasil!A244)</f>
        <v/>
      </c>
      <c r="D244" s="1" t="str">
        <f aca="false">IF(Brasil!C244="","",Brasil!E244)</f>
        <v/>
      </c>
      <c r="E244" s="1" t="str">
        <f aca="false">IF(Brasil!C244="","",Brasil!F244)</f>
        <v/>
      </c>
      <c r="F244" s="1" t="str">
        <f aca="false">IF(Brasil!C244="","",Brasil!D244)</f>
        <v/>
      </c>
      <c r="I244" s="1" t="str">
        <f aca="false">IF(Brasil!C244="","",Brasil!H244)</f>
        <v/>
      </c>
      <c r="J244" s="1" t="str">
        <f aca="false">IF(Brasil!C244="","",Brasil!D244*Brasil!H244)</f>
        <v/>
      </c>
      <c r="K244" s="1" t="str">
        <f aca="false">IF(Brasil!C244="","","BR")</f>
        <v/>
      </c>
      <c r="L244" s="1" t="str">
        <f aca="false">IF(Brasil!C244="","",IFERROR(INDEX(Gamma_Catalogo!$D$3:$D$1451,MATCH(Brasil!E244,Gamma_Catalogo!$A$3:$A$1451,0)),"Revisar Ip Code"))</f>
        <v/>
      </c>
      <c r="M244" s="1" t="str">
        <f aca="false">IF(Brasil!C244="","",IFERROR(INDEX(Gamma_Catalogo!$C$3:$C$1451,MATCH(Brasil!E244,Gamma_Catalogo!$A$3:$A$1451,0)),"Revisar Ip Code"))</f>
        <v/>
      </c>
      <c r="N244" s="1" t="str">
        <f aca="false">IF(Brasil!C244="","",IFERROR(INDEX(Gamma_Catalogo!$E$3:$E$1451,MATCH(Brasil!E244,Gamma_Catalogo!$A$3:$A$1451,0)),"Revisar Ip Code"))</f>
        <v/>
      </c>
      <c r="O244" s="1" t="str">
        <f aca="false">IF(Brasil!C244="","","Brasil")</f>
        <v/>
      </c>
    </row>
    <row r="245" customFormat="false" ht="15" hidden="false" customHeight="true" outlineLevel="0" collapsed="false">
      <c r="A245" s="1" t="str">
        <f aca="false">IF(Brasil!C245="","",IFERROR(INDEX(Mercados!$C$2:$C$32,MATCH(Brasil!B245,Mercados!$A$2:$A$32,0)),"Revisar Tscode"))</f>
        <v/>
      </c>
      <c r="B245" s="1" t="str">
        <f aca="false">IF(Brasil!C245="","",Brasil!C245)</f>
        <v/>
      </c>
      <c r="C245" s="1" t="str">
        <f aca="false">IF(Brasil!C245="","",Brasil!A245)</f>
        <v/>
      </c>
      <c r="D245" s="1" t="str">
        <f aca="false">IF(Brasil!C245="","",Brasil!E245)</f>
        <v/>
      </c>
      <c r="E245" s="1" t="str">
        <f aca="false">IF(Brasil!C245="","",Brasil!F245)</f>
        <v/>
      </c>
      <c r="F245" s="1" t="str">
        <f aca="false">IF(Brasil!C245="","",Brasil!D245)</f>
        <v/>
      </c>
      <c r="I245" s="1" t="str">
        <f aca="false">IF(Brasil!C245="","",Brasil!H245)</f>
        <v/>
      </c>
      <c r="J245" s="1" t="str">
        <f aca="false">IF(Brasil!C245="","",Brasil!D245*Brasil!H245)</f>
        <v/>
      </c>
      <c r="K245" s="1" t="str">
        <f aca="false">IF(Brasil!C245="","","BR")</f>
        <v/>
      </c>
      <c r="L245" s="1" t="str">
        <f aca="false">IF(Brasil!C245="","",IFERROR(INDEX(Gamma_Catalogo!$D$3:$D$1451,MATCH(Brasil!E245,Gamma_Catalogo!$A$3:$A$1451,0)),"Revisar Ip Code"))</f>
        <v/>
      </c>
      <c r="M245" s="1" t="str">
        <f aca="false">IF(Brasil!C245="","",IFERROR(INDEX(Gamma_Catalogo!$C$3:$C$1451,MATCH(Brasil!E245,Gamma_Catalogo!$A$3:$A$1451,0)),"Revisar Ip Code"))</f>
        <v/>
      </c>
      <c r="N245" s="1" t="str">
        <f aca="false">IF(Brasil!C245="","",IFERROR(INDEX(Gamma_Catalogo!$E$3:$E$1451,MATCH(Brasil!E245,Gamma_Catalogo!$A$3:$A$1451,0)),"Revisar Ip Code"))</f>
        <v/>
      </c>
      <c r="O245" s="1" t="str">
        <f aca="false">IF(Brasil!C245="","","Brasil")</f>
        <v/>
      </c>
    </row>
    <row r="246" customFormat="false" ht="15" hidden="false" customHeight="true" outlineLevel="0" collapsed="false">
      <c r="A246" s="1" t="str">
        <f aca="false">IF(Brasil!C246="","",IFERROR(INDEX(Mercados!$C$2:$C$32,MATCH(Brasil!B246,Mercados!$A$2:$A$32,0)),"Revisar Tscode"))</f>
        <v/>
      </c>
      <c r="B246" s="1" t="str">
        <f aca="false">IF(Brasil!C246="","",Brasil!C246)</f>
        <v/>
      </c>
      <c r="C246" s="1" t="str">
        <f aca="false">IF(Brasil!C246="","",Brasil!A246)</f>
        <v/>
      </c>
      <c r="D246" s="1" t="str">
        <f aca="false">IF(Brasil!C246="","",Brasil!E246)</f>
        <v/>
      </c>
      <c r="E246" s="1" t="str">
        <f aca="false">IF(Brasil!C246="","",Brasil!F246)</f>
        <v/>
      </c>
      <c r="F246" s="1" t="str">
        <f aca="false">IF(Brasil!C246="","",Brasil!D246)</f>
        <v/>
      </c>
      <c r="I246" s="1" t="str">
        <f aca="false">IF(Brasil!C246="","",Brasil!H246)</f>
        <v/>
      </c>
      <c r="J246" s="1" t="str">
        <f aca="false">IF(Brasil!C246="","",Brasil!D246*Brasil!H246)</f>
        <v/>
      </c>
      <c r="K246" s="1" t="str">
        <f aca="false">IF(Brasil!C246="","","BR")</f>
        <v/>
      </c>
      <c r="L246" s="1" t="str">
        <f aca="false">IF(Brasil!C246="","",IFERROR(INDEX(Gamma_Catalogo!$D$3:$D$1451,MATCH(Brasil!E246,Gamma_Catalogo!$A$3:$A$1451,0)),"Revisar Ip Code"))</f>
        <v/>
      </c>
      <c r="M246" s="1" t="str">
        <f aca="false">IF(Brasil!C246="","",IFERROR(INDEX(Gamma_Catalogo!$C$3:$C$1451,MATCH(Brasil!E246,Gamma_Catalogo!$A$3:$A$1451,0)),"Revisar Ip Code"))</f>
        <v/>
      </c>
      <c r="N246" s="1" t="str">
        <f aca="false">IF(Brasil!C246="","",IFERROR(INDEX(Gamma_Catalogo!$E$3:$E$1451,MATCH(Brasil!E246,Gamma_Catalogo!$A$3:$A$1451,0)),"Revisar Ip Code"))</f>
        <v/>
      </c>
      <c r="O246" s="1" t="str">
        <f aca="false">IF(Brasil!C246="","","Brasil")</f>
        <v/>
      </c>
    </row>
    <row r="247" customFormat="false" ht="15" hidden="false" customHeight="true" outlineLevel="0" collapsed="false">
      <c r="A247" s="1" t="str">
        <f aca="false">IF(Brasil!C247="","",IFERROR(INDEX(Mercados!$C$2:$C$32,MATCH(Brasil!B247,Mercados!$A$2:$A$32,0)),"Revisar Tscode"))</f>
        <v/>
      </c>
      <c r="B247" s="1" t="str">
        <f aca="false">IF(Brasil!C247="","",Brasil!C247)</f>
        <v/>
      </c>
      <c r="C247" s="1" t="str">
        <f aca="false">IF(Brasil!C247="","",Brasil!A247)</f>
        <v/>
      </c>
      <c r="D247" s="1" t="str">
        <f aca="false">IF(Brasil!C247="","",Brasil!E247)</f>
        <v/>
      </c>
      <c r="E247" s="1" t="str">
        <f aca="false">IF(Brasil!C247="","",Brasil!F247)</f>
        <v/>
      </c>
      <c r="F247" s="1" t="str">
        <f aca="false">IF(Brasil!C247="","",Brasil!D247)</f>
        <v/>
      </c>
      <c r="I247" s="1" t="str">
        <f aca="false">IF(Brasil!C247="","",Brasil!H247)</f>
        <v/>
      </c>
      <c r="J247" s="1" t="str">
        <f aca="false">IF(Brasil!C247="","",Brasil!D247*Brasil!H247)</f>
        <v/>
      </c>
      <c r="K247" s="1" t="str">
        <f aca="false">IF(Brasil!C247="","","BR")</f>
        <v/>
      </c>
      <c r="L247" s="1" t="str">
        <f aca="false">IF(Brasil!C247="","",IFERROR(INDEX(Gamma_Catalogo!$D$3:$D$1451,MATCH(Brasil!E247,Gamma_Catalogo!$A$3:$A$1451,0)),"Revisar Ip Code"))</f>
        <v/>
      </c>
      <c r="M247" s="1" t="str">
        <f aca="false">IF(Brasil!C247="","",IFERROR(INDEX(Gamma_Catalogo!$C$3:$C$1451,MATCH(Brasil!E247,Gamma_Catalogo!$A$3:$A$1451,0)),"Revisar Ip Code"))</f>
        <v/>
      </c>
      <c r="N247" s="1" t="str">
        <f aca="false">IF(Brasil!C247="","",IFERROR(INDEX(Gamma_Catalogo!$E$3:$E$1451,MATCH(Brasil!E247,Gamma_Catalogo!$A$3:$A$1451,0)),"Revisar Ip Code"))</f>
        <v/>
      </c>
      <c r="O247" s="1" t="str">
        <f aca="false">IF(Brasil!C247="","","Brasil")</f>
        <v/>
      </c>
    </row>
    <row r="248" customFormat="false" ht="15" hidden="false" customHeight="true" outlineLevel="0" collapsed="false">
      <c r="A248" s="1" t="str">
        <f aca="false">IF(Brasil!C248="","",IFERROR(INDEX(Mercados!$C$2:$C$32,MATCH(Brasil!B248,Mercados!$A$2:$A$32,0)),"Revisar Tscode"))</f>
        <v/>
      </c>
      <c r="B248" s="1" t="str">
        <f aca="false">IF(Brasil!C248="","",Brasil!C248)</f>
        <v/>
      </c>
      <c r="C248" s="1" t="str">
        <f aca="false">IF(Brasil!C248="","",Brasil!A248)</f>
        <v/>
      </c>
      <c r="D248" s="1" t="str">
        <f aca="false">IF(Brasil!C248="","",Brasil!E248)</f>
        <v/>
      </c>
      <c r="E248" s="1" t="str">
        <f aca="false">IF(Brasil!C248="","",Brasil!F248)</f>
        <v/>
      </c>
      <c r="F248" s="1" t="str">
        <f aca="false">IF(Brasil!C248="","",Brasil!D248)</f>
        <v/>
      </c>
      <c r="I248" s="1" t="str">
        <f aca="false">IF(Brasil!C248="","",Brasil!H248)</f>
        <v/>
      </c>
      <c r="J248" s="1" t="str">
        <f aca="false">IF(Brasil!C248="","",Brasil!D248*Brasil!H248)</f>
        <v/>
      </c>
      <c r="K248" s="1" t="str">
        <f aca="false">IF(Brasil!C248="","","BR")</f>
        <v/>
      </c>
      <c r="L248" s="1" t="str">
        <f aca="false">IF(Brasil!C248="","",IFERROR(INDEX(Gamma_Catalogo!$D$3:$D$1451,MATCH(Brasil!E248,Gamma_Catalogo!$A$3:$A$1451,0)),"Revisar Ip Code"))</f>
        <v/>
      </c>
      <c r="M248" s="1" t="str">
        <f aca="false">IF(Brasil!C248="","",IFERROR(INDEX(Gamma_Catalogo!$C$3:$C$1451,MATCH(Brasil!E248,Gamma_Catalogo!$A$3:$A$1451,0)),"Revisar Ip Code"))</f>
        <v/>
      </c>
      <c r="N248" s="1" t="str">
        <f aca="false">IF(Brasil!C248="","",IFERROR(INDEX(Gamma_Catalogo!$E$3:$E$1451,MATCH(Brasil!E248,Gamma_Catalogo!$A$3:$A$1451,0)),"Revisar Ip Code"))</f>
        <v/>
      </c>
      <c r="O248" s="1" t="str">
        <f aca="false">IF(Brasil!C248="","","Brasil")</f>
        <v/>
      </c>
    </row>
    <row r="249" customFormat="false" ht="15" hidden="false" customHeight="true" outlineLevel="0" collapsed="false">
      <c r="A249" s="1" t="str">
        <f aca="false">IF(Brasil!C249="","",IFERROR(INDEX(Mercados!$C$2:$C$32,MATCH(Brasil!B249,Mercados!$A$2:$A$32,0)),"Revisar Tscode"))</f>
        <v/>
      </c>
      <c r="B249" s="1" t="str">
        <f aca="false">IF(Brasil!C249="","",Brasil!C249)</f>
        <v/>
      </c>
      <c r="C249" s="1" t="str">
        <f aca="false">IF(Brasil!C249="","",Brasil!A249)</f>
        <v/>
      </c>
      <c r="D249" s="1" t="str">
        <f aca="false">IF(Brasil!C249="","",Brasil!E249)</f>
        <v/>
      </c>
      <c r="E249" s="1" t="str">
        <f aca="false">IF(Brasil!C249="","",Brasil!F249)</f>
        <v/>
      </c>
      <c r="F249" s="1" t="str">
        <f aca="false">IF(Brasil!C249="","",Brasil!D249)</f>
        <v/>
      </c>
      <c r="I249" s="1" t="str">
        <f aca="false">IF(Brasil!C249="","",Brasil!H249)</f>
        <v/>
      </c>
      <c r="J249" s="1" t="str">
        <f aca="false">IF(Brasil!C249="","",Brasil!D249*Brasil!H249)</f>
        <v/>
      </c>
      <c r="K249" s="1" t="str">
        <f aca="false">IF(Brasil!C249="","","BR")</f>
        <v/>
      </c>
      <c r="L249" s="1" t="str">
        <f aca="false">IF(Brasil!C249="","",IFERROR(INDEX(Gamma_Catalogo!$D$3:$D$1451,MATCH(Brasil!E249,Gamma_Catalogo!$A$3:$A$1451,0)),"Revisar Ip Code"))</f>
        <v/>
      </c>
      <c r="M249" s="1" t="str">
        <f aca="false">IF(Brasil!C249="","",IFERROR(INDEX(Gamma_Catalogo!$C$3:$C$1451,MATCH(Brasil!E249,Gamma_Catalogo!$A$3:$A$1451,0)),"Revisar Ip Code"))</f>
        <v/>
      </c>
      <c r="N249" s="1" t="str">
        <f aca="false">IF(Brasil!C249="","",IFERROR(INDEX(Gamma_Catalogo!$E$3:$E$1451,MATCH(Brasil!E249,Gamma_Catalogo!$A$3:$A$1451,0)),"Revisar Ip Code"))</f>
        <v/>
      </c>
      <c r="O249" s="1" t="str">
        <f aca="false">IF(Brasil!C249="","","Brasil")</f>
        <v/>
      </c>
    </row>
    <row r="250" customFormat="false" ht="15" hidden="false" customHeight="true" outlineLevel="0" collapsed="false">
      <c r="A250" s="1" t="str">
        <f aca="false">IF(Brasil!C250="","",IFERROR(INDEX(Mercados!$C$2:$C$32,MATCH(Brasil!B250,Mercados!$A$2:$A$32,0)),"Revisar Tscode"))</f>
        <v/>
      </c>
      <c r="B250" s="1" t="str">
        <f aca="false">IF(Brasil!C250="","",Brasil!C250)</f>
        <v/>
      </c>
      <c r="C250" s="1" t="str">
        <f aca="false">IF(Brasil!C250="","",Brasil!A250)</f>
        <v/>
      </c>
      <c r="D250" s="1" t="str">
        <f aca="false">IF(Brasil!C250="","",Brasil!E250)</f>
        <v/>
      </c>
      <c r="E250" s="1" t="str">
        <f aca="false">IF(Brasil!C250="","",Brasil!F250)</f>
        <v/>
      </c>
      <c r="F250" s="1" t="str">
        <f aca="false">IF(Brasil!C250="","",Brasil!D250)</f>
        <v/>
      </c>
      <c r="I250" s="1" t="str">
        <f aca="false">IF(Brasil!C250="","",Brasil!H250)</f>
        <v/>
      </c>
      <c r="J250" s="1" t="str">
        <f aca="false">IF(Brasil!C250="","",Brasil!D250*Brasil!H250)</f>
        <v/>
      </c>
      <c r="K250" s="1" t="str">
        <f aca="false">IF(Brasil!C250="","","BR")</f>
        <v/>
      </c>
      <c r="L250" s="1" t="str">
        <f aca="false">IF(Brasil!C250="","",IFERROR(INDEX(Gamma_Catalogo!$D$3:$D$1451,MATCH(Brasil!E250,Gamma_Catalogo!$A$3:$A$1451,0)),"Revisar Ip Code"))</f>
        <v/>
      </c>
      <c r="M250" s="1" t="str">
        <f aca="false">IF(Brasil!C250="","",IFERROR(INDEX(Gamma_Catalogo!$C$3:$C$1451,MATCH(Brasil!E250,Gamma_Catalogo!$A$3:$A$1451,0)),"Revisar Ip Code"))</f>
        <v/>
      </c>
      <c r="N250" s="1" t="str">
        <f aca="false">IF(Brasil!C250="","",IFERROR(INDEX(Gamma_Catalogo!$E$3:$E$1451,MATCH(Brasil!E250,Gamma_Catalogo!$A$3:$A$1451,0)),"Revisar Ip Code"))</f>
        <v/>
      </c>
      <c r="O250" s="1" t="str">
        <f aca="false">IF(Brasil!C250="","","Brasil")</f>
        <v/>
      </c>
    </row>
    <row r="251" customFormat="false" ht="15" hidden="false" customHeight="true" outlineLevel="0" collapsed="false">
      <c r="A251" s="1" t="str">
        <f aca="false">IF(Brasil!C251="","",IFERROR(INDEX(Mercados!$C$2:$C$32,MATCH(Brasil!B251,Mercados!$A$2:$A$32,0)),"Revisar Tscode"))</f>
        <v/>
      </c>
      <c r="B251" s="1" t="str">
        <f aca="false">IF(Brasil!C251="","",Brasil!C251)</f>
        <v/>
      </c>
      <c r="C251" s="1" t="str">
        <f aca="false">IF(Brasil!C251="","",Brasil!A251)</f>
        <v/>
      </c>
      <c r="D251" s="1" t="str">
        <f aca="false">IF(Brasil!C251="","",Brasil!E251)</f>
        <v/>
      </c>
      <c r="E251" s="1" t="str">
        <f aca="false">IF(Brasil!C251="","",Brasil!F251)</f>
        <v/>
      </c>
      <c r="F251" s="1" t="str">
        <f aca="false">IF(Brasil!C251="","",Brasil!D251)</f>
        <v/>
      </c>
      <c r="I251" s="1" t="str">
        <f aca="false">IF(Brasil!C251="","",Brasil!H251)</f>
        <v/>
      </c>
      <c r="J251" s="1" t="str">
        <f aca="false">IF(Brasil!C251="","",Brasil!D251*Brasil!H251)</f>
        <v/>
      </c>
      <c r="K251" s="1" t="str">
        <f aca="false">IF(Brasil!C251="","","BR")</f>
        <v/>
      </c>
      <c r="L251" s="1" t="str">
        <f aca="false">IF(Brasil!C251="","",IFERROR(INDEX(Gamma_Catalogo!$D$3:$D$1451,MATCH(Brasil!E251,Gamma_Catalogo!$A$3:$A$1451,0)),"Revisar Ip Code"))</f>
        <v/>
      </c>
      <c r="M251" s="1" t="str">
        <f aca="false">IF(Brasil!C251="","",IFERROR(INDEX(Gamma_Catalogo!$C$3:$C$1451,MATCH(Brasil!E251,Gamma_Catalogo!$A$3:$A$1451,0)),"Revisar Ip Code"))</f>
        <v/>
      </c>
      <c r="N251" s="1" t="str">
        <f aca="false">IF(Brasil!C251="","",IFERROR(INDEX(Gamma_Catalogo!$E$3:$E$1451,MATCH(Brasil!E251,Gamma_Catalogo!$A$3:$A$1451,0)),"Revisar Ip Code"))</f>
        <v/>
      </c>
      <c r="O251" s="1" t="str">
        <f aca="false">IF(Brasil!C251="","","Brasil")</f>
        <v/>
      </c>
    </row>
    <row r="252" customFormat="false" ht="15" hidden="false" customHeight="true" outlineLevel="0" collapsed="false">
      <c r="A252" s="1" t="str">
        <f aca="false">IF(Brasil!C252="","",IFERROR(INDEX(Mercados!$C$2:$C$32,MATCH(Brasil!B252,Mercados!$A$2:$A$32,0)),"Revisar Tscode"))</f>
        <v/>
      </c>
      <c r="B252" s="1" t="str">
        <f aca="false">IF(Brasil!C252="","",Brasil!C252)</f>
        <v/>
      </c>
      <c r="C252" s="1" t="str">
        <f aca="false">IF(Brasil!C252="","",Brasil!A252)</f>
        <v/>
      </c>
      <c r="D252" s="1" t="str">
        <f aca="false">IF(Brasil!C252="","",Brasil!E252)</f>
        <v/>
      </c>
      <c r="E252" s="1" t="str">
        <f aca="false">IF(Brasil!C252="","",Brasil!F252)</f>
        <v/>
      </c>
      <c r="F252" s="1" t="str">
        <f aca="false">IF(Brasil!C252="","",Brasil!D252)</f>
        <v/>
      </c>
      <c r="I252" s="1" t="str">
        <f aca="false">IF(Brasil!C252="","",Brasil!H252)</f>
        <v/>
      </c>
      <c r="J252" s="1" t="str">
        <f aca="false">IF(Brasil!C252="","",Brasil!D252*Brasil!H252)</f>
        <v/>
      </c>
      <c r="K252" s="1" t="str">
        <f aca="false">IF(Brasil!C252="","","BR")</f>
        <v/>
      </c>
      <c r="L252" s="1" t="str">
        <f aca="false">IF(Brasil!C252="","",IFERROR(INDEX(Gamma_Catalogo!$D$3:$D$1451,MATCH(Brasil!E252,Gamma_Catalogo!$A$3:$A$1451,0)),"Revisar Ip Code"))</f>
        <v/>
      </c>
      <c r="M252" s="1" t="str">
        <f aca="false">IF(Brasil!C252="","",IFERROR(INDEX(Gamma_Catalogo!$C$3:$C$1451,MATCH(Brasil!E252,Gamma_Catalogo!$A$3:$A$1451,0)),"Revisar Ip Code"))</f>
        <v/>
      </c>
      <c r="N252" s="1" t="str">
        <f aca="false">IF(Brasil!C252="","",IFERROR(INDEX(Gamma_Catalogo!$E$3:$E$1451,MATCH(Brasil!E252,Gamma_Catalogo!$A$3:$A$1451,0)),"Revisar Ip Code"))</f>
        <v/>
      </c>
      <c r="O252" s="1" t="str">
        <f aca="false">IF(Brasil!C252="","","Brasil")</f>
        <v/>
      </c>
    </row>
    <row r="253" customFormat="false" ht="15" hidden="false" customHeight="true" outlineLevel="0" collapsed="false">
      <c r="A253" s="1" t="str">
        <f aca="false">IF(Brasil!C253="","",IFERROR(INDEX(Mercados!$C$2:$C$32,MATCH(Brasil!B253,Mercados!$A$2:$A$32,0)),"Revisar Tscode"))</f>
        <v/>
      </c>
      <c r="B253" s="1" t="str">
        <f aca="false">IF(Brasil!C253="","",Brasil!C253)</f>
        <v/>
      </c>
      <c r="C253" s="1" t="str">
        <f aca="false">IF(Brasil!C253="","",Brasil!A253)</f>
        <v/>
      </c>
      <c r="D253" s="1" t="str">
        <f aca="false">IF(Brasil!C253="","",Brasil!E253)</f>
        <v/>
      </c>
      <c r="E253" s="1" t="str">
        <f aca="false">IF(Brasil!C253="","",Brasil!F253)</f>
        <v/>
      </c>
      <c r="F253" s="1" t="str">
        <f aca="false">IF(Brasil!C253="","",Brasil!D253)</f>
        <v/>
      </c>
      <c r="I253" s="1" t="str">
        <f aca="false">IF(Brasil!C253="","",Brasil!H253)</f>
        <v/>
      </c>
      <c r="J253" s="1" t="str">
        <f aca="false">IF(Brasil!C253="","",Brasil!D253*Brasil!H253)</f>
        <v/>
      </c>
      <c r="K253" s="1" t="str">
        <f aca="false">IF(Brasil!C253="","","BR")</f>
        <v/>
      </c>
      <c r="L253" s="1" t="str">
        <f aca="false">IF(Brasil!C253="","",IFERROR(INDEX(Gamma_Catalogo!$D$3:$D$1451,MATCH(Brasil!E253,Gamma_Catalogo!$A$3:$A$1451,0)),"Revisar Ip Code"))</f>
        <v/>
      </c>
      <c r="M253" s="1" t="str">
        <f aca="false">IF(Brasil!C253="","",IFERROR(INDEX(Gamma_Catalogo!$C$3:$C$1451,MATCH(Brasil!E253,Gamma_Catalogo!$A$3:$A$1451,0)),"Revisar Ip Code"))</f>
        <v/>
      </c>
      <c r="N253" s="1" t="str">
        <f aca="false">IF(Brasil!C253="","",IFERROR(INDEX(Gamma_Catalogo!$E$3:$E$1451,MATCH(Brasil!E253,Gamma_Catalogo!$A$3:$A$1451,0)),"Revisar Ip Code"))</f>
        <v/>
      </c>
      <c r="O253" s="1" t="str">
        <f aca="false">IF(Brasil!C253="","","Brasil")</f>
        <v/>
      </c>
    </row>
    <row r="254" customFormat="false" ht="15" hidden="false" customHeight="true" outlineLevel="0" collapsed="false">
      <c r="A254" s="1" t="str">
        <f aca="false">IF(Brasil!C254="","",IFERROR(INDEX(Mercados!$C$2:$C$32,MATCH(Brasil!B254,Mercados!$A$2:$A$32,0)),"Revisar Tscode"))</f>
        <v/>
      </c>
      <c r="B254" s="1" t="str">
        <f aca="false">IF(Brasil!C254="","",Brasil!C254)</f>
        <v/>
      </c>
      <c r="C254" s="1" t="str">
        <f aca="false">IF(Brasil!C254="","",Brasil!A254)</f>
        <v/>
      </c>
      <c r="D254" s="1" t="str">
        <f aca="false">IF(Brasil!C254="","",Brasil!E254)</f>
        <v/>
      </c>
      <c r="E254" s="1" t="str">
        <f aca="false">IF(Brasil!C254="","",Brasil!F254)</f>
        <v/>
      </c>
      <c r="F254" s="1" t="str">
        <f aca="false">IF(Brasil!C254="","",Brasil!D254)</f>
        <v/>
      </c>
      <c r="I254" s="1" t="str">
        <f aca="false">IF(Brasil!C254="","",Brasil!H254)</f>
        <v/>
      </c>
      <c r="J254" s="1" t="str">
        <f aca="false">IF(Brasil!C254="","",Brasil!D254*Brasil!H254)</f>
        <v/>
      </c>
      <c r="K254" s="1" t="str">
        <f aca="false">IF(Brasil!C254="","","BR")</f>
        <v/>
      </c>
      <c r="L254" s="1" t="str">
        <f aca="false">IF(Brasil!C254="","",IFERROR(INDEX(Gamma_Catalogo!$D$3:$D$1451,MATCH(Brasil!E254,Gamma_Catalogo!$A$3:$A$1451,0)),"Revisar Ip Code"))</f>
        <v/>
      </c>
      <c r="M254" s="1" t="str">
        <f aca="false">IF(Brasil!C254="","",IFERROR(INDEX(Gamma_Catalogo!$C$3:$C$1451,MATCH(Brasil!E254,Gamma_Catalogo!$A$3:$A$1451,0)),"Revisar Ip Code"))</f>
        <v/>
      </c>
      <c r="N254" s="1" t="str">
        <f aca="false">IF(Brasil!C254="","",IFERROR(INDEX(Gamma_Catalogo!$E$3:$E$1451,MATCH(Brasil!E254,Gamma_Catalogo!$A$3:$A$1451,0)),"Revisar Ip Code"))</f>
        <v/>
      </c>
      <c r="O254" s="1" t="str">
        <f aca="false">IF(Brasil!C254="","","Brasil")</f>
        <v/>
      </c>
    </row>
    <row r="255" customFormat="false" ht="15" hidden="false" customHeight="true" outlineLevel="0" collapsed="false">
      <c r="A255" s="1" t="str">
        <f aca="false">IF(Brasil!C255="","",IFERROR(INDEX(Mercados!$C$2:$C$32,MATCH(Brasil!B255,Mercados!$A$2:$A$32,0)),"Revisar Tscode"))</f>
        <v/>
      </c>
      <c r="B255" s="1" t="str">
        <f aca="false">IF(Brasil!C255="","",Brasil!C255)</f>
        <v/>
      </c>
      <c r="C255" s="1" t="str">
        <f aca="false">IF(Brasil!C255="","",Brasil!A255)</f>
        <v/>
      </c>
      <c r="D255" s="1" t="str">
        <f aca="false">IF(Brasil!C255="","",Brasil!E255)</f>
        <v/>
      </c>
      <c r="E255" s="1" t="str">
        <f aca="false">IF(Brasil!C255="","",Brasil!F255)</f>
        <v/>
      </c>
      <c r="F255" s="1" t="str">
        <f aca="false">IF(Brasil!C255="","",Brasil!D255)</f>
        <v/>
      </c>
      <c r="I255" s="1" t="str">
        <f aca="false">IF(Brasil!C255="","",Brasil!H255)</f>
        <v/>
      </c>
      <c r="J255" s="1" t="str">
        <f aca="false">IF(Brasil!C255="","",Brasil!D255*Brasil!H255)</f>
        <v/>
      </c>
      <c r="K255" s="1" t="str">
        <f aca="false">IF(Brasil!C255="","","BR")</f>
        <v/>
      </c>
      <c r="L255" s="1" t="str">
        <f aca="false">IF(Brasil!C255="","",IFERROR(INDEX(Gamma_Catalogo!$D$3:$D$1451,MATCH(Brasil!E255,Gamma_Catalogo!$A$3:$A$1451,0)),"Revisar Ip Code"))</f>
        <v/>
      </c>
      <c r="M255" s="1" t="str">
        <f aca="false">IF(Brasil!C255="","",IFERROR(INDEX(Gamma_Catalogo!$C$3:$C$1451,MATCH(Brasil!E255,Gamma_Catalogo!$A$3:$A$1451,0)),"Revisar Ip Code"))</f>
        <v/>
      </c>
      <c r="N255" s="1" t="str">
        <f aca="false">IF(Brasil!C255="","",IFERROR(INDEX(Gamma_Catalogo!$E$3:$E$1451,MATCH(Brasil!E255,Gamma_Catalogo!$A$3:$A$1451,0)),"Revisar Ip Code"))</f>
        <v/>
      </c>
      <c r="O255" s="1" t="str">
        <f aca="false">IF(Brasil!C255="","","Brasil")</f>
        <v/>
      </c>
    </row>
    <row r="256" customFormat="false" ht="15" hidden="false" customHeight="true" outlineLevel="0" collapsed="false">
      <c r="A256" s="1" t="str">
        <f aca="false">IF(Brasil!C256="","",IFERROR(INDEX(Mercados!$C$2:$C$32,MATCH(Brasil!B256,Mercados!$A$2:$A$32,0)),"Revisar Tscode"))</f>
        <v/>
      </c>
      <c r="B256" s="1" t="str">
        <f aca="false">IF(Brasil!C256="","",Brasil!C256)</f>
        <v/>
      </c>
      <c r="C256" s="1" t="str">
        <f aca="false">IF(Brasil!C256="","",Brasil!A256)</f>
        <v/>
      </c>
      <c r="D256" s="1" t="str">
        <f aca="false">IF(Brasil!C256="","",Brasil!E256)</f>
        <v/>
      </c>
      <c r="E256" s="1" t="str">
        <f aca="false">IF(Brasil!C256="","",Brasil!F256)</f>
        <v/>
      </c>
      <c r="F256" s="1" t="str">
        <f aca="false">IF(Brasil!C256="","",Brasil!D256)</f>
        <v/>
      </c>
      <c r="I256" s="1" t="str">
        <f aca="false">IF(Brasil!C256="","",Brasil!H256)</f>
        <v/>
      </c>
      <c r="J256" s="1" t="str">
        <f aca="false">IF(Brasil!C256="","",Brasil!D256*Brasil!H256)</f>
        <v/>
      </c>
      <c r="K256" s="1" t="str">
        <f aca="false">IF(Brasil!C256="","","BR")</f>
        <v/>
      </c>
      <c r="L256" s="1" t="str">
        <f aca="false">IF(Brasil!C256="","",IFERROR(INDEX(Gamma_Catalogo!$D$3:$D$1451,MATCH(Brasil!E256,Gamma_Catalogo!$A$3:$A$1451,0)),"Revisar Ip Code"))</f>
        <v/>
      </c>
      <c r="M256" s="1" t="str">
        <f aca="false">IF(Brasil!C256="","",IFERROR(INDEX(Gamma_Catalogo!$C$3:$C$1451,MATCH(Brasil!E256,Gamma_Catalogo!$A$3:$A$1451,0)),"Revisar Ip Code"))</f>
        <v/>
      </c>
      <c r="N256" s="1" t="str">
        <f aca="false">IF(Brasil!C256="","",IFERROR(INDEX(Gamma_Catalogo!$E$3:$E$1451,MATCH(Brasil!E256,Gamma_Catalogo!$A$3:$A$1451,0)),"Revisar Ip Code"))</f>
        <v/>
      </c>
      <c r="O256" s="1" t="str">
        <f aca="false">IF(Brasil!C256="","","Brasil")</f>
        <v/>
      </c>
    </row>
    <row r="257" customFormat="false" ht="15" hidden="false" customHeight="true" outlineLevel="0" collapsed="false">
      <c r="A257" s="1" t="str">
        <f aca="false">IF(Brasil!C257="","",IFERROR(INDEX(Mercados!$C$2:$C$32,MATCH(Brasil!B257,Mercados!$A$2:$A$32,0)),"Revisar Tscode"))</f>
        <v/>
      </c>
      <c r="B257" s="1" t="str">
        <f aca="false">IF(Brasil!C257="","",Brasil!C257)</f>
        <v/>
      </c>
      <c r="C257" s="1" t="str">
        <f aca="false">IF(Brasil!C257="","",Brasil!A257)</f>
        <v/>
      </c>
      <c r="D257" s="1" t="str">
        <f aca="false">IF(Brasil!C257="","",Brasil!E257)</f>
        <v/>
      </c>
      <c r="E257" s="1" t="str">
        <f aca="false">IF(Brasil!C257="","",Brasil!F257)</f>
        <v/>
      </c>
      <c r="F257" s="1" t="str">
        <f aca="false">IF(Brasil!C257="","",Brasil!D257)</f>
        <v/>
      </c>
      <c r="I257" s="1" t="str">
        <f aca="false">IF(Brasil!C257="","",Brasil!H257)</f>
        <v/>
      </c>
      <c r="J257" s="1" t="str">
        <f aca="false">IF(Brasil!C257="","",Brasil!D257*Brasil!H257)</f>
        <v/>
      </c>
      <c r="K257" s="1" t="str">
        <f aca="false">IF(Brasil!C257="","","BR")</f>
        <v/>
      </c>
      <c r="L257" s="1" t="str">
        <f aca="false">IF(Brasil!C257="","",IFERROR(INDEX(Gamma_Catalogo!$D$3:$D$1451,MATCH(Brasil!E257,Gamma_Catalogo!$A$3:$A$1451,0)),"Revisar Ip Code"))</f>
        <v/>
      </c>
      <c r="M257" s="1" t="str">
        <f aca="false">IF(Brasil!C257="","",IFERROR(INDEX(Gamma_Catalogo!$C$3:$C$1451,MATCH(Brasil!E257,Gamma_Catalogo!$A$3:$A$1451,0)),"Revisar Ip Code"))</f>
        <v/>
      </c>
      <c r="N257" s="1" t="str">
        <f aca="false">IF(Brasil!C257="","",IFERROR(INDEX(Gamma_Catalogo!$E$3:$E$1451,MATCH(Brasil!E257,Gamma_Catalogo!$A$3:$A$1451,0)),"Revisar Ip Code"))</f>
        <v/>
      </c>
      <c r="O257" s="1" t="str">
        <f aca="false">IF(Brasil!C257="","","Brasil")</f>
        <v/>
      </c>
    </row>
    <row r="258" customFormat="false" ht="15" hidden="false" customHeight="true" outlineLevel="0" collapsed="false">
      <c r="A258" s="1" t="str">
        <f aca="false">IF(Brasil!C258="","",IFERROR(INDEX(Mercados!$C$2:$C$32,MATCH(Brasil!B258,Mercados!$A$2:$A$32,0)),"Revisar Tscode"))</f>
        <v/>
      </c>
      <c r="B258" s="1" t="str">
        <f aca="false">IF(Brasil!C258="","",Brasil!C258)</f>
        <v/>
      </c>
      <c r="C258" s="1" t="str">
        <f aca="false">IF(Brasil!C258="","",Brasil!A258)</f>
        <v/>
      </c>
      <c r="D258" s="1" t="str">
        <f aca="false">IF(Brasil!C258="","",Brasil!E258)</f>
        <v/>
      </c>
      <c r="E258" s="1" t="str">
        <f aca="false">IF(Brasil!C258="","",Brasil!F258)</f>
        <v/>
      </c>
      <c r="F258" s="1" t="str">
        <f aca="false">IF(Brasil!C258="","",Brasil!D258)</f>
        <v/>
      </c>
      <c r="I258" s="1" t="str">
        <f aca="false">IF(Brasil!C258="","",Brasil!H258)</f>
        <v/>
      </c>
      <c r="J258" s="1" t="str">
        <f aca="false">IF(Brasil!C258="","",Brasil!D258*Brasil!H258)</f>
        <v/>
      </c>
      <c r="K258" s="1" t="str">
        <f aca="false">IF(Brasil!C258="","","BR")</f>
        <v/>
      </c>
      <c r="L258" s="1" t="str">
        <f aca="false">IF(Brasil!C258="","",IFERROR(INDEX(Gamma_Catalogo!$D$3:$D$1451,MATCH(Brasil!E258,Gamma_Catalogo!$A$3:$A$1451,0)),"Revisar Ip Code"))</f>
        <v/>
      </c>
      <c r="M258" s="1" t="str">
        <f aca="false">IF(Brasil!C258="","",IFERROR(INDEX(Gamma_Catalogo!$C$3:$C$1451,MATCH(Brasil!E258,Gamma_Catalogo!$A$3:$A$1451,0)),"Revisar Ip Code"))</f>
        <v/>
      </c>
      <c r="N258" s="1" t="str">
        <f aca="false">IF(Brasil!C258="","",IFERROR(INDEX(Gamma_Catalogo!$E$3:$E$1451,MATCH(Brasil!E258,Gamma_Catalogo!$A$3:$A$1451,0)),"Revisar Ip Code"))</f>
        <v/>
      </c>
      <c r="O258" s="1" t="str">
        <f aca="false">IF(Brasil!C258="","","Brasil")</f>
        <v/>
      </c>
    </row>
    <row r="259" customFormat="false" ht="15" hidden="false" customHeight="true" outlineLevel="0" collapsed="false">
      <c r="A259" s="1" t="str">
        <f aca="false">IF(Brasil!C259="","",IFERROR(INDEX(Mercados!$C$2:$C$32,MATCH(Brasil!B259,Mercados!$A$2:$A$32,0)),"Revisar Tscode"))</f>
        <v/>
      </c>
      <c r="B259" s="1" t="str">
        <f aca="false">IF(Brasil!C259="","",Brasil!C259)</f>
        <v/>
      </c>
      <c r="C259" s="1" t="str">
        <f aca="false">IF(Brasil!C259="","",Brasil!A259)</f>
        <v/>
      </c>
      <c r="D259" s="1" t="str">
        <f aca="false">IF(Brasil!C259="","",Brasil!E259)</f>
        <v/>
      </c>
      <c r="E259" s="1" t="str">
        <f aca="false">IF(Brasil!C259="","",Brasil!F259)</f>
        <v/>
      </c>
      <c r="F259" s="1" t="str">
        <f aca="false">IF(Brasil!C259="","",Brasil!D259)</f>
        <v/>
      </c>
      <c r="I259" s="1" t="str">
        <f aca="false">IF(Brasil!C259="","",Brasil!H259)</f>
        <v/>
      </c>
      <c r="J259" s="1" t="str">
        <f aca="false">IF(Brasil!C259="","",Brasil!D259*Brasil!H259)</f>
        <v/>
      </c>
      <c r="K259" s="1" t="str">
        <f aca="false">IF(Brasil!C259="","","BR")</f>
        <v/>
      </c>
      <c r="L259" s="1" t="str">
        <f aca="false">IF(Brasil!C259="","",IFERROR(INDEX(Gamma_Catalogo!$D$3:$D$1451,MATCH(Brasil!E259,Gamma_Catalogo!$A$3:$A$1451,0)),"Revisar Ip Code"))</f>
        <v/>
      </c>
      <c r="M259" s="1" t="str">
        <f aca="false">IF(Brasil!C259="","",IFERROR(INDEX(Gamma_Catalogo!$C$3:$C$1451,MATCH(Brasil!E259,Gamma_Catalogo!$A$3:$A$1451,0)),"Revisar Ip Code"))</f>
        <v/>
      </c>
      <c r="N259" s="1" t="str">
        <f aca="false">IF(Brasil!C259="","",IFERROR(INDEX(Gamma_Catalogo!$E$3:$E$1451,MATCH(Brasil!E259,Gamma_Catalogo!$A$3:$A$1451,0)),"Revisar Ip Code"))</f>
        <v/>
      </c>
      <c r="O259" s="1" t="str">
        <f aca="false">IF(Brasil!C259="","","Brasil")</f>
        <v/>
      </c>
    </row>
    <row r="260" customFormat="false" ht="15" hidden="false" customHeight="true" outlineLevel="0" collapsed="false">
      <c r="A260" s="1" t="str">
        <f aca="false">IF(Brasil!C260="","",IFERROR(INDEX(Mercados!$C$2:$C$32,MATCH(Brasil!B260,Mercados!$A$2:$A$32,0)),"Revisar Tscode"))</f>
        <v/>
      </c>
      <c r="B260" s="1" t="str">
        <f aca="false">IF(Brasil!C260="","",Brasil!C260)</f>
        <v/>
      </c>
      <c r="C260" s="1" t="str">
        <f aca="false">IF(Brasil!C260="","",Brasil!A260)</f>
        <v/>
      </c>
      <c r="D260" s="1" t="str">
        <f aca="false">IF(Brasil!C260="","",Brasil!E260)</f>
        <v/>
      </c>
      <c r="E260" s="1" t="str">
        <f aca="false">IF(Brasil!C260="","",Brasil!F260)</f>
        <v/>
      </c>
      <c r="F260" s="1" t="str">
        <f aca="false">IF(Brasil!C260="","",Brasil!D260)</f>
        <v/>
      </c>
      <c r="I260" s="1" t="str">
        <f aca="false">IF(Brasil!C260="","",Brasil!H260)</f>
        <v/>
      </c>
      <c r="J260" s="1" t="str">
        <f aca="false">IF(Brasil!C260="","",Brasil!D260*Brasil!H260)</f>
        <v/>
      </c>
      <c r="K260" s="1" t="str">
        <f aca="false">IF(Brasil!C260="","","BR")</f>
        <v/>
      </c>
      <c r="L260" s="1" t="str">
        <f aca="false">IF(Brasil!C260="","",IFERROR(INDEX(Gamma_Catalogo!$D$3:$D$1451,MATCH(Brasil!E260,Gamma_Catalogo!$A$3:$A$1451,0)),"Revisar Ip Code"))</f>
        <v/>
      </c>
      <c r="M260" s="1" t="str">
        <f aca="false">IF(Brasil!C260="","",IFERROR(INDEX(Gamma_Catalogo!$C$3:$C$1451,MATCH(Brasil!E260,Gamma_Catalogo!$A$3:$A$1451,0)),"Revisar Ip Code"))</f>
        <v/>
      </c>
      <c r="N260" s="1" t="str">
        <f aca="false">IF(Brasil!C260="","",IFERROR(INDEX(Gamma_Catalogo!$E$3:$E$1451,MATCH(Brasil!E260,Gamma_Catalogo!$A$3:$A$1451,0)),"Revisar Ip Code"))</f>
        <v/>
      </c>
      <c r="O260" s="1" t="str">
        <f aca="false">IF(Brasil!C260="","","Brasil")</f>
        <v/>
      </c>
    </row>
    <row r="261" customFormat="false" ht="15" hidden="false" customHeight="true" outlineLevel="0" collapsed="false">
      <c r="A261" s="1" t="str">
        <f aca="false">IF(Brasil!C261="","",IFERROR(INDEX(Mercados!$C$2:$C$32,MATCH(Brasil!B261,Mercados!$A$2:$A$32,0)),"Revisar Tscode"))</f>
        <v/>
      </c>
      <c r="B261" s="1" t="str">
        <f aca="false">IF(Brasil!C261="","",Brasil!C261)</f>
        <v/>
      </c>
      <c r="C261" s="1" t="str">
        <f aca="false">IF(Brasil!C261="","",Brasil!A261)</f>
        <v/>
      </c>
      <c r="D261" s="1" t="str">
        <f aca="false">IF(Brasil!C261="","",Brasil!E261)</f>
        <v/>
      </c>
      <c r="E261" s="1" t="str">
        <f aca="false">IF(Brasil!C261="","",Brasil!F261)</f>
        <v/>
      </c>
      <c r="F261" s="1" t="str">
        <f aca="false">IF(Brasil!C261="","",Brasil!D261)</f>
        <v/>
      </c>
      <c r="I261" s="1" t="str">
        <f aca="false">IF(Brasil!C261="","",Brasil!H261)</f>
        <v/>
      </c>
      <c r="J261" s="1" t="str">
        <f aca="false">IF(Brasil!C261="","",Brasil!D261*Brasil!H261)</f>
        <v/>
      </c>
      <c r="K261" s="1" t="str">
        <f aca="false">IF(Brasil!C261="","","BR")</f>
        <v/>
      </c>
      <c r="L261" s="1" t="str">
        <f aca="false">IF(Brasil!C261="","",IFERROR(INDEX(Gamma_Catalogo!$D$3:$D$1451,MATCH(Brasil!E261,Gamma_Catalogo!$A$3:$A$1451,0)),"Revisar Ip Code"))</f>
        <v/>
      </c>
      <c r="M261" s="1" t="str">
        <f aca="false">IF(Brasil!C261="","",IFERROR(INDEX(Gamma_Catalogo!$C$3:$C$1451,MATCH(Brasil!E261,Gamma_Catalogo!$A$3:$A$1451,0)),"Revisar Ip Code"))</f>
        <v/>
      </c>
      <c r="N261" s="1" t="str">
        <f aca="false">IF(Brasil!C261="","",IFERROR(INDEX(Gamma_Catalogo!$E$3:$E$1451,MATCH(Brasil!E261,Gamma_Catalogo!$A$3:$A$1451,0)),"Revisar Ip Code"))</f>
        <v/>
      </c>
      <c r="O261" s="1" t="str">
        <f aca="false">IF(Brasil!C261="","","Brasil")</f>
        <v/>
      </c>
    </row>
    <row r="262" customFormat="false" ht="15" hidden="false" customHeight="true" outlineLevel="0" collapsed="false">
      <c r="A262" s="1" t="str">
        <f aca="false">IF(Brasil!C262="","",IFERROR(INDEX(Mercados!$C$2:$C$32,MATCH(Brasil!B262,Mercados!$A$2:$A$32,0)),"Revisar Tscode"))</f>
        <v/>
      </c>
      <c r="B262" s="1" t="str">
        <f aca="false">IF(Brasil!C262="","",Brasil!C262)</f>
        <v/>
      </c>
      <c r="C262" s="1" t="str">
        <f aca="false">IF(Brasil!C262="","",Brasil!A262)</f>
        <v/>
      </c>
      <c r="D262" s="1" t="str">
        <f aca="false">IF(Brasil!C262="","",Brasil!E262)</f>
        <v/>
      </c>
      <c r="E262" s="1" t="str">
        <f aca="false">IF(Brasil!C262="","",Brasil!F262)</f>
        <v/>
      </c>
      <c r="F262" s="1" t="str">
        <f aca="false">IF(Brasil!C262="","",Brasil!D262)</f>
        <v/>
      </c>
      <c r="I262" s="1" t="str">
        <f aca="false">IF(Brasil!C262="","",Brasil!H262)</f>
        <v/>
      </c>
      <c r="J262" s="1" t="str">
        <f aca="false">IF(Brasil!C262="","",Brasil!D262*Brasil!H262)</f>
        <v/>
      </c>
      <c r="K262" s="1" t="str">
        <f aca="false">IF(Brasil!C262="","","BR")</f>
        <v/>
      </c>
      <c r="L262" s="1" t="str">
        <f aca="false">IF(Brasil!C262="","",IFERROR(INDEX(Gamma_Catalogo!$D$3:$D$1451,MATCH(Brasil!E262,Gamma_Catalogo!$A$3:$A$1451,0)),"Revisar Ip Code"))</f>
        <v/>
      </c>
      <c r="M262" s="1" t="str">
        <f aca="false">IF(Brasil!C262="","",IFERROR(INDEX(Gamma_Catalogo!$C$3:$C$1451,MATCH(Brasil!E262,Gamma_Catalogo!$A$3:$A$1451,0)),"Revisar Ip Code"))</f>
        <v/>
      </c>
      <c r="N262" s="1" t="str">
        <f aca="false">IF(Brasil!C262="","",IFERROR(INDEX(Gamma_Catalogo!$E$3:$E$1451,MATCH(Brasil!E262,Gamma_Catalogo!$A$3:$A$1451,0)),"Revisar Ip Code"))</f>
        <v/>
      </c>
      <c r="O262" s="1" t="str">
        <f aca="false">IF(Brasil!C262="","","Brasil")</f>
        <v/>
      </c>
    </row>
    <row r="263" customFormat="false" ht="15" hidden="false" customHeight="true" outlineLevel="0" collapsed="false">
      <c r="A263" s="1" t="str">
        <f aca="false">IF(Brasil!C263="","",IFERROR(INDEX(Mercados!$C$2:$C$32,MATCH(Brasil!B263,Mercados!$A$2:$A$32,0)),"Revisar Tscode"))</f>
        <v/>
      </c>
      <c r="B263" s="1" t="str">
        <f aca="false">IF(Brasil!C263="","",Brasil!C263)</f>
        <v/>
      </c>
      <c r="C263" s="1" t="str">
        <f aca="false">IF(Brasil!C263="","",Brasil!A263)</f>
        <v/>
      </c>
      <c r="D263" s="1" t="str">
        <f aca="false">IF(Brasil!C263="","",Brasil!E263)</f>
        <v/>
      </c>
      <c r="E263" s="1" t="str">
        <f aca="false">IF(Brasil!C263="","",Brasil!F263)</f>
        <v/>
      </c>
      <c r="F263" s="1" t="str">
        <f aca="false">IF(Brasil!C263="","",Brasil!D263)</f>
        <v/>
      </c>
      <c r="I263" s="1" t="str">
        <f aca="false">IF(Brasil!C263="","",Brasil!H263)</f>
        <v/>
      </c>
      <c r="J263" s="1" t="str">
        <f aca="false">IF(Brasil!C263="","",Brasil!D263*Brasil!H263)</f>
        <v/>
      </c>
      <c r="K263" s="1" t="str">
        <f aca="false">IF(Brasil!C263="","","BR")</f>
        <v/>
      </c>
      <c r="L263" s="1" t="str">
        <f aca="false">IF(Brasil!C263="","",IFERROR(INDEX(Gamma_Catalogo!$D$3:$D$1451,MATCH(Brasil!E263,Gamma_Catalogo!$A$3:$A$1451,0)),"Revisar Ip Code"))</f>
        <v/>
      </c>
      <c r="M263" s="1" t="str">
        <f aca="false">IF(Brasil!C263="","",IFERROR(INDEX(Gamma_Catalogo!$C$3:$C$1451,MATCH(Brasil!E263,Gamma_Catalogo!$A$3:$A$1451,0)),"Revisar Ip Code"))</f>
        <v/>
      </c>
      <c r="N263" s="1" t="str">
        <f aca="false">IF(Brasil!C263="","",IFERROR(INDEX(Gamma_Catalogo!$E$3:$E$1451,MATCH(Brasil!E263,Gamma_Catalogo!$A$3:$A$1451,0)),"Revisar Ip Code"))</f>
        <v/>
      </c>
      <c r="O263" s="1" t="str">
        <f aca="false">IF(Brasil!C263="","","Brasil")</f>
        <v/>
      </c>
    </row>
    <row r="264" customFormat="false" ht="15" hidden="false" customHeight="true" outlineLevel="0" collapsed="false">
      <c r="A264" s="1" t="str">
        <f aca="false">IF(Brasil!C264="","",IFERROR(INDEX(Mercados!$C$2:$C$32,MATCH(Brasil!B264,Mercados!$A$2:$A$32,0)),"Revisar Tscode"))</f>
        <v/>
      </c>
      <c r="B264" s="1" t="str">
        <f aca="false">IF(Brasil!C264="","",Brasil!C264)</f>
        <v/>
      </c>
      <c r="C264" s="1" t="str">
        <f aca="false">IF(Brasil!C264="","",Brasil!A264)</f>
        <v/>
      </c>
      <c r="D264" s="1" t="str">
        <f aca="false">IF(Brasil!C264="","",Brasil!E264)</f>
        <v/>
      </c>
      <c r="E264" s="1" t="str">
        <f aca="false">IF(Brasil!C264="","",Brasil!F264)</f>
        <v/>
      </c>
      <c r="F264" s="1" t="str">
        <f aca="false">IF(Brasil!C264="","",Brasil!D264)</f>
        <v/>
      </c>
      <c r="I264" s="1" t="str">
        <f aca="false">IF(Brasil!C264="","",Brasil!H264)</f>
        <v/>
      </c>
      <c r="J264" s="1" t="str">
        <f aca="false">IF(Brasil!C264="","",Brasil!D264*Brasil!H264)</f>
        <v/>
      </c>
      <c r="K264" s="1" t="str">
        <f aca="false">IF(Brasil!C264="","","BR")</f>
        <v/>
      </c>
      <c r="L264" s="1" t="str">
        <f aca="false">IF(Brasil!C264="","",IFERROR(INDEX(Gamma_Catalogo!$D$3:$D$1451,MATCH(Brasil!E264,Gamma_Catalogo!$A$3:$A$1451,0)),"Revisar Ip Code"))</f>
        <v/>
      </c>
      <c r="M264" s="1" t="str">
        <f aca="false">IF(Brasil!C264="","",IFERROR(INDEX(Gamma_Catalogo!$C$3:$C$1451,MATCH(Brasil!E264,Gamma_Catalogo!$A$3:$A$1451,0)),"Revisar Ip Code"))</f>
        <v/>
      </c>
      <c r="N264" s="1" t="str">
        <f aca="false">IF(Brasil!C264="","",IFERROR(INDEX(Gamma_Catalogo!$E$3:$E$1451,MATCH(Brasil!E264,Gamma_Catalogo!$A$3:$A$1451,0)),"Revisar Ip Code"))</f>
        <v/>
      </c>
      <c r="O264" s="1" t="str">
        <f aca="false">IF(Brasil!C264="","","Brasil")</f>
        <v/>
      </c>
    </row>
    <row r="265" customFormat="false" ht="15" hidden="false" customHeight="true" outlineLevel="0" collapsed="false">
      <c r="A265" s="1" t="str">
        <f aca="false">IF(Brasil!C265="","",IFERROR(INDEX(Mercados!$C$2:$C$32,MATCH(Brasil!B265,Mercados!$A$2:$A$32,0)),"Revisar Tscode"))</f>
        <v/>
      </c>
      <c r="B265" s="1" t="str">
        <f aca="false">IF(Brasil!C265="","",Brasil!C265)</f>
        <v/>
      </c>
      <c r="C265" s="1" t="str">
        <f aca="false">IF(Brasil!C265="","",Brasil!A265)</f>
        <v/>
      </c>
      <c r="D265" s="1" t="str">
        <f aca="false">IF(Brasil!C265="","",Brasil!E265)</f>
        <v/>
      </c>
      <c r="E265" s="1" t="str">
        <f aca="false">IF(Brasil!C265="","",Brasil!F265)</f>
        <v/>
      </c>
      <c r="F265" s="1" t="str">
        <f aca="false">IF(Brasil!C265="","",Brasil!D265)</f>
        <v/>
      </c>
      <c r="I265" s="1" t="str">
        <f aca="false">IF(Brasil!C265="","",Brasil!H265)</f>
        <v/>
      </c>
      <c r="J265" s="1" t="str">
        <f aca="false">IF(Brasil!C265="","",Brasil!D265*Brasil!H265)</f>
        <v/>
      </c>
      <c r="K265" s="1" t="str">
        <f aca="false">IF(Brasil!C265="","","BR")</f>
        <v/>
      </c>
      <c r="L265" s="1" t="str">
        <f aca="false">IF(Brasil!C265="","",IFERROR(INDEX(Gamma_Catalogo!$D$3:$D$1451,MATCH(Brasil!E265,Gamma_Catalogo!$A$3:$A$1451,0)),"Revisar Ip Code"))</f>
        <v/>
      </c>
      <c r="M265" s="1" t="str">
        <f aca="false">IF(Brasil!C265="","",IFERROR(INDEX(Gamma_Catalogo!$C$3:$C$1451,MATCH(Brasil!E265,Gamma_Catalogo!$A$3:$A$1451,0)),"Revisar Ip Code"))</f>
        <v/>
      </c>
      <c r="N265" s="1" t="str">
        <f aca="false">IF(Brasil!C265="","",IFERROR(INDEX(Gamma_Catalogo!$E$3:$E$1451,MATCH(Brasil!E265,Gamma_Catalogo!$A$3:$A$1451,0)),"Revisar Ip Code"))</f>
        <v/>
      </c>
      <c r="O265" s="1" t="str">
        <f aca="false">IF(Brasil!C265="","","Brasil")</f>
        <v/>
      </c>
    </row>
    <row r="266" customFormat="false" ht="15" hidden="false" customHeight="true" outlineLevel="0" collapsed="false">
      <c r="A266" s="1" t="str">
        <f aca="false">IF(Brasil!C266="","",IFERROR(INDEX(Mercados!$C$2:$C$32,MATCH(Brasil!B266,Mercados!$A$2:$A$32,0)),"Revisar Tscode"))</f>
        <v/>
      </c>
      <c r="B266" s="1" t="str">
        <f aca="false">IF(Brasil!C266="","",Brasil!C266)</f>
        <v/>
      </c>
      <c r="C266" s="1" t="str">
        <f aca="false">IF(Brasil!C266="","",Brasil!A266)</f>
        <v/>
      </c>
      <c r="D266" s="1" t="str">
        <f aca="false">IF(Brasil!C266="","",Brasil!E266)</f>
        <v/>
      </c>
      <c r="E266" s="1" t="str">
        <f aca="false">IF(Brasil!C266="","",Brasil!F266)</f>
        <v/>
      </c>
      <c r="F266" s="1" t="str">
        <f aca="false">IF(Brasil!C266="","",Brasil!D266)</f>
        <v/>
      </c>
      <c r="I266" s="1" t="str">
        <f aca="false">IF(Brasil!C266="","",Brasil!H266)</f>
        <v/>
      </c>
      <c r="J266" s="1" t="str">
        <f aca="false">IF(Brasil!C266="","",Brasil!D266*Brasil!H266)</f>
        <v/>
      </c>
      <c r="K266" s="1" t="str">
        <f aca="false">IF(Brasil!C266="","","BR")</f>
        <v/>
      </c>
      <c r="L266" s="1" t="str">
        <f aca="false">IF(Brasil!C266="","",IFERROR(INDEX(Gamma_Catalogo!$D$3:$D$1451,MATCH(Brasil!E266,Gamma_Catalogo!$A$3:$A$1451,0)),"Revisar Ip Code"))</f>
        <v/>
      </c>
      <c r="M266" s="1" t="str">
        <f aca="false">IF(Brasil!C266="","",IFERROR(INDEX(Gamma_Catalogo!$C$3:$C$1451,MATCH(Brasil!E266,Gamma_Catalogo!$A$3:$A$1451,0)),"Revisar Ip Code"))</f>
        <v/>
      </c>
      <c r="N266" s="1" t="str">
        <f aca="false">IF(Brasil!C266="","",IFERROR(INDEX(Gamma_Catalogo!$E$3:$E$1451,MATCH(Brasil!E266,Gamma_Catalogo!$A$3:$A$1451,0)),"Revisar Ip Code"))</f>
        <v/>
      </c>
      <c r="O266" s="1" t="str">
        <f aca="false">IF(Brasil!C266="","","Brasil")</f>
        <v/>
      </c>
    </row>
    <row r="267" customFormat="false" ht="15" hidden="false" customHeight="true" outlineLevel="0" collapsed="false">
      <c r="A267" s="1" t="str">
        <f aca="false">IF(Brasil!C267="","",IFERROR(INDEX(Mercados!$C$2:$C$32,MATCH(Brasil!B267,Mercados!$A$2:$A$32,0)),"Revisar Tscode"))</f>
        <v/>
      </c>
      <c r="B267" s="1" t="str">
        <f aca="false">IF(Brasil!C267="","",Brasil!C267)</f>
        <v/>
      </c>
      <c r="C267" s="1" t="str">
        <f aca="false">IF(Brasil!C267="","",Brasil!A267)</f>
        <v/>
      </c>
      <c r="D267" s="1" t="str">
        <f aca="false">IF(Brasil!C267="","",Brasil!E267)</f>
        <v/>
      </c>
      <c r="E267" s="1" t="str">
        <f aca="false">IF(Brasil!C267="","",Brasil!F267)</f>
        <v/>
      </c>
      <c r="F267" s="1" t="str">
        <f aca="false">IF(Brasil!C267="","",Brasil!D267)</f>
        <v/>
      </c>
      <c r="I267" s="1" t="str">
        <f aca="false">IF(Brasil!C267="","",Brasil!H267)</f>
        <v/>
      </c>
      <c r="J267" s="1" t="str">
        <f aca="false">IF(Brasil!C267="","",Brasil!D267*Brasil!H267)</f>
        <v/>
      </c>
      <c r="K267" s="1" t="str">
        <f aca="false">IF(Brasil!C267="","","BR")</f>
        <v/>
      </c>
      <c r="L267" s="1" t="str">
        <f aca="false">IF(Brasil!C267="","",IFERROR(INDEX(Gamma_Catalogo!$D$3:$D$1451,MATCH(Brasil!E267,Gamma_Catalogo!$A$3:$A$1451,0)),"Revisar Ip Code"))</f>
        <v/>
      </c>
      <c r="M267" s="1" t="str">
        <f aca="false">IF(Brasil!C267="","",IFERROR(INDEX(Gamma_Catalogo!$C$3:$C$1451,MATCH(Brasil!E267,Gamma_Catalogo!$A$3:$A$1451,0)),"Revisar Ip Code"))</f>
        <v/>
      </c>
      <c r="N267" s="1" t="str">
        <f aca="false">IF(Brasil!C267="","",IFERROR(INDEX(Gamma_Catalogo!$E$3:$E$1451,MATCH(Brasil!E267,Gamma_Catalogo!$A$3:$A$1451,0)),"Revisar Ip Code"))</f>
        <v/>
      </c>
      <c r="O267" s="1" t="str">
        <f aca="false">IF(Brasil!C267="","","Brasil")</f>
        <v/>
      </c>
    </row>
    <row r="268" customFormat="false" ht="15" hidden="false" customHeight="true" outlineLevel="0" collapsed="false">
      <c r="A268" s="1" t="str">
        <f aca="false">IF(Brasil!C268="","",IFERROR(INDEX(Mercados!$C$2:$C$32,MATCH(Brasil!B268,Mercados!$A$2:$A$32,0)),"Revisar Tscode"))</f>
        <v/>
      </c>
      <c r="B268" s="1" t="str">
        <f aca="false">IF(Brasil!C268="","",Brasil!C268)</f>
        <v/>
      </c>
      <c r="C268" s="1" t="str">
        <f aca="false">IF(Brasil!C268="","",Brasil!A268)</f>
        <v/>
      </c>
      <c r="D268" s="1" t="str">
        <f aca="false">IF(Brasil!C268="","",Brasil!E268)</f>
        <v/>
      </c>
      <c r="E268" s="1" t="str">
        <f aca="false">IF(Brasil!C268="","",Brasil!F268)</f>
        <v/>
      </c>
      <c r="F268" s="1" t="str">
        <f aca="false">IF(Brasil!C268="","",Brasil!D268)</f>
        <v/>
      </c>
      <c r="I268" s="1" t="str">
        <f aca="false">IF(Brasil!C268="","",Brasil!H268)</f>
        <v/>
      </c>
      <c r="J268" s="1" t="str">
        <f aca="false">IF(Brasil!C268="","",Brasil!D268*Brasil!H268)</f>
        <v/>
      </c>
      <c r="K268" s="1" t="str">
        <f aca="false">IF(Brasil!C268="","","BR")</f>
        <v/>
      </c>
      <c r="L268" s="1" t="str">
        <f aca="false">IF(Brasil!C268="","",IFERROR(INDEX(Gamma_Catalogo!$D$3:$D$1451,MATCH(Brasil!E268,Gamma_Catalogo!$A$3:$A$1451,0)),"Revisar Ip Code"))</f>
        <v/>
      </c>
      <c r="M268" s="1" t="str">
        <f aca="false">IF(Brasil!C268="","",IFERROR(INDEX(Gamma_Catalogo!$C$3:$C$1451,MATCH(Brasil!E268,Gamma_Catalogo!$A$3:$A$1451,0)),"Revisar Ip Code"))</f>
        <v/>
      </c>
      <c r="N268" s="1" t="str">
        <f aca="false">IF(Brasil!C268="","",IFERROR(INDEX(Gamma_Catalogo!$E$3:$E$1451,MATCH(Brasil!E268,Gamma_Catalogo!$A$3:$A$1451,0)),"Revisar Ip Code"))</f>
        <v/>
      </c>
      <c r="O268" s="1" t="str">
        <f aca="false">IF(Brasil!C268="","","Brasil")</f>
        <v/>
      </c>
    </row>
    <row r="269" customFormat="false" ht="15" hidden="false" customHeight="true" outlineLevel="0" collapsed="false">
      <c r="A269" s="1" t="str">
        <f aca="false">IF(Brasil!C269="","",IFERROR(INDEX(Mercados!$C$2:$C$32,MATCH(Brasil!B269,Mercados!$A$2:$A$32,0)),"Revisar Tscode"))</f>
        <v/>
      </c>
      <c r="B269" s="1" t="str">
        <f aca="false">IF(Brasil!C269="","",Brasil!C269)</f>
        <v/>
      </c>
      <c r="C269" s="1" t="str">
        <f aca="false">IF(Brasil!C269="","",Brasil!A269)</f>
        <v/>
      </c>
      <c r="D269" s="1" t="str">
        <f aca="false">IF(Brasil!C269="","",Brasil!E269)</f>
        <v/>
      </c>
      <c r="E269" s="1" t="str">
        <f aca="false">IF(Brasil!C269="","",Brasil!F269)</f>
        <v/>
      </c>
      <c r="F269" s="1" t="str">
        <f aca="false">IF(Brasil!C269="","",Brasil!D269)</f>
        <v/>
      </c>
      <c r="I269" s="1" t="str">
        <f aca="false">IF(Brasil!C269="","",Brasil!H269)</f>
        <v/>
      </c>
      <c r="J269" s="1" t="str">
        <f aca="false">IF(Brasil!C269="","",Brasil!D269*Brasil!H269)</f>
        <v/>
      </c>
      <c r="K269" s="1" t="str">
        <f aca="false">IF(Brasil!C269="","","BR")</f>
        <v/>
      </c>
      <c r="L269" s="1" t="str">
        <f aca="false">IF(Brasil!C269="","",IFERROR(INDEX(Gamma_Catalogo!$D$3:$D$1451,MATCH(Brasil!E269,Gamma_Catalogo!$A$3:$A$1451,0)),"Revisar Ip Code"))</f>
        <v/>
      </c>
      <c r="M269" s="1" t="str">
        <f aca="false">IF(Brasil!C269="","",IFERROR(INDEX(Gamma_Catalogo!$C$3:$C$1451,MATCH(Brasil!E269,Gamma_Catalogo!$A$3:$A$1451,0)),"Revisar Ip Code"))</f>
        <v/>
      </c>
      <c r="N269" s="1" t="str">
        <f aca="false">IF(Brasil!C269="","",IFERROR(INDEX(Gamma_Catalogo!$E$3:$E$1451,MATCH(Brasil!E269,Gamma_Catalogo!$A$3:$A$1451,0)),"Revisar Ip Code"))</f>
        <v/>
      </c>
      <c r="O269" s="1" t="str">
        <f aca="false">IF(Brasil!C269="","","Brasil")</f>
        <v/>
      </c>
    </row>
    <row r="270" customFormat="false" ht="15" hidden="false" customHeight="true" outlineLevel="0" collapsed="false">
      <c r="A270" s="1" t="str">
        <f aca="false">IF(Brasil!C270="","",IFERROR(INDEX(Mercados!$C$2:$C$32,MATCH(Brasil!B270,Mercados!$A$2:$A$32,0)),"Revisar Tscode"))</f>
        <v/>
      </c>
      <c r="B270" s="1" t="str">
        <f aca="false">IF(Brasil!C270="","",Brasil!C270)</f>
        <v/>
      </c>
      <c r="C270" s="1" t="str">
        <f aca="false">IF(Brasil!C270="","",Brasil!A270)</f>
        <v/>
      </c>
      <c r="D270" s="1" t="str">
        <f aca="false">IF(Brasil!C270="","",Brasil!E270)</f>
        <v/>
      </c>
      <c r="E270" s="1" t="str">
        <f aca="false">IF(Brasil!C270="","",Brasil!F270)</f>
        <v/>
      </c>
      <c r="F270" s="1" t="str">
        <f aca="false">IF(Brasil!C270="","",Brasil!D270)</f>
        <v/>
      </c>
      <c r="I270" s="1" t="str">
        <f aca="false">IF(Brasil!C270="","",Brasil!H270)</f>
        <v/>
      </c>
      <c r="J270" s="1" t="str">
        <f aca="false">IF(Brasil!C270="","",Brasil!D270*Brasil!H270)</f>
        <v/>
      </c>
      <c r="K270" s="1" t="str">
        <f aca="false">IF(Brasil!C270="","","BR")</f>
        <v/>
      </c>
      <c r="L270" s="1" t="str">
        <f aca="false">IF(Brasil!C270="","",IFERROR(INDEX(Gamma_Catalogo!$D$3:$D$1451,MATCH(Brasil!E270,Gamma_Catalogo!$A$3:$A$1451,0)),"Revisar Ip Code"))</f>
        <v/>
      </c>
      <c r="M270" s="1" t="str">
        <f aca="false">IF(Brasil!C270="","",IFERROR(INDEX(Gamma_Catalogo!$C$3:$C$1451,MATCH(Brasil!E270,Gamma_Catalogo!$A$3:$A$1451,0)),"Revisar Ip Code"))</f>
        <v/>
      </c>
      <c r="N270" s="1" t="str">
        <f aca="false">IF(Brasil!C270="","",IFERROR(INDEX(Gamma_Catalogo!$E$3:$E$1451,MATCH(Brasil!E270,Gamma_Catalogo!$A$3:$A$1451,0)),"Revisar Ip Code"))</f>
        <v/>
      </c>
      <c r="O270" s="1" t="str">
        <f aca="false">IF(Brasil!C270="","","Brasil")</f>
        <v/>
      </c>
    </row>
    <row r="271" customFormat="false" ht="15" hidden="false" customHeight="true" outlineLevel="0" collapsed="false">
      <c r="A271" s="1" t="str">
        <f aca="false">IF(Brasil!C271="","",IFERROR(INDEX(Mercados!$C$2:$C$32,MATCH(Brasil!B271,Mercados!$A$2:$A$32,0)),"Revisar Tscode"))</f>
        <v/>
      </c>
      <c r="B271" s="1" t="str">
        <f aca="false">IF(Brasil!C271="","",Brasil!C271)</f>
        <v/>
      </c>
      <c r="C271" s="1" t="str">
        <f aca="false">IF(Brasil!C271="","",Brasil!A271)</f>
        <v/>
      </c>
      <c r="D271" s="1" t="str">
        <f aca="false">IF(Brasil!C271="","",Brasil!E271)</f>
        <v/>
      </c>
      <c r="E271" s="1" t="str">
        <f aca="false">IF(Brasil!C271="","",Brasil!F271)</f>
        <v/>
      </c>
      <c r="F271" s="1" t="str">
        <f aca="false">IF(Brasil!C271="","",Brasil!D271)</f>
        <v/>
      </c>
      <c r="I271" s="1" t="str">
        <f aca="false">IF(Brasil!C271="","",Brasil!H271)</f>
        <v/>
      </c>
      <c r="J271" s="1" t="str">
        <f aca="false">IF(Brasil!C271="","",Brasil!D271*Brasil!H271)</f>
        <v/>
      </c>
      <c r="K271" s="1" t="str">
        <f aca="false">IF(Brasil!C271="","","BR")</f>
        <v/>
      </c>
      <c r="L271" s="1" t="str">
        <f aca="false">IF(Brasil!C271="","",IFERROR(INDEX(Gamma_Catalogo!$D$3:$D$1451,MATCH(Brasil!E271,Gamma_Catalogo!$A$3:$A$1451,0)),"Revisar Ip Code"))</f>
        <v/>
      </c>
      <c r="M271" s="1" t="str">
        <f aca="false">IF(Brasil!C271="","",IFERROR(INDEX(Gamma_Catalogo!$C$3:$C$1451,MATCH(Brasil!E271,Gamma_Catalogo!$A$3:$A$1451,0)),"Revisar Ip Code"))</f>
        <v/>
      </c>
      <c r="N271" s="1" t="str">
        <f aca="false">IF(Brasil!C271="","",IFERROR(INDEX(Gamma_Catalogo!$E$3:$E$1451,MATCH(Brasil!E271,Gamma_Catalogo!$A$3:$A$1451,0)),"Revisar Ip Code"))</f>
        <v/>
      </c>
      <c r="O271" s="1" t="str">
        <f aca="false">IF(Brasil!C271="","","Brasil")</f>
        <v/>
      </c>
    </row>
    <row r="272" customFormat="false" ht="15" hidden="false" customHeight="true" outlineLevel="0" collapsed="false">
      <c r="A272" s="1" t="str">
        <f aca="false">IF(Brasil!C272="","",IFERROR(INDEX(Mercados!$C$2:$C$32,MATCH(Brasil!B272,Mercados!$A$2:$A$32,0)),"Revisar Tscode"))</f>
        <v/>
      </c>
      <c r="B272" s="1" t="str">
        <f aca="false">IF(Brasil!C272="","",Brasil!C272)</f>
        <v/>
      </c>
      <c r="C272" s="1" t="str">
        <f aca="false">IF(Brasil!C272="","",Brasil!A272)</f>
        <v/>
      </c>
      <c r="D272" s="1" t="str">
        <f aca="false">IF(Brasil!C272="","",Brasil!E272)</f>
        <v/>
      </c>
      <c r="E272" s="1" t="str">
        <f aca="false">IF(Brasil!C272="","",Brasil!F272)</f>
        <v/>
      </c>
      <c r="F272" s="1" t="str">
        <f aca="false">IF(Brasil!C272="","",Brasil!D272)</f>
        <v/>
      </c>
      <c r="I272" s="1" t="str">
        <f aca="false">IF(Brasil!C272="","",Brasil!H272)</f>
        <v/>
      </c>
      <c r="J272" s="1" t="str">
        <f aca="false">IF(Brasil!C272="","",Brasil!D272*Brasil!H272)</f>
        <v/>
      </c>
      <c r="K272" s="1" t="str">
        <f aca="false">IF(Brasil!C272="","","BR")</f>
        <v/>
      </c>
      <c r="L272" s="1" t="str">
        <f aca="false">IF(Brasil!C272="","",IFERROR(INDEX(Gamma_Catalogo!$D$3:$D$1451,MATCH(Brasil!E272,Gamma_Catalogo!$A$3:$A$1451,0)),"Revisar Ip Code"))</f>
        <v/>
      </c>
      <c r="M272" s="1" t="str">
        <f aca="false">IF(Brasil!C272="","",IFERROR(INDEX(Gamma_Catalogo!$C$3:$C$1451,MATCH(Brasil!E272,Gamma_Catalogo!$A$3:$A$1451,0)),"Revisar Ip Code"))</f>
        <v/>
      </c>
      <c r="N272" s="1" t="str">
        <f aca="false">IF(Brasil!C272="","",IFERROR(INDEX(Gamma_Catalogo!$E$3:$E$1451,MATCH(Brasil!E272,Gamma_Catalogo!$A$3:$A$1451,0)),"Revisar Ip Code"))</f>
        <v/>
      </c>
      <c r="O272" s="1" t="str">
        <f aca="false">IF(Brasil!C272="","","Brasil")</f>
        <v/>
      </c>
    </row>
    <row r="273" customFormat="false" ht="15" hidden="false" customHeight="true" outlineLevel="0" collapsed="false">
      <c r="A273" s="1" t="str">
        <f aca="false">IF(Brasil!C273="","",IFERROR(INDEX(Mercados!$C$2:$C$32,MATCH(Brasil!B273,Mercados!$A$2:$A$32,0)),"Revisar Tscode"))</f>
        <v/>
      </c>
      <c r="B273" s="1" t="str">
        <f aca="false">IF(Brasil!C273="","",Brasil!C273)</f>
        <v/>
      </c>
      <c r="C273" s="1" t="str">
        <f aca="false">IF(Brasil!C273="","",Brasil!A273)</f>
        <v/>
      </c>
      <c r="D273" s="1" t="str">
        <f aca="false">IF(Brasil!C273="","",Brasil!E273)</f>
        <v/>
      </c>
      <c r="E273" s="1" t="str">
        <f aca="false">IF(Brasil!C273="","",Brasil!F273)</f>
        <v/>
      </c>
      <c r="F273" s="1" t="str">
        <f aca="false">IF(Brasil!C273="","",Brasil!D273)</f>
        <v/>
      </c>
      <c r="I273" s="1" t="str">
        <f aca="false">IF(Brasil!C273="","",Brasil!H273)</f>
        <v/>
      </c>
      <c r="J273" s="1" t="str">
        <f aca="false">IF(Brasil!C273="","",Brasil!D273*Brasil!H273)</f>
        <v/>
      </c>
      <c r="K273" s="1" t="str">
        <f aca="false">IF(Brasil!C273="","","BR")</f>
        <v/>
      </c>
      <c r="L273" s="1" t="str">
        <f aca="false">IF(Brasil!C273="","",IFERROR(INDEX(Gamma_Catalogo!$D$3:$D$1451,MATCH(Brasil!E273,Gamma_Catalogo!$A$3:$A$1451,0)),"Revisar Ip Code"))</f>
        <v/>
      </c>
      <c r="M273" s="1" t="str">
        <f aca="false">IF(Brasil!C273="","",IFERROR(INDEX(Gamma_Catalogo!$C$3:$C$1451,MATCH(Brasil!E273,Gamma_Catalogo!$A$3:$A$1451,0)),"Revisar Ip Code"))</f>
        <v/>
      </c>
      <c r="N273" s="1" t="str">
        <f aca="false">IF(Brasil!C273="","",IFERROR(INDEX(Gamma_Catalogo!$E$3:$E$1451,MATCH(Brasil!E273,Gamma_Catalogo!$A$3:$A$1451,0)),"Revisar Ip Code"))</f>
        <v/>
      </c>
      <c r="O273" s="1" t="str">
        <f aca="false">IF(Brasil!C273="","","Brasil")</f>
        <v/>
      </c>
    </row>
    <row r="274" customFormat="false" ht="15" hidden="false" customHeight="true" outlineLevel="0" collapsed="false">
      <c r="A274" s="1" t="str">
        <f aca="false">IF(Brasil!C274="","",IFERROR(INDEX(Mercados!$C$2:$C$32,MATCH(Brasil!B274,Mercados!$A$2:$A$32,0)),"Revisar Tscode"))</f>
        <v/>
      </c>
      <c r="B274" s="1" t="str">
        <f aca="false">IF(Brasil!C274="","",Brasil!C274)</f>
        <v/>
      </c>
      <c r="C274" s="1" t="str">
        <f aca="false">IF(Brasil!C274="","",Brasil!A274)</f>
        <v/>
      </c>
      <c r="D274" s="1" t="str">
        <f aca="false">IF(Brasil!C274="","",Brasil!E274)</f>
        <v/>
      </c>
      <c r="E274" s="1" t="str">
        <f aca="false">IF(Brasil!C274="","",Brasil!F274)</f>
        <v/>
      </c>
      <c r="F274" s="1" t="str">
        <f aca="false">IF(Brasil!C274="","",Brasil!D274)</f>
        <v/>
      </c>
      <c r="I274" s="1" t="str">
        <f aca="false">IF(Brasil!C274="","",Brasil!H274)</f>
        <v/>
      </c>
      <c r="J274" s="1" t="str">
        <f aca="false">IF(Brasil!C274="","",Brasil!D274*Brasil!H274)</f>
        <v/>
      </c>
      <c r="K274" s="1" t="str">
        <f aca="false">IF(Brasil!C274="","","BR")</f>
        <v/>
      </c>
      <c r="L274" s="1" t="str">
        <f aca="false">IF(Brasil!C274="","",IFERROR(INDEX(Gamma_Catalogo!$D$3:$D$1451,MATCH(Brasil!E274,Gamma_Catalogo!$A$3:$A$1451,0)),"Revisar Ip Code"))</f>
        <v/>
      </c>
      <c r="M274" s="1" t="str">
        <f aca="false">IF(Brasil!C274="","",IFERROR(INDEX(Gamma_Catalogo!$C$3:$C$1451,MATCH(Brasil!E274,Gamma_Catalogo!$A$3:$A$1451,0)),"Revisar Ip Code"))</f>
        <v/>
      </c>
      <c r="N274" s="1" t="str">
        <f aca="false">IF(Brasil!C274="","",IFERROR(INDEX(Gamma_Catalogo!$E$3:$E$1451,MATCH(Brasil!E274,Gamma_Catalogo!$A$3:$A$1451,0)),"Revisar Ip Code"))</f>
        <v/>
      </c>
      <c r="O274" s="1" t="str">
        <f aca="false">IF(Brasil!C274="","","Brasil")</f>
        <v/>
      </c>
    </row>
    <row r="275" customFormat="false" ht="15" hidden="false" customHeight="true" outlineLevel="0" collapsed="false">
      <c r="A275" s="1" t="str">
        <f aca="false">IF(Brasil!C275="","",IFERROR(INDEX(Mercados!$C$2:$C$32,MATCH(Brasil!B275,Mercados!$A$2:$A$32,0)),"Revisar Tscode"))</f>
        <v/>
      </c>
      <c r="B275" s="1" t="str">
        <f aca="false">IF(Brasil!C275="","",Brasil!C275)</f>
        <v/>
      </c>
      <c r="C275" s="1" t="str">
        <f aca="false">IF(Brasil!C275="","",Brasil!A275)</f>
        <v/>
      </c>
      <c r="D275" s="1" t="str">
        <f aca="false">IF(Brasil!C275="","",Brasil!E275)</f>
        <v/>
      </c>
      <c r="E275" s="1" t="str">
        <f aca="false">IF(Brasil!C275="","",Brasil!F275)</f>
        <v/>
      </c>
      <c r="F275" s="1" t="str">
        <f aca="false">IF(Brasil!C275="","",Brasil!D275)</f>
        <v/>
      </c>
      <c r="I275" s="1" t="str">
        <f aca="false">IF(Brasil!C275="","",Brasil!H275)</f>
        <v/>
      </c>
      <c r="J275" s="1" t="str">
        <f aca="false">IF(Brasil!C275="","",Brasil!D275*Brasil!H275)</f>
        <v/>
      </c>
      <c r="K275" s="1" t="str">
        <f aca="false">IF(Brasil!C275="","","BR")</f>
        <v/>
      </c>
      <c r="L275" s="1" t="str">
        <f aca="false">IF(Brasil!C275="","",IFERROR(INDEX(Gamma_Catalogo!$D$3:$D$1451,MATCH(Brasil!E275,Gamma_Catalogo!$A$3:$A$1451,0)),"Revisar Ip Code"))</f>
        <v/>
      </c>
      <c r="M275" s="1" t="str">
        <f aca="false">IF(Brasil!C275="","",IFERROR(INDEX(Gamma_Catalogo!$C$3:$C$1451,MATCH(Brasil!E275,Gamma_Catalogo!$A$3:$A$1451,0)),"Revisar Ip Code"))</f>
        <v/>
      </c>
      <c r="N275" s="1" t="str">
        <f aca="false">IF(Brasil!C275="","",IFERROR(INDEX(Gamma_Catalogo!$E$3:$E$1451,MATCH(Brasil!E275,Gamma_Catalogo!$A$3:$A$1451,0)),"Revisar Ip Code"))</f>
        <v/>
      </c>
      <c r="O275" s="1" t="str">
        <f aca="false">IF(Brasil!C275="","","Brasil")</f>
        <v/>
      </c>
    </row>
    <row r="276" customFormat="false" ht="15" hidden="false" customHeight="true" outlineLevel="0" collapsed="false">
      <c r="A276" s="1" t="str">
        <f aca="false">IF(Brasil!C276="","",IFERROR(INDEX(Mercados!$C$2:$C$32,MATCH(Brasil!B276,Mercados!$A$2:$A$32,0)),"Revisar Tscode"))</f>
        <v/>
      </c>
      <c r="B276" s="1" t="str">
        <f aca="false">IF(Brasil!C276="","",Brasil!C276)</f>
        <v/>
      </c>
      <c r="C276" s="1" t="str">
        <f aca="false">IF(Brasil!C276="","",Brasil!A276)</f>
        <v/>
      </c>
      <c r="D276" s="1" t="str">
        <f aca="false">IF(Brasil!C276="","",Brasil!E276)</f>
        <v/>
      </c>
      <c r="E276" s="1" t="str">
        <f aca="false">IF(Brasil!C276="","",Brasil!F276)</f>
        <v/>
      </c>
      <c r="F276" s="1" t="str">
        <f aca="false">IF(Brasil!C276="","",Brasil!D276)</f>
        <v/>
      </c>
      <c r="I276" s="1" t="str">
        <f aca="false">IF(Brasil!C276="","",Brasil!H276)</f>
        <v/>
      </c>
      <c r="J276" s="1" t="str">
        <f aca="false">IF(Brasil!C276="","",Brasil!D276*Brasil!H276)</f>
        <v/>
      </c>
      <c r="K276" s="1" t="str">
        <f aca="false">IF(Brasil!C276="","","BR")</f>
        <v/>
      </c>
      <c r="L276" s="1" t="str">
        <f aca="false">IF(Brasil!C276="","",IFERROR(INDEX(Gamma_Catalogo!$D$3:$D$1451,MATCH(Brasil!E276,Gamma_Catalogo!$A$3:$A$1451,0)),"Revisar Ip Code"))</f>
        <v/>
      </c>
      <c r="M276" s="1" t="str">
        <f aca="false">IF(Brasil!C276="","",IFERROR(INDEX(Gamma_Catalogo!$C$3:$C$1451,MATCH(Brasil!E276,Gamma_Catalogo!$A$3:$A$1451,0)),"Revisar Ip Code"))</f>
        <v/>
      </c>
      <c r="N276" s="1" t="str">
        <f aca="false">IF(Brasil!C276="","",IFERROR(INDEX(Gamma_Catalogo!$E$3:$E$1451,MATCH(Brasil!E276,Gamma_Catalogo!$A$3:$A$1451,0)),"Revisar Ip Code"))</f>
        <v/>
      </c>
      <c r="O276" s="1" t="str">
        <f aca="false">IF(Brasil!C276="","","Brasil")</f>
        <v/>
      </c>
    </row>
    <row r="277" customFormat="false" ht="15" hidden="false" customHeight="true" outlineLevel="0" collapsed="false">
      <c r="A277" s="1" t="str">
        <f aca="false">IF(Brasil!C277="","",IFERROR(INDEX(Mercados!$C$2:$C$32,MATCH(Brasil!B277,Mercados!$A$2:$A$32,0)),"Revisar Tscode"))</f>
        <v/>
      </c>
      <c r="B277" s="1" t="str">
        <f aca="false">IF(Brasil!C277="","",Brasil!C277)</f>
        <v/>
      </c>
      <c r="C277" s="1" t="str">
        <f aca="false">IF(Brasil!C277="","",Brasil!A277)</f>
        <v/>
      </c>
      <c r="D277" s="1" t="str">
        <f aca="false">IF(Brasil!C277="","",Brasil!E277)</f>
        <v/>
      </c>
      <c r="E277" s="1" t="str">
        <f aca="false">IF(Brasil!C277="","",Brasil!F277)</f>
        <v/>
      </c>
      <c r="F277" s="1" t="str">
        <f aca="false">IF(Brasil!C277="","",Brasil!D277)</f>
        <v/>
      </c>
      <c r="I277" s="1" t="str">
        <f aca="false">IF(Brasil!C277="","",Brasil!H277)</f>
        <v/>
      </c>
      <c r="J277" s="1" t="str">
        <f aca="false">IF(Brasil!C277="","",Brasil!D277*Brasil!H277)</f>
        <v/>
      </c>
      <c r="K277" s="1" t="str">
        <f aca="false">IF(Brasil!C277="","","BR")</f>
        <v/>
      </c>
      <c r="L277" s="1" t="str">
        <f aca="false">IF(Brasil!C277="","",IFERROR(INDEX(Gamma_Catalogo!$D$3:$D$1451,MATCH(Brasil!E277,Gamma_Catalogo!$A$3:$A$1451,0)),"Revisar Ip Code"))</f>
        <v/>
      </c>
      <c r="M277" s="1" t="str">
        <f aca="false">IF(Brasil!C277="","",IFERROR(INDEX(Gamma_Catalogo!$C$3:$C$1451,MATCH(Brasil!E277,Gamma_Catalogo!$A$3:$A$1451,0)),"Revisar Ip Code"))</f>
        <v/>
      </c>
      <c r="N277" s="1" t="str">
        <f aca="false">IF(Brasil!C277="","",IFERROR(INDEX(Gamma_Catalogo!$E$3:$E$1451,MATCH(Brasil!E277,Gamma_Catalogo!$A$3:$A$1451,0)),"Revisar Ip Code"))</f>
        <v/>
      </c>
      <c r="O277" s="1" t="str">
        <f aca="false">IF(Brasil!C277="","","Brasil")</f>
        <v/>
      </c>
    </row>
    <row r="278" customFormat="false" ht="15" hidden="false" customHeight="true" outlineLevel="0" collapsed="false">
      <c r="A278" s="1" t="str">
        <f aca="false">IF(Brasil!C278="","",IFERROR(INDEX(Mercados!$C$2:$C$32,MATCH(Brasil!B278,Mercados!$A$2:$A$32,0)),"Revisar Tscode"))</f>
        <v/>
      </c>
      <c r="B278" s="1" t="str">
        <f aca="false">IF(Brasil!C278="","",Brasil!C278)</f>
        <v/>
      </c>
      <c r="C278" s="1" t="str">
        <f aca="false">IF(Brasil!C278="","",Brasil!A278)</f>
        <v/>
      </c>
      <c r="D278" s="1" t="str">
        <f aca="false">IF(Brasil!C278="","",Brasil!E278)</f>
        <v/>
      </c>
      <c r="E278" s="1" t="str">
        <f aca="false">IF(Brasil!C278="","",Brasil!F278)</f>
        <v/>
      </c>
      <c r="F278" s="1" t="str">
        <f aca="false">IF(Brasil!C278="","",Brasil!D278)</f>
        <v/>
      </c>
      <c r="I278" s="1" t="str">
        <f aca="false">IF(Brasil!C278="","",Brasil!H278)</f>
        <v/>
      </c>
      <c r="J278" s="1" t="str">
        <f aca="false">IF(Brasil!C278="","",Brasil!D278*Brasil!H278)</f>
        <v/>
      </c>
      <c r="K278" s="1" t="str">
        <f aca="false">IF(Brasil!C278="","","BR")</f>
        <v/>
      </c>
      <c r="L278" s="1" t="str">
        <f aca="false">IF(Brasil!C278="","",IFERROR(INDEX(Gamma_Catalogo!$D$3:$D$1451,MATCH(Brasil!E278,Gamma_Catalogo!$A$3:$A$1451,0)),"Revisar Ip Code"))</f>
        <v/>
      </c>
      <c r="M278" s="1" t="str">
        <f aca="false">IF(Brasil!C278="","",IFERROR(INDEX(Gamma_Catalogo!$C$3:$C$1451,MATCH(Brasil!E278,Gamma_Catalogo!$A$3:$A$1451,0)),"Revisar Ip Code"))</f>
        <v/>
      </c>
      <c r="N278" s="1" t="str">
        <f aca="false">IF(Brasil!C278="","",IFERROR(INDEX(Gamma_Catalogo!$E$3:$E$1451,MATCH(Brasil!E278,Gamma_Catalogo!$A$3:$A$1451,0)),"Revisar Ip Code"))</f>
        <v/>
      </c>
      <c r="O278" s="1" t="str">
        <f aca="false">IF(Brasil!C278="","","Brasil")</f>
        <v/>
      </c>
    </row>
    <row r="279" customFormat="false" ht="15" hidden="false" customHeight="true" outlineLevel="0" collapsed="false">
      <c r="A279" s="1" t="str">
        <f aca="false">IF(Brasil!C279="","",IFERROR(INDEX(Mercados!$C$2:$C$32,MATCH(Brasil!B279,Mercados!$A$2:$A$32,0)),"Revisar Tscode"))</f>
        <v/>
      </c>
      <c r="B279" s="1" t="str">
        <f aca="false">IF(Brasil!C279="","",Brasil!C279)</f>
        <v/>
      </c>
      <c r="C279" s="1" t="str">
        <f aca="false">IF(Brasil!C279="","",Brasil!A279)</f>
        <v/>
      </c>
      <c r="D279" s="1" t="str">
        <f aca="false">IF(Brasil!C279="","",Brasil!E279)</f>
        <v/>
      </c>
      <c r="E279" s="1" t="str">
        <f aca="false">IF(Brasil!C279="","",Brasil!F279)</f>
        <v/>
      </c>
      <c r="F279" s="1" t="str">
        <f aca="false">IF(Brasil!C279="","",Brasil!D279)</f>
        <v/>
      </c>
      <c r="I279" s="1" t="str">
        <f aca="false">IF(Brasil!C279="","",Brasil!H279)</f>
        <v/>
      </c>
      <c r="J279" s="1" t="str">
        <f aca="false">IF(Brasil!C279="","",Brasil!D279*Brasil!H279)</f>
        <v/>
      </c>
      <c r="K279" s="1" t="str">
        <f aca="false">IF(Brasil!C279="","","BR")</f>
        <v/>
      </c>
      <c r="L279" s="1" t="str">
        <f aca="false">IF(Brasil!C279="","",IFERROR(INDEX(Gamma_Catalogo!$D$3:$D$1451,MATCH(Brasil!E279,Gamma_Catalogo!$A$3:$A$1451,0)),"Revisar Ip Code"))</f>
        <v/>
      </c>
      <c r="M279" s="1" t="str">
        <f aca="false">IF(Brasil!C279="","",IFERROR(INDEX(Gamma_Catalogo!$C$3:$C$1451,MATCH(Brasil!E279,Gamma_Catalogo!$A$3:$A$1451,0)),"Revisar Ip Code"))</f>
        <v/>
      </c>
      <c r="N279" s="1" t="str">
        <f aca="false">IF(Brasil!C279="","",IFERROR(INDEX(Gamma_Catalogo!$E$3:$E$1451,MATCH(Brasil!E279,Gamma_Catalogo!$A$3:$A$1451,0)),"Revisar Ip Code"))</f>
        <v/>
      </c>
      <c r="O279" s="1" t="str">
        <f aca="false">IF(Brasil!C279="","","Brasil")</f>
        <v/>
      </c>
    </row>
    <row r="280" customFormat="false" ht="15" hidden="false" customHeight="true" outlineLevel="0" collapsed="false">
      <c r="A280" s="1" t="str">
        <f aca="false">IF(Brasil!C280="","",IFERROR(INDEX(Mercados!$C$2:$C$32,MATCH(Brasil!B280,Mercados!$A$2:$A$32,0)),"Revisar Tscode"))</f>
        <v/>
      </c>
      <c r="B280" s="1" t="str">
        <f aca="false">IF(Brasil!C280="","",Brasil!C280)</f>
        <v/>
      </c>
      <c r="C280" s="1" t="str">
        <f aca="false">IF(Brasil!C280="","",Brasil!A280)</f>
        <v/>
      </c>
      <c r="D280" s="1" t="str">
        <f aca="false">IF(Brasil!C280="","",Brasil!E280)</f>
        <v/>
      </c>
      <c r="E280" s="1" t="str">
        <f aca="false">IF(Brasil!C280="","",Brasil!F280)</f>
        <v/>
      </c>
      <c r="F280" s="1" t="str">
        <f aca="false">IF(Brasil!C280="","",Brasil!D280)</f>
        <v/>
      </c>
      <c r="I280" s="1" t="str">
        <f aca="false">IF(Brasil!C280="","",Brasil!H280)</f>
        <v/>
      </c>
      <c r="J280" s="1" t="str">
        <f aca="false">IF(Brasil!C280="","",Brasil!D280*Brasil!H280)</f>
        <v/>
      </c>
      <c r="K280" s="1" t="str">
        <f aca="false">IF(Brasil!C280="","","BR")</f>
        <v/>
      </c>
      <c r="L280" s="1" t="str">
        <f aca="false">IF(Brasil!C280="","",IFERROR(INDEX(Gamma_Catalogo!$D$3:$D$1451,MATCH(Brasil!E280,Gamma_Catalogo!$A$3:$A$1451,0)),"Revisar Ip Code"))</f>
        <v/>
      </c>
      <c r="M280" s="1" t="str">
        <f aca="false">IF(Brasil!C280="","",IFERROR(INDEX(Gamma_Catalogo!$C$3:$C$1451,MATCH(Brasil!E280,Gamma_Catalogo!$A$3:$A$1451,0)),"Revisar Ip Code"))</f>
        <v/>
      </c>
      <c r="N280" s="1" t="str">
        <f aca="false">IF(Brasil!C280="","",IFERROR(INDEX(Gamma_Catalogo!$E$3:$E$1451,MATCH(Brasil!E280,Gamma_Catalogo!$A$3:$A$1451,0)),"Revisar Ip Code"))</f>
        <v/>
      </c>
      <c r="O280" s="1" t="str">
        <f aca="false">IF(Brasil!C280="","","Brasil")</f>
        <v/>
      </c>
    </row>
    <row r="281" customFormat="false" ht="15" hidden="false" customHeight="true" outlineLevel="0" collapsed="false">
      <c r="A281" s="1" t="str">
        <f aca="false">IF(Brasil!C281="","",IFERROR(INDEX(Mercados!$C$2:$C$32,MATCH(Brasil!B281,Mercados!$A$2:$A$32,0)),"Revisar Tscode"))</f>
        <v/>
      </c>
      <c r="B281" s="1" t="str">
        <f aca="false">IF(Brasil!C281="","",Brasil!C281)</f>
        <v/>
      </c>
      <c r="C281" s="1" t="str">
        <f aca="false">IF(Brasil!C281="","",Brasil!A281)</f>
        <v/>
      </c>
      <c r="D281" s="1" t="str">
        <f aca="false">IF(Brasil!C281="","",Brasil!E281)</f>
        <v/>
      </c>
      <c r="E281" s="1" t="str">
        <f aca="false">IF(Brasil!C281="","",Brasil!F281)</f>
        <v/>
      </c>
      <c r="F281" s="1" t="str">
        <f aca="false">IF(Brasil!C281="","",Brasil!D281)</f>
        <v/>
      </c>
      <c r="I281" s="1" t="str">
        <f aca="false">IF(Brasil!C281="","",Brasil!H281)</f>
        <v/>
      </c>
      <c r="J281" s="1" t="str">
        <f aca="false">IF(Brasil!C281="","",Brasil!D281*Brasil!H281)</f>
        <v/>
      </c>
      <c r="K281" s="1" t="str">
        <f aca="false">IF(Brasil!C281="","","BR")</f>
        <v/>
      </c>
      <c r="L281" s="1" t="str">
        <f aca="false">IF(Brasil!C281="","",IFERROR(INDEX(Gamma_Catalogo!$D$3:$D$1451,MATCH(Brasil!E281,Gamma_Catalogo!$A$3:$A$1451,0)),"Revisar Ip Code"))</f>
        <v/>
      </c>
      <c r="M281" s="1" t="str">
        <f aca="false">IF(Brasil!C281="","",IFERROR(INDEX(Gamma_Catalogo!$C$3:$C$1451,MATCH(Brasil!E281,Gamma_Catalogo!$A$3:$A$1451,0)),"Revisar Ip Code"))</f>
        <v/>
      </c>
      <c r="N281" s="1" t="str">
        <f aca="false">IF(Brasil!C281="","",IFERROR(INDEX(Gamma_Catalogo!$E$3:$E$1451,MATCH(Brasil!E281,Gamma_Catalogo!$A$3:$A$1451,0)),"Revisar Ip Code"))</f>
        <v/>
      </c>
      <c r="O281" s="1" t="str">
        <f aca="false">IF(Brasil!C281="","","Brasil")</f>
        <v/>
      </c>
    </row>
    <row r="282" customFormat="false" ht="15" hidden="false" customHeight="true" outlineLevel="0" collapsed="false">
      <c r="A282" s="1" t="str">
        <f aca="false">IF(Brasil!C282="","",IFERROR(INDEX(Mercados!$C$2:$C$32,MATCH(Brasil!B282,Mercados!$A$2:$A$32,0)),"Revisar Tscode"))</f>
        <v/>
      </c>
      <c r="B282" s="1" t="str">
        <f aca="false">IF(Brasil!C282="","",Brasil!C282)</f>
        <v/>
      </c>
      <c r="C282" s="1" t="str">
        <f aca="false">IF(Brasil!C282="","",Brasil!A282)</f>
        <v/>
      </c>
      <c r="D282" s="1" t="str">
        <f aca="false">IF(Brasil!C282="","",Brasil!E282)</f>
        <v/>
      </c>
      <c r="E282" s="1" t="str">
        <f aca="false">IF(Brasil!C282="","",Brasil!F282)</f>
        <v/>
      </c>
      <c r="F282" s="1" t="str">
        <f aca="false">IF(Brasil!C282="","",Brasil!D282)</f>
        <v/>
      </c>
      <c r="I282" s="1" t="str">
        <f aca="false">IF(Brasil!C282="","",Brasil!H282)</f>
        <v/>
      </c>
      <c r="J282" s="1" t="str">
        <f aca="false">IF(Brasil!C282="","",Brasil!D282*Brasil!H282)</f>
        <v/>
      </c>
      <c r="K282" s="1" t="str">
        <f aca="false">IF(Brasil!C282="","","BR")</f>
        <v/>
      </c>
      <c r="L282" s="1" t="str">
        <f aca="false">IF(Brasil!C282="","",IFERROR(INDEX(Gamma_Catalogo!$D$3:$D$1451,MATCH(Brasil!E282,Gamma_Catalogo!$A$3:$A$1451,0)),"Revisar Ip Code"))</f>
        <v/>
      </c>
      <c r="M282" s="1" t="str">
        <f aca="false">IF(Brasil!C282="","",IFERROR(INDEX(Gamma_Catalogo!$C$3:$C$1451,MATCH(Brasil!E282,Gamma_Catalogo!$A$3:$A$1451,0)),"Revisar Ip Code"))</f>
        <v/>
      </c>
      <c r="N282" s="1" t="str">
        <f aca="false">IF(Brasil!C282="","",IFERROR(INDEX(Gamma_Catalogo!$E$3:$E$1451,MATCH(Brasil!E282,Gamma_Catalogo!$A$3:$A$1451,0)),"Revisar Ip Code"))</f>
        <v/>
      </c>
      <c r="O282" s="1" t="str">
        <f aca="false">IF(Brasil!C282="","","Brasil")</f>
        <v/>
      </c>
    </row>
    <row r="283" customFormat="false" ht="15" hidden="false" customHeight="true" outlineLevel="0" collapsed="false">
      <c r="A283" s="1" t="str">
        <f aca="false">IF(Brasil!C283="","",IFERROR(INDEX(Mercados!$C$2:$C$32,MATCH(Brasil!B283,Mercados!$A$2:$A$32,0)),"Revisar Tscode"))</f>
        <v/>
      </c>
      <c r="B283" s="1" t="str">
        <f aca="false">IF(Brasil!C283="","",Brasil!C283)</f>
        <v/>
      </c>
      <c r="C283" s="1" t="str">
        <f aca="false">IF(Brasil!C283="","",Brasil!A283)</f>
        <v/>
      </c>
      <c r="D283" s="1" t="str">
        <f aca="false">IF(Brasil!C283="","",Brasil!E283)</f>
        <v/>
      </c>
      <c r="E283" s="1" t="str">
        <f aca="false">IF(Brasil!C283="","",Brasil!F283)</f>
        <v/>
      </c>
      <c r="F283" s="1" t="str">
        <f aca="false">IF(Brasil!C283="","",Brasil!D283)</f>
        <v/>
      </c>
      <c r="I283" s="1" t="str">
        <f aca="false">IF(Brasil!C283="","",Brasil!H283)</f>
        <v/>
      </c>
      <c r="J283" s="1" t="str">
        <f aca="false">IF(Brasil!C283="","",Brasil!D283*Brasil!H283)</f>
        <v/>
      </c>
      <c r="K283" s="1" t="str">
        <f aca="false">IF(Brasil!C283="","","BR")</f>
        <v/>
      </c>
      <c r="L283" s="1" t="str">
        <f aca="false">IF(Brasil!C283="","",IFERROR(INDEX(Gamma_Catalogo!$D$3:$D$1451,MATCH(Brasil!E283,Gamma_Catalogo!$A$3:$A$1451,0)),"Revisar Ip Code"))</f>
        <v/>
      </c>
      <c r="M283" s="1" t="str">
        <f aca="false">IF(Brasil!C283="","",IFERROR(INDEX(Gamma_Catalogo!$C$3:$C$1451,MATCH(Brasil!E283,Gamma_Catalogo!$A$3:$A$1451,0)),"Revisar Ip Code"))</f>
        <v/>
      </c>
      <c r="N283" s="1" t="str">
        <f aca="false">IF(Brasil!C283="","",IFERROR(INDEX(Gamma_Catalogo!$E$3:$E$1451,MATCH(Brasil!E283,Gamma_Catalogo!$A$3:$A$1451,0)),"Revisar Ip Code"))</f>
        <v/>
      </c>
      <c r="O283" s="1" t="str">
        <f aca="false">IF(Brasil!C283="","","Brasil")</f>
        <v/>
      </c>
    </row>
    <row r="284" customFormat="false" ht="15" hidden="false" customHeight="true" outlineLevel="0" collapsed="false">
      <c r="A284" s="1" t="str">
        <f aca="false">IF(Brasil!C284="","",IFERROR(INDEX(Mercados!$C$2:$C$32,MATCH(Brasil!B284,Mercados!$A$2:$A$32,0)),"Revisar Tscode"))</f>
        <v/>
      </c>
      <c r="B284" s="1" t="str">
        <f aca="false">IF(Brasil!C284="","",Brasil!C284)</f>
        <v/>
      </c>
      <c r="C284" s="1" t="str">
        <f aca="false">IF(Brasil!C284="","",Brasil!A284)</f>
        <v/>
      </c>
      <c r="D284" s="1" t="str">
        <f aca="false">IF(Brasil!C284="","",Brasil!E284)</f>
        <v/>
      </c>
      <c r="E284" s="1" t="str">
        <f aca="false">IF(Brasil!C284="","",Brasil!F284)</f>
        <v/>
      </c>
      <c r="F284" s="1" t="str">
        <f aca="false">IF(Brasil!C284="","",Brasil!D284)</f>
        <v/>
      </c>
      <c r="I284" s="1" t="str">
        <f aca="false">IF(Brasil!C284="","",Brasil!H284)</f>
        <v/>
      </c>
      <c r="J284" s="1" t="str">
        <f aca="false">IF(Brasil!C284="","",Brasil!D284*Brasil!H284)</f>
        <v/>
      </c>
      <c r="K284" s="1" t="str">
        <f aca="false">IF(Brasil!C284="","","BR")</f>
        <v/>
      </c>
      <c r="L284" s="1" t="str">
        <f aca="false">IF(Brasil!C284="","",IFERROR(INDEX(Gamma_Catalogo!$D$3:$D$1451,MATCH(Brasil!E284,Gamma_Catalogo!$A$3:$A$1451,0)),"Revisar Ip Code"))</f>
        <v/>
      </c>
      <c r="M284" s="1" t="str">
        <f aca="false">IF(Brasil!C284="","",IFERROR(INDEX(Gamma_Catalogo!$C$3:$C$1451,MATCH(Brasil!E284,Gamma_Catalogo!$A$3:$A$1451,0)),"Revisar Ip Code"))</f>
        <v/>
      </c>
      <c r="N284" s="1" t="str">
        <f aca="false">IF(Brasil!C284="","",IFERROR(INDEX(Gamma_Catalogo!$E$3:$E$1451,MATCH(Brasil!E284,Gamma_Catalogo!$A$3:$A$1451,0)),"Revisar Ip Code"))</f>
        <v/>
      </c>
      <c r="O284" s="1" t="str">
        <f aca="false">IF(Brasil!C284="","","Brasil")</f>
        <v/>
      </c>
    </row>
    <row r="285" customFormat="false" ht="15" hidden="false" customHeight="true" outlineLevel="0" collapsed="false">
      <c r="A285" s="1" t="str">
        <f aca="false">IF(Brasil!C285="","",IFERROR(INDEX(Mercados!$C$2:$C$32,MATCH(Brasil!B285,Mercados!$A$2:$A$32,0)),"Revisar Tscode"))</f>
        <v/>
      </c>
      <c r="B285" s="1" t="str">
        <f aca="false">IF(Brasil!C285="","",Brasil!C285)</f>
        <v/>
      </c>
      <c r="C285" s="1" t="str">
        <f aca="false">IF(Brasil!C285="","",Brasil!A285)</f>
        <v/>
      </c>
      <c r="D285" s="1" t="str">
        <f aca="false">IF(Brasil!C285="","",Brasil!E285)</f>
        <v/>
      </c>
      <c r="E285" s="1" t="str">
        <f aca="false">IF(Brasil!C285="","",Brasil!F285)</f>
        <v/>
      </c>
      <c r="F285" s="1" t="str">
        <f aca="false">IF(Brasil!C285="","",Brasil!D285)</f>
        <v/>
      </c>
      <c r="I285" s="1" t="str">
        <f aca="false">IF(Brasil!C285="","",Brasil!H285)</f>
        <v/>
      </c>
      <c r="J285" s="1" t="str">
        <f aca="false">IF(Brasil!C285="","",Brasil!D285*Brasil!H285)</f>
        <v/>
      </c>
      <c r="K285" s="1" t="str">
        <f aca="false">IF(Brasil!C285="","","BR")</f>
        <v/>
      </c>
      <c r="L285" s="1" t="str">
        <f aca="false">IF(Brasil!C285="","",IFERROR(INDEX(Gamma_Catalogo!$D$3:$D$1451,MATCH(Brasil!E285,Gamma_Catalogo!$A$3:$A$1451,0)),"Revisar Ip Code"))</f>
        <v/>
      </c>
      <c r="M285" s="1" t="str">
        <f aca="false">IF(Brasil!C285="","",IFERROR(INDEX(Gamma_Catalogo!$C$3:$C$1451,MATCH(Brasil!E285,Gamma_Catalogo!$A$3:$A$1451,0)),"Revisar Ip Code"))</f>
        <v/>
      </c>
      <c r="N285" s="1" t="str">
        <f aca="false">IF(Brasil!C285="","",IFERROR(INDEX(Gamma_Catalogo!$E$3:$E$1451,MATCH(Brasil!E285,Gamma_Catalogo!$A$3:$A$1451,0)),"Revisar Ip Code"))</f>
        <v/>
      </c>
      <c r="O285" s="1" t="str">
        <f aca="false">IF(Brasil!C285="","","Brasil")</f>
        <v/>
      </c>
    </row>
    <row r="286" customFormat="false" ht="15" hidden="false" customHeight="true" outlineLevel="0" collapsed="false">
      <c r="A286" s="1" t="str">
        <f aca="false">IF(Brasil!C286="","",IFERROR(INDEX(Mercados!$C$2:$C$32,MATCH(Brasil!B286,Mercados!$A$2:$A$32,0)),"Revisar Tscode"))</f>
        <v/>
      </c>
      <c r="B286" s="1" t="str">
        <f aca="false">IF(Brasil!C286="","",Brasil!C286)</f>
        <v/>
      </c>
      <c r="C286" s="1" t="str">
        <f aca="false">IF(Brasil!C286="","",Brasil!A286)</f>
        <v/>
      </c>
      <c r="D286" s="1" t="str">
        <f aca="false">IF(Brasil!C286="","",Brasil!E286)</f>
        <v/>
      </c>
      <c r="E286" s="1" t="str">
        <f aca="false">IF(Brasil!C286="","",Brasil!F286)</f>
        <v/>
      </c>
      <c r="F286" s="1" t="str">
        <f aca="false">IF(Brasil!C286="","",Brasil!D286)</f>
        <v/>
      </c>
      <c r="I286" s="1" t="str">
        <f aca="false">IF(Brasil!C286="","",Brasil!H286)</f>
        <v/>
      </c>
      <c r="J286" s="1" t="str">
        <f aca="false">IF(Brasil!C286="","",Brasil!D286*Brasil!H286)</f>
        <v/>
      </c>
      <c r="K286" s="1" t="str">
        <f aca="false">IF(Brasil!C286="","","BR")</f>
        <v/>
      </c>
      <c r="L286" s="1" t="str">
        <f aca="false">IF(Brasil!C286="","",IFERROR(INDEX(Gamma_Catalogo!$D$3:$D$1451,MATCH(Brasil!E286,Gamma_Catalogo!$A$3:$A$1451,0)),"Revisar Ip Code"))</f>
        <v/>
      </c>
      <c r="M286" s="1" t="str">
        <f aca="false">IF(Brasil!C286="","",IFERROR(INDEX(Gamma_Catalogo!$C$3:$C$1451,MATCH(Brasil!E286,Gamma_Catalogo!$A$3:$A$1451,0)),"Revisar Ip Code"))</f>
        <v/>
      </c>
      <c r="N286" s="1" t="str">
        <f aca="false">IF(Brasil!C286="","",IFERROR(INDEX(Gamma_Catalogo!$E$3:$E$1451,MATCH(Brasil!E286,Gamma_Catalogo!$A$3:$A$1451,0)),"Revisar Ip Code"))</f>
        <v/>
      </c>
      <c r="O286" s="1" t="str">
        <f aca="false">IF(Brasil!C286="","","Brasil")</f>
        <v/>
      </c>
    </row>
    <row r="287" customFormat="false" ht="15" hidden="false" customHeight="true" outlineLevel="0" collapsed="false">
      <c r="A287" s="1" t="str">
        <f aca="false">IF(Brasil!C287="","",IFERROR(INDEX(Mercados!$C$2:$C$32,MATCH(Brasil!B287,Mercados!$A$2:$A$32,0)),"Revisar Tscode"))</f>
        <v/>
      </c>
      <c r="B287" s="1" t="str">
        <f aca="false">IF(Brasil!C287="","",Brasil!C287)</f>
        <v/>
      </c>
      <c r="C287" s="1" t="str">
        <f aca="false">IF(Brasil!C287="","",Brasil!A287)</f>
        <v/>
      </c>
      <c r="D287" s="1" t="str">
        <f aca="false">IF(Brasil!C287="","",Brasil!E287)</f>
        <v/>
      </c>
      <c r="E287" s="1" t="str">
        <f aca="false">IF(Brasil!C287="","",Brasil!F287)</f>
        <v/>
      </c>
      <c r="F287" s="1" t="str">
        <f aca="false">IF(Brasil!C287="","",Brasil!D287)</f>
        <v/>
      </c>
      <c r="I287" s="1" t="str">
        <f aca="false">IF(Brasil!C287="","",Brasil!H287)</f>
        <v/>
      </c>
      <c r="J287" s="1" t="str">
        <f aca="false">IF(Brasil!C287="","",Brasil!D287*Brasil!H287)</f>
        <v/>
      </c>
      <c r="K287" s="1" t="str">
        <f aca="false">IF(Brasil!C287="","","BR")</f>
        <v/>
      </c>
      <c r="L287" s="1" t="str">
        <f aca="false">IF(Brasil!C287="","",IFERROR(INDEX(Gamma_Catalogo!$D$3:$D$1451,MATCH(Brasil!E287,Gamma_Catalogo!$A$3:$A$1451,0)),"Revisar Ip Code"))</f>
        <v/>
      </c>
      <c r="M287" s="1" t="str">
        <f aca="false">IF(Brasil!C287="","",IFERROR(INDEX(Gamma_Catalogo!$C$3:$C$1451,MATCH(Brasil!E287,Gamma_Catalogo!$A$3:$A$1451,0)),"Revisar Ip Code"))</f>
        <v/>
      </c>
      <c r="N287" s="1" t="str">
        <f aca="false">IF(Brasil!C287="","",IFERROR(INDEX(Gamma_Catalogo!$E$3:$E$1451,MATCH(Brasil!E287,Gamma_Catalogo!$A$3:$A$1451,0)),"Revisar Ip Code"))</f>
        <v/>
      </c>
      <c r="O287" s="1" t="str">
        <f aca="false">IF(Brasil!C287="","","Brasil")</f>
        <v/>
      </c>
    </row>
    <row r="288" customFormat="false" ht="15" hidden="false" customHeight="true" outlineLevel="0" collapsed="false">
      <c r="A288" s="1" t="str">
        <f aca="false">IF(Brasil!C288="","",IFERROR(INDEX(Mercados!$C$2:$C$32,MATCH(Brasil!B288,Mercados!$A$2:$A$32,0)),"Revisar Tscode"))</f>
        <v/>
      </c>
      <c r="B288" s="1" t="str">
        <f aca="false">IF(Brasil!C288="","",Brasil!C288)</f>
        <v/>
      </c>
      <c r="C288" s="1" t="str">
        <f aca="false">IF(Brasil!C288="","",Brasil!A288)</f>
        <v/>
      </c>
      <c r="D288" s="1" t="str">
        <f aca="false">IF(Brasil!C288="","",Brasil!E288)</f>
        <v/>
      </c>
      <c r="E288" s="1" t="str">
        <f aca="false">IF(Brasil!C288="","",Brasil!F288)</f>
        <v/>
      </c>
      <c r="F288" s="1" t="str">
        <f aca="false">IF(Brasil!C288="","",Brasil!D288)</f>
        <v/>
      </c>
      <c r="I288" s="1" t="str">
        <f aca="false">IF(Brasil!C288="","",Brasil!H288)</f>
        <v/>
      </c>
      <c r="J288" s="1" t="str">
        <f aca="false">IF(Brasil!C288="","",Brasil!D288*Brasil!H288)</f>
        <v/>
      </c>
      <c r="K288" s="1" t="str">
        <f aca="false">IF(Brasil!C288="","","BR")</f>
        <v/>
      </c>
      <c r="L288" s="1" t="str">
        <f aca="false">IF(Brasil!C288="","",IFERROR(INDEX(Gamma_Catalogo!$D$3:$D$1451,MATCH(Brasil!E288,Gamma_Catalogo!$A$3:$A$1451,0)),"Revisar Ip Code"))</f>
        <v/>
      </c>
      <c r="M288" s="1" t="str">
        <f aca="false">IF(Brasil!C288="","",IFERROR(INDEX(Gamma_Catalogo!$C$3:$C$1451,MATCH(Brasil!E288,Gamma_Catalogo!$A$3:$A$1451,0)),"Revisar Ip Code"))</f>
        <v/>
      </c>
      <c r="N288" s="1" t="str">
        <f aca="false">IF(Brasil!C288="","",IFERROR(INDEX(Gamma_Catalogo!$E$3:$E$1451,MATCH(Brasil!E288,Gamma_Catalogo!$A$3:$A$1451,0)),"Revisar Ip Code"))</f>
        <v/>
      </c>
      <c r="O288" s="1" t="str">
        <f aca="false">IF(Brasil!C288="","","Brasil")</f>
        <v/>
      </c>
    </row>
    <row r="289" customFormat="false" ht="15" hidden="false" customHeight="true" outlineLevel="0" collapsed="false">
      <c r="A289" s="1" t="str">
        <f aca="false">IF(Brasil!C289="","",IFERROR(INDEX(Mercados!$C$2:$C$32,MATCH(Brasil!B289,Mercados!$A$2:$A$32,0)),"Revisar Tscode"))</f>
        <v/>
      </c>
      <c r="B289" s="1" t="str">
        <f aca="false">IF(Brasil!C289="","",Brasil!C289)</f>
        <v/>
      </c>
      <c r="C289" s="1" t="str">
        <f aca="false">IF(Brasil!C289="","",Brasil!A289)</f>
        <v/>
      </c>
      <c r="D289" s="1" t="str">
        <f aca="false">IF(Brasil!C289="","",Brasil!E289)</f>
        <v/>
      </c>
      <c r="E289" s="1" t="str">
        <f aca="false">IF(Brasil!C289="","",Brasil!F289)</f>
        <v/>
      </c>
      <c r="F289" s="1" t="str">
        <f aca="false">IF(Brasil!C289="","",Brasil!D289)</f>
        <v/>
      </c>
      <c r="I289" s="1" t="str">
        <f aca="false">IF(Brasil!C289="","",Brasil!H289)</f>
        <v/>
      </c>
      <c r="J289" s="1" t="str">
        <f aca="false">IF(Brasil!C289="","",Brasil!D289*Brasil!H289)</f>
        <v/>
      </c>
      <c r="K289" s="1" t="str">
        <f aca="false">IF(Brasil!C289="","","BR")</f>
        <v/>
      </c>
      <c r="L289" s="1" t="str">
        <f aca="false">IF(Brasil!C289="","",IFERROR(INDEX(Gamma_Catalogo!$D$3:$D$1451,MATCH(Brasil!E289,Gamma_Catalogo!$A$3:$A$1451,0)),"Revisar Ip Code"))</f>
        <v/>
      </c>
      <c r="M289" s="1" t="str">
        <f aca="false">IF(Brasil!C289="","",IFERROR(INDEX(Gamma_Catalogo!$C$3:$C$1451,MATCH(Brasil!E289,Gamma_Catalogo!$A$3:$A$1451,0)),"Revisar Ip Code"))</f>
        <v/>
      </c>
      <c r="N289" s="1" t="str">
        <f aca="false">IF(Brasil!C289="","",IFERROR(INDEX(Gamma_Catalogo!$E$3:$E$1451,MATCH(Brasil!E289,Gamma_Catalogo!$A$3:$A$1451,0)),"Revisar Ip Code"))</f>
        <v/>
      </c>
      <c r="O289" s="1" t="str">
        <f aca="false">IF(Brasil!C289="","","Brasil")</f>
        <v/>
      </c>
    </row>
    <row r="290" customFormat="false" ht="15" hidden="false" customHeight="true" outlineLevel="0" collapsed="false">
      <c r="A290" s="1" t="str">
        <f aca="false">IF(Brasil!C290="","",IFERROR(INDEX(Mercados!$C$2:$C$32,MATCH(Brasil!B290,Mercados!$A$2:$A$32,0)),"Revisar Tscode"))</f>
        <v/>
      </c>
      <c r="B290" s="1" t="str">
        <f aca="false">IF(Brasil!C290="","",Brasil!C290)</f>
        <v/>
      </c>
      <c r="C290" s="1" t="str">
        <f aca="false">IF(Brasil!C290="","",Brasil!A290)</f>
        <v/>
      </c>
      <c r="D290" s="1" t="str">
        <f aca="false">IF(Brasil!C290="","",Brasil!E290)</f>
        <v/>
      </c>
      <c r="E290" s="1" t="str">
        <f aca="false">IF(Brasil!C290="","",Brasil!F290)</f>
        <v/>
      </c>
      <c r="F290" s="1" t="str">
        <f aca="false">IF(Brasil!C290="","",Brasil!D290)</f>
        <v/>
      </c>
      <c r="I290" s="1" t="str">
        <f aca="false">IF(Brasil!C290="","",Brasil!H290)</f>
        <v/>
      </c>
      <c r="J290" s="1" t="str">
        <f aca="false">IF(Brasil!C290="","",Brasil!D290*Brasil!H290)</f>
        <v/>
      </c>
      <c r="K290" s="1" t="str">
        <f aca="false">IF(Brasil!C290="","","BR")</f>
        <v/>
      </c>
      <c r="L290" s="1" t="str">
        <f aca="false">IF(Brasil!C290="","",IFERROR(INDEX(Gamma_Catalogo!$D$3:$D$1451,MATCH(Brasil!E290,Gamma_Catalogo!$A$3:$A$1451,0)),"Revisar Ip Code"))</f>
        <v/>
      </c>
      <c r="M290" s="1" t="str">
        <f aca="false">IF(Brasil!C290="","",IFERROR(INDEX(Gamma_Catalogo!$C$3:$C$1451,MATCH(Brasil!E290,Gamma_Catalogo!$A$3:$A$1451,0)),"Revisar Ip Code"))</f>
        <v/>
      </c>
      <c r="N290" s="1" t="str">
        <f aca="false">IF(Brasil!C290="","",IFERROR(INDEX(Gamma_Catalogo!$E$3:$E$1451,MATCH(Brasil!E290,Gamma_Catalogo!$A$3:$A$1451,0)),"Revisar Ip Code"))</f>
        <v/>
      </c>
      <c r="O290" s="1" t="str">
        <f aca="false">IF(Brasil!C290="","","Brasil")</f>
        <v/>
      </c>
    </row>
    <row r="291" customFormat="false" ht="15" hidden="false" customHeight="true" outlineLevel="0" collapsed="false">
      <c r="A291" s="1" t="str">
        <f aca="false">IF(Brasil!C291="","",IFERROR(INDEX(Mercados!$C$2:$C$32,MATCH(Brasil!B291,Mercados!$A$2:$A$32,0)),"Revisar Tscode"))</f>
        <v/>
      </c>
      <c r="B291" s="1" t="str">
        <f aca="false">IF(Brasil!C291="","",Brasil!C291)</f>
        <v/>
      </c>
      <c r="C291" s="1" t="str">
        <f aca="false">IF(Brasil!C291="","",Brasil!A291)</f>
        <v/>
      </c>
      <c r="D291" s="1" t="str">
        <f aca="false">IF(Brasil!C291="","",Brasil!E291)</f>
        <v/>
      </c>
      <c r="E291" s="1" t="str">
        <f aca="false">IF(Brasil!C291="","",Brasil!F291)</f>
        <v/>
      </c>
      <c r="F291" s="1" t="str">
        <f aca="false">IF(Brasil!C291="","",Brasil!D291)</f>
        <v/>
      </c>
      <c r="I291" s="1" t="str">
        <f aca="false">IF(Brasil!C291="","",Brasil!H291)</f>
        <v/>
      </c>
      <c r="J291" s="1" t="str">
        <f aca="false">IF(Brasil!C291="","",Brasil!D291*Brasil!H291)</f>
        <v/>
      </c>
      <c r="K291" s="1" t="str">
        <f aca="false">IF(Brasil!C291="","","BR")</f>
        <v/>
      </c>
      <c r="L291" s="1" t="str">
        <f aca="false">IF(Brasil!C291="","",IFERROR(INDEX(Gamma_Catalogo!$D$3:$D$1451,MATCH(Brasil!E291,Gamma_Catalogo!$A$3:$A$1451,0)),"Revisar Ip Code"))</f>
        <v/>
      </c>
      <c r="M291" s="1" t="str">
        <f aca="false">IF(Brasil!C291="","",IFERROR(INDEX(Gamma_Catalogo!$C$3:$C$1451,MATCH(Brasil!E291,Gamma_Catalogo!$A$3:$A$1451,0)),"Revisar Ip Code"))</f>
        <v/>
      </c>
      <c r="N291" s="1" t="str">
        <f aca="false">IF(Brasil!C291="","",IFERROR(INDEX(Gamma_Catalogo!$E$3:$E$1451,MATCH(Brasil!E291,Gamma_Catalogo!$A$3:$A$1451,0)),"Revisar Ip Code"))</f>
        <v/>
      </c>
      <c r="O291" s="1" t="str">
        <f aca="false">IF(Brasil!C291="","","Brasil")</f>
        <v/>
      </c>
    </row>
    <row r="292" customFormat="false" ht="15" hidden="false" customHeight="true" outlineLevel="0" collapsed="false">
      <c r="A292" s="1" t="str">
        <f aca="false">IF(Brasil!C292="","",IFERROR(INDEX(Mercados!$C$2:$C$32,MATCH(Brasil!B292,Mercados!$A$2:$A$32,0)),"Revisar Tscode"))</f>
        <v/>
      </c>
      <c r="B292" s="1" t="str">
        <f aca="false">IF(Brasil!C292="","",Brasil!C292)</f>
        <v/>
      </c>
      <c r="C292" s="1" t="str">
        <f aca="false">IF(Brasil!C292="","",Brasil!A292)</f>
        <v/>
      </c>
      <c r="D292" s="1" t="str">
        <f aca="false">IF(Brasil!C292="","",Brasil!E292)</f>
        <v/>
      </c>
      <c r="E292" s="1" t="str">
        <f aca="false">IF(Brasil!C292="","",Brasil!F292)</f>
        <v/>
      </c>
      <c r="F292" s="1" t="str">
        <f aca="false">IF(Brasil!C292="","",Brasil!D292)</f>
        <v/>
      </c>
      <c r="I292" s="1" t="str">
        <f aca="false">IF(Brasil!C292="","",Brasil!H292)</f>
        <v/>
      </c>
      <c r="J292" s="1" t="str">
        <f aca="false">IF(Brasil!C292="","",Brasil!D292*Brasil!H292)</f>
        <v/>
      </c>
      <c r="K292" s="1" t="str">
        <f aca="false">IF(Brasil!C292="","","BR")</f>
        <v/>
      </c>
      <c r="L292" s="1" t="str">
        <f aca="false">IF(Brasil!C292="","",IFERROR(INDEX(Gamma_Catalogo!$D$3:$D$1451,MATCH(Brasil!E292,Gamma_Catalogo!$A$3:$A$1451,0)),"Revisar Ip Code"))</f>
        <v/>
      </c>
      <c r="M292" s="1" t="str">
        <f aca="false">IF(Brasil!C292="","",IFERROR(INDEX(Gamma_Catalogo!$C$3:$C$1451,MATCH(Brasil!E292,Gamma_Catalogo!$A$3:$A$1451,0)),"Revisar Ip Code"))</f>
        <v/>
      </c>
      <c r="N292" s="1" t="str">
        <f aca="false">IF(Brasil!C292="","",IFERROR(INDEX(Gamma_Catalogo!$E$3:$E$1451,MATCH(Brasil!E292,Gamma_Catalogo!$A$3:$A$1451,0)),"Revisar Ip Code"))</f>
        <v/>
      </c>
      <c r="O292" s="1" t="str">
        <f aca="false">IF(Brasil!C292="","","Brasil")</f>
        <v/>
      </c>
    </row>
    <row r="293" customFormat="false" ht="15" hidden="false" customHeight="true" outlineLevel="0" collapsed="false">
      <c r="A293" s="1" t="str">
        <f aca="false">IF(Brasil!C293="","",IFERROR(INDEX(Mercados!$C$2:$C$32,MATCH(Brasil!B293,Mercados!$A$2:$A$32,0)),"Revisar Tscode"))</f>
        <v/>
      </c>
      <c r="B293" s="1" t="str">
        <f aca="false">IF(Brasil!C293="","",Brasil!C293)</f>
        <v/>
      </c>
      <c r="C293" s="1" t="str">
        <f aca="false">IF(Brasil!C293="","",Brasil!A293)</f>
        <v/>
      </c>
      <c r="D293" s="1" t="str">
        <f aca="false">IF(Brasil!C293="","",Brasil!E293)</f>
        <v/>
      </c>
      <c r="E293" s="1" t="str">
        <f aca="false">IF(Brasil!C293="","",Brasil!F293)</f>
        <v/>
      </c>
      <c r="F293" s="1" t="str">
        <f aca="false">IF(Brasil!C293="","",Brasil!D293)</f>
        <v/>
      </c>
      <c r="I293" s="1" t="str">
        <f aca="false">IF(Brasil!C293="","",Brasil!H293)</f>
        <v/>
      </c>
      <c r="J293" s="1" t="str">
        <f aca="false">IF(Brasil!C293="","",Brasil!D293*Brasil!H293)</f>
        <v/>
      </c>
      <c r="K293" s="1" t="str">
        <f aca="false">IF(Brasil!C293="","","BR")</f>
        <v/>
      </c>
      <c r="L293" s="1" t="str">
        <f aca="false">IF(Brasil!C293="","",IFERROR(INDEX(Gamma_Catalogo!$D$3:$D$1451,MATCH(Brasil!E293,Gamma_Catalogo!$A$3:$A$1451,0)),"Revisar Ip Code"))</f>
        <v/>
      </c>
      <c r="M293" s="1" t="str">
        <f aca="false">IF(Brasil!C293="","",IFERROR(INDEX(Gamma_Catalogo!$C$3:$C$1451,MATCH(Brasil!E293,Gamma_Catalogo!$A$3:$A$1451,0)),"Revisar Ip Code"))</f>
        <v/>
      </c>
      <c r="N293" s="1" t="str">
        <f aca="false">IF(Brasil!C293="","",IFERROR(INDEX(Gamma_Catalogo!$E$3:$E$1451,MATCH(Brasil!E293,Gamma_Catalogo!$A$3:$A$1451,0)),"Revisar Ip Code"))</f>
        <v/>
      </c>
      <c r="O293" s="1" t="str">
        <f aca="false">IF(Brasil!C293="","","Brasil")</f>
        <v/>
      </c>
    </row>
    <row r="294" customFormat="false" ht="15" hidden="false" customHeight="true" outlineLevel="0" collapsed="false">
      <c r="A294" s="1" t="str">
        <f aca="false">IF(Brasil!C294="","",IFERROR(INDEX(Mercados!$C$2:$C$32,MATCH(Brasil!B294,Mercados!$A$2:$A$32,0)),"Revisar Tscode"))</f>
        <v/>
      </c>
      <c r="B294" s="1" t="str">
        <f aca="false">IF(Brasil!C294="","",Brasil!C294)</f>
        <v/>
      </c>
      <c r="C294" s="1" t="str">
        <f aca="false">IF(Brasil!C294="","",Brasil!A294)</f>
        <v/>
      </c>
      <c r="D294" s="1" t="str">
        <f aca="false">IF(Brasil!C294="","",Brasil!E294)</f>
        <v/>
      </c>
      <c r="E294" s="1" t="str">
        <f aca="false">IF(Brasil!C294="","",Brasil!F294)</f>
        <v/>
      </c>
      <c r="F294" s="1" t="str">
        <f aca="false">IF(Brasil!C294="","",Brasil!D294)</f>
        <v/>
      </c>
      <c r="I294" s="1" t="str">
        <f aca="false">IF(Brasil!C294="","",Brasil!H294)</f>
        <v/>
      </c>
      <c r="J294" s="1" t="str">
        <f aca="false">IF(Brasil!C294="","",Brasil!D294*Brasil!H294)</f>
        <v/>
      </c>
      <c r="K294" s="1" t="str">
        <f aca="false">IF(Brasil!C294="","","BR")</f>
        <v/>
      </c>
      <c r="L294" s="1" t="str">
        <f aca="false">IF(Brasil!C294="","",IFERROR(INDEX(Gamma_Catalogo!$D$3:$D$1451,MATCH(Brasil!E294,Gamma_Catalogo!$A$3:$A$1451,0)),"Revisar Ip Code"))</f>
        <v/>
      </c>
      <c r="M294" s="1" t="str">
        <f aca="false">IF(Brasil!C294="","",IFERROR(INDEX(Gamma_Catalogo!$C$3:$C$1451,MATCH(Brasil!E294,Gamma_Catalogo!$A$3:$A$1451,0)),"Revisar Ip Code"))</f>
        <v/>
      </c>
      <c r="N294" s="1" t="str">
        <f aca="false">IF(Brasil!C294="","",IFERROR(INDEX(Gamma_Catalogo!$E$3:$E$1451,MATCH(Brasil!E294,Gamma_Catalogo!$A$3:$A$1451,0)),"Revisar Ip Code"))</f>
        <v/>
      </c>
      <c r="O294" s="1" t="str">
        <f aca="false">IF(Brasil!C294="","","Brasil")</f>
        <v/>
      </c>
    </row>
    <row r="295" customFormat="false" ht="15" hidden="false" customHeight="true" outlineLevel="0" collapsed="false">
      <c r="A295" s="1" t="str">
        <f aca="false">IF(Brasil!C295="","",IFERROR(INDEX(Mercados!$C$2:$C$32,MATCH(Brasil!B295,Mercados!$A$2:$A$32,0)),"Revisar Tscode"))</f>
        <v/>
      </c>
      <c r="B295" s="1" t="str">
        <f aca="false">IF(Brasil!C295="","",Brasil!C295)</f>
        <v/>
      </c>
      <c r="C295" s="1" t="str">
        <f aca="false">IF(Brasil!C295="","",Brasil!A295)</f>
        <v/>
      </c>
      <c r="D295" s="1" t="str">
        <f aca="false">IF(Brasil!C295="","",Brasil!E295)</f>
        <v/>
      </c>
      <c r="E295" s="1" t="str">
        <f aca="false">IF(Brasil!C295="","",Brasil!F295)</f>
        <v/>
      </c>
      <c r="F295" s="1" t="str">
        <f aca="false">IF(Brasil!C295="","",Brasil!D295)</f>
        <v/>
      </c>
      <c r="I295" s="1" t="str">
        <f aca="false">IF(Brasil!C295="","",Brasil!H295)</f>
        <v/>
      </c>
      <c r="J295" s="1" t="str">
        <f aca="false">IF(Brasil!C295="","",Brasil!D295*Brasil!H295)</f>
        <v/>
      </c>
      <c r="K295" s="1" t="str">
        <f aca="false">IF(Brasil!C295="","","BR")</f>
        <v/>
      </c>
      <c r="L295" s="1" t="str">
        <f aca="false">IF(Brasil!C295="","",IFERROR(INDEX(Gamma_Catalogo!$D$3:$D$1451,MATCH(Brasil!E295,Gamma_Catalogo!$A$3:$A$1451,0)),"Revisar Ip Code"))</f>
        <v/>
      </c>
      <c r="M295" s="1" t="str">
        <f aca="false">IF(Brasil!C295="","",IFERROR(INDEX(Gamma_Catalogo!$C$3:$C$1451,MATCH(Brasil!E295,Gamma_Catalogo!$A$3:$A$1451,0)),"Revisar Ip Code"))</f>
        <v/>
      </c>
      <c r="N295" s="1" t="str">
        <f aca="false">IF(Brasil!C295="","",IFERROR(INDEX(Gamma_Catalogo!$E$3:$E$1451,MATCH(Brasil!E295,Gamma_Catalogo!$A$3:$A$1451,0)),"Revisar Ip Code"))</f>
        <v/>
      </c>
      <c r="O295" s="1" t="str">
        <f aca="false">IF(Brasil!C295="","","Brasil")</f>
        <v/>
      </c>
    </row>
    <row r="296" customFormat="false" ht="15" hidden="false" customHeight="true" outlineLevel="0" collapsed="false">
      <c r="A296" s="1" t="str">
        <f aca="false">IF(Brasil!C296="","",IFERROR(INDEX(Mercados!$C$2:$C$32,MATCH(Brasil!B296,Mercados!$A$2:$A$32,0)),"Revisar Tscode"))</f>
        <v/>
      </c>
      <c r="B296" s="1" t="str">
        <f aca="false">IF(Brasil!C296="","",Brasil!C296)</f>
        <v/>
      </c>
      <c r="C296" s="1" t="str">
        <f aca="false">IF(Brasil!C296="","",Brasil!A296)</f>
        <v/>
      </c>
      <c r="D296" s="1" t="str">
        <f aca="false">IF(Brasil!C296="","",Brasil!E296)</f>
        <v/>
      </c>
      <c r="E296" s="1" t="str">
        <f aca="false">IF(Brasil!C296="","",Brasil!F296)</f>
        <v/>
      </c>
      <c r="F296" s="1" t="str">
        <f aca="false">IF(Brasil!C296="","",Brasil!D296)</f>
        <v/>
      </c>
      <c r="I296" s="1" t="str">
        <f aca="false">IF(Brasil!C296="","",Brasil!H296)</f>
        <v/>
      </c>
      <c r="J296" s="1" t="str">
        <f aca="false">IF(Brasil!C296="","",Brasil!D296*Brasil!H296)</f>
        <v/>
      </c>
      <c r="K296" s="1" t="str">
        <f aca="false">IF(Brasil!C296="","","BR")</f>
        <v/>
      </c>
      <c r="L296" s="1" t="str">
        <f aca="false">IF(Brasil!C296="","",IFERROR(INDEX(Gamma_Catalogo!$D$3:$D$1451,MATCH(Brasil!E296,Gamma_Catalogo!$A$3:$A$1451,0)),"Revisar Ip Code"))</f>
        <v/>
      </c>
      <c r="M296" s="1" t="str">
        <f aca="false">IF(Brasil!C296="","",IFERROR(INDEX(Gamma_Catalogo!$C$3:$C$1451,MATCH(Brasil!E296,Gamma_Catalogo!$A$3:$A$1451,0)),"Revisar Ip Code"))</f>
        <v/>
      </c>
      <c r="N296" s="1" t="str">
        <f aca="false">IF(Brasil!C296="","",IFERROR(INDEX(Gamma_Catalogo!$E$3:$E$1451,MATCH(Brasil!E296,Gamma_Catalogo!$A$3:$A$1451,0)),"Revisar Ip Code"))</f>
        <v/>
      </c>
      <c r="O296" s="1" t="str">
        <f aca="false">IF(Brasil!C296="","","Brasil")</f>
        <v/>
      </c>
    </row>
    <row r="297" customFormat="false" ht="15" hidden="false" customHeight="true" outlineLevel="0" collapsed="false">
      <c r="A297" s="1" t="str">
        <f aca="false">IF(Brasil!C297="","",IFERROR(INDEX(Mercados!$C$2:$C$32,MATCH(Brasil!B297,Mercados!$A$2:$A$32,0)),"Revisar Tscode"))</f>
        <v/>
      </c>
      <c r="B297" s="1" t="str">
        <f aca="false">IF(Brasil!C297="","",Brasil!C297)</f>
        <v/>
      </c>
      <c r="C297" s="1" t="str">
        <f aca="false">IF(Brasil!C297="","",Brasil!A297)</f>
        <v/>
      </c>
      <c r="D297" s="1" t="str">
        <f aca="false">IF(Brasil!C297="","",Brasil!E297)</f>
        <v/>
      </c>
      <c r="E297" s="1" t="str">
        <f aca="false">IF(Brasil!C297="","",Brasil!F297)</f>
        <v/>
      </c>
      <c r="F297" s="1" t="str">
        <f aca="false">IF(Brasil!C297="","",Brasil!D297)</f>
        <v/>
      </c>
      <c r="I297" s="1" t="str">
        <f aca="false">IF(Brasil!C297="","",Brasil!H297)</f>
        <v/>
      </c>
      <c r="J297" s="1" t="str">
        <f aca="false">IF(Brasil!C297="","",Brasil!D297*Brasil!H297)</f>
        <v/>
      </c>
      <c r="K297" s="1" t="str">
        <f aca="false">IF(Brasil!C297="","","BR")</f>
        <v/>
      </c>
      <c r="L297" s="1" t="str">
        <f aca="false">IF(Brasil!C297="","",IFERROR(INDEX(Gamma_Catalogo!$D$3:$D$1451,MATCH(Brasil!E297,Gamma_Catalogo!$A$3:$A$1451,0)),"Revisar Ip Code"))</f>
        <v/>
      </c>
      <c r="M297" s="1" t="str">
        <f aca="false">IF(Brasil!C297="","",IFERROR(INDEX(Gamma_Catalogo!$C$3:$C$1451,MATCH(Brasil!E297,Gamma_Catalogo!$A$3:$A$1451,0)),"Revisar Ip Code"))</f>
        <v/>
      </c>
      <c r="N297" s="1" t="str">
        <f aca="false">IF(Brasil!C297="","",IFERROR(INDEX(Gamma_Catalogo!$E$3:$E$1451,MATCH(Brasil!E297,Gamma_Catalogo!$A$3:$A$1451,0)),"Revisar Ip Code"))</f>
        <v/>
      </c>
      <c r="O297" s="1" t="str">
        <f aca="false">IF(Brasil!C297="","","Brasil")</f>
        <v/>
      </c>
    </row>
    <row r="298" customFormat="false" ht="15" hidden="false" customHeight="true" outlineLevel="0" collapsed="false">
      <c r="A298" s="1" t="str">
        <f aca="false">IF(Brasil!C298="","",IFERROR(INDEX(Mercados!$C$2:$C$32,MATCH(Brasil!B298,Mercados!$A$2:$A$32,0)),"Revisar Tscode"))</f>
        <v/>
      </c>
      <c r="B298" s="1" t="str">
        <f aca="false">IF(Brasil!C298="","",Brasil!C298)</f>
        <v/>
      </c>
      <c r="C298" s="1" t="str">
        <f aca="false">IF(Brasil!C298="","",Brasil!A298)</f>
        <v/>
      </c>
      <c r="D298" s="1" t="str">
        <f aca="false">IF(Brasil!C298="","",Brasil!E298)</f>
        <v/>
      </c>
      <c r="E298" s="1" t="str">
        <f aca="false">IF(Brasil!C298="","",Brasil!F298)</f>
        <v/>
      </c>
      <c r="F298" s="1" t="str">
        <f aca="false">IF(Brasil!C298="","",Brasil!D298)</f>
        <v/>
      </c>
      <c r="I298" s="1" t="str">
        <f aca="false">IF(Brasil!C298="","",Brasil!H298)</f>
        <v/>
      </c>
      <c r="J298" s="1" t="str">
        <f aca="false">IF(Brasil!C298="","",Brasil!D298*Brasil!H298)</f>
        <v/>
      </c>
      <c r="K298" s="1" t="str">
        <f aca="false">IF(Brasil!C298="","","BR")</f>
        <v/>
      </c>
      <c r="L298" s="1" t="str">
        <f aca="false">IF(Brasil!C298="","",IFERROR(INDEX(Gamma_Catalogo!$D$3:$D$1451,MATCH(Brasil!E298,Gamma_Catalogo!$A$3:$A$1451,0)),"Revisar Ip Code"))</f>
        <v/>
      </c>
      <c r="M298" s="1" t="str">
        <f aca="false">IF(Brasil!C298="","",IFERROR(INDEX(Gamma_Catalogo!$C$3:$C$1451,MATCH(Brasil!E298,Gamma_Catalogo!$A$3:$A$1451,0)),"Revisar Ip Code"))</f>
        <v/>
      </c>
      <c r="N298" s="1" t="str">
        <f aca="false">IF(Brasil!C298="","",IFERROR(INDEX(Gamma_Catalogo!$E$3:$E$1451,MATCH(Brasil!E298,Gamma_Catalogo!$A$3:$A$1451,0)),"Revisar Ip Code"))</f>
        <v/>
      </c>
      <c r="O298" s="1" t="str">
        <f aca="false">IF(Brasil!C298="","","Brasil")</f>
        <v/>
      </c>
    </row>
    <row r="299" customFormat="false" ht="15" hidden="false" customHeight="true" outlineLevel="0" collapsed="false">
      <c r="A299" s="1" t="str">
        <f aca="false">IF(Brasil!C299="","",IFERROR(INDEX(Mercados!$C$2:$C$32,MATCH(Brasil!B299,Mercados!$A$2:$A$32,0)),"Revisar Tscode"))</f>
        <v/>
      </c>
      <c r="B299" s="1" t="str">
        <f aca="false">IF(Brasil!C299="","",Brasil!C299)</f>
        <v/>
      </c>
      <c r="C299" s="1" t="str">
        <f aca="false">IF(Brasil!C299="","",Brasil!A299)</f>
        <v/>
      </c>
      <c r="D299" s="1" t="str">
        <f aca="false">IF(Brasil!C299="","",Brasil!E299)</f>
        <v/>
      </c>
      <c r="E299" s="1" t="str">
        <f aca="false">IF(Brasil!C299="","",Brasil!F299)</f>
        <v/>
      </c>
      <c r="F299" s="1" t="str">
        <f aca="false">IF(Brasil!C299="","",Brasil!D299)</f>
        <v/>
      </c>
      <c r="I299" s="1" t="str">
        <f aca="false">IF(Brasil!C299="","",Brasil!H299)</f>
        <v/>
      </c>
      <c r="J299" s="1" t="str">
        <f aca="false">IF(Brasil!C299="","",Brasil!D299*Brasil!H299)</f>
        <v/>
      </c>
      <c r="K299" s="1" t="str">
        <f aca="false">IF(Brasil!C299="","","BR")</f>
        <v/>
      </c>
      <c r="L299" s="1" t="str">
        <f aca="false">IF(Brasil!C299="","",IFERROR(INDEX(Gamma_Catalogo!$D$3:$D$1451,MATCH(Brasil!E299,Gamma_Catalogo!$A$3:$A$1451,0)),"Revisar Ip Code"))</f>
        <v/>
      </c>
      <c r="M299" s="1" t="str">
        <f aca="false">IF(Brasil!C299="","",IFERROR(INDEX(Gamma_Catalogo!$C$3:$C$1451,MATCH(Brasil!E299,Gamma_Catalogo!$A$3:$A$1451,0)),"Revisar Ip Code"))</f>
        <v/>
      </c>
      <c r="N299" s="1" t="str">
        <f aca="false">IF(Brasil!C299="","",IFERROR(INDEX(Gamma_Catalogo!$E$3:$E$1451,MATCH(Brasil!E299,Gamma_Catalogo!$A$3:$A$1451,0)),"Revisar Ip Code"))</f>
        <v/>
      </c>
      <c r="O299" s="1" t="str">
        <f aca="false">IF(Brasil!C299="","","Brasil")</f>
        <v/>
      </c>
    </row>
    <row r="300" customFormat="false" ht="15" hidden="false" customHeight="true" outlineLevel="0" collapsed="false">
      <c r="A300" s="1" t="str">
        <f aca="false">IF(Brasil!C300="","",IFERROR(INDEX(Mercados!$C$2:$C$32,MATCH(Brasil!B300,Mercados!$A$2:$A$32,0)),"Revisar Tscode"))</f>
        <v/>
      </c>
      <c r="B300" s="1" t="str">
        <f aca="false">IF(Brasil!C300="","",Brasil!C300)</f>
        <v/>
      </c>
      <c r="C300" s="1" t="str">
        <f aca="false">IF(Brasil!C300="","",Brasil!A300)</f>
        <v/>
      </c>
      <c r="D300" s="1" t="str">
        <f aca="false">IF(Brasil!C300="","",Brasil!E300)</f>
        <v/>
      </c>
      <c r="E300" s="1" t="str">
        <f aca="false">IF(Brasil!C300="","",Brasil!F300)</f>
        <v/>
      </c>
      <c r="F300" s="1" t="str">
        <f aca="false">IF(Brasil!C300="","",Brasil!D300)</f>
        <v/>
      </c>
      <c r="I300" s="1" t="str">
        <f aca="false">IF(Brasil!C300="","",Brasil!H300)</f>
        <v/>
      </c>
      <c r="J300" s="1" t="str">
        <f aca="false">IF(Brasil!C300="","",Brasil!D300*Brasil!H300)</f>
        <v/>
      </c>
      <c r="K300" s="1" t="str">
        <f aca="false">IF(Brasil!C300="","","BR")</f>
        <v/>
      </c>
      <c r="L300" s="1" t="str">
        <f aca="false">IF(Brasil!C300="","",IFERROR(INDEX(Gamma_Catalogo!$D$3:$D$1451,MATCH(Brasil!E300,Gamma_Catalogo!$A$3:$A$1451,0)),"Revisar Ip Code"))</f>
        <v/>
      </c>
      <c r="M300" s="1" t="str">
        <f aca="false">IF(Brasil!C300="","",IFERROR(INDEX(Gamma_Catalogo!$C$3:$C$1451,MATCH(Brasil!E300,Gamma_Catalogo!$A$3:$A$1451,0)),"Revisar Ip Code"))</f>
        <v/>
      </c>
      <c r="N300" s="1" t="str">
        <f aca="false">IF(Brasil!C300="","",IFERROR(INDEX(Gamma_Catalogo!$E$3:$E$1451,MATCH(Brasil!E300,Gamma_Catalogo!$A$3:$A$1451,0)),"Revisar Ip Code"))</f>
        <v/>
      </c>
      <c r="O300" s="1" t="str">
        <f aca="false">IF(Brasil!C300="","","Brasil")</f>
        <v/>
      </c>
    </row>
    <row r="301" customFormat="false" ht="15" hidden="false" customHeight="true" outlineLevel="0" collapsed="false">
      <c r="A301" s="1" t="str">
        <f aca="false">IF(Brasil!C301="","",IFERROR(INDEX(Mercados!$C$2:$C$32,MATCH(Brasil!B301,Mercados!$A$2:$A$32,0)),"Revisar Tscode"))</f>
        <v/>
      </c>
      <c r="B301" s="1" t="str">
        <f aca="false">IF(Brasil!C301="","",Brasil!C301)</f>
        <v/>
      </c>
      <c r="C301" s="1" t="str">
        <f aca="false">IF(Brasil!C301="","",Brasil!A301)</f>
        <v/>
      </c>
      <c r="D301" s="1" t="str">
        <f aca="false">IF(Brasil!C301="","",Brasil!E301)</f>
        <v/>
      </c>
      <c r="E301" s="1" t="str">
        <f aca="false">IF(Brasil!C301="","",Brasil!F301)</f>
        <v/>
      </c>
      <c r="F301" s="1" t="str">
        <f aca="false">IF(Brasil!C301="","",Brasil!D301)</f>
        <v/>
      </c>
      <c r="I301" s="1" t="str">
        <f aca="false">IF(Brasil!C301="","",Brasil!H301)</f>
        <v/>
      </c>
      <c r="J301" s="1" t="str">
        <f aca="false">IF(Brasil!C301="","",Brasil!D301*Brasil!H301)</f>
        <v/>
      </c>
      <c r="K301" s="1" t="str">
        <f aca="false">IF(Brasil!C301="","","BR")</f>
        <v/>
      </c>
      <c r="L301" s="1" t="str">
        <f aca="false">IF(Brasil!C301="","",IFERROR(INDEX(Gamma_Catalogo!$D$3:$D$1451,MATCH(Brasil!E301,Gamma_Catalogo!$A$3:$A$1451,0)),"Revisar Ip Code"))</f>
        <v/>
      </c>
      <c r="M301" s="1" t="str">
        <f aca="false">IF(Brasil!C301="","",IFERROR(INDEX(Gamma_Catalogo!$C$3:$C$1451,MATCH(Brasil!E301,Gamma_Catalogo!$A$3:$A$1451,0)),"Revisar Ip Code"))</f>
        <v/>
      </c>
      <c r="N301" s="1" t="str">
        <f aca="false">IF(Brasil!C301="","",IFERROR(INDEX(Gamma_Catalogo!$E$3:$E$1451,MATCH(Brasil!E301,Gamma_Catalogo!$A$3:$A$1451,0)),"Revisar Ip Code"))</f>
        <v/>
      </c>
      <c r="O301" s="1" t="str">
        <f aca="false">IF(Brasil!C301="","","Brasil")</f>
        <v/>
      </c>
    </row>
    <row r="302" customFormat="false" ht="15" hidden="false" customHeight="true" outlineLevel="0" collapsed="false">
      <c r="A302" s="1" t="str">
        <f aca="false">IF(Brasil!C302="","",IFERROR(INDEX(Mercados!$C$2:$C$32,MATCH(Brasil!B302,Mercados!$A$2:$A$32,0)),"Revisar Tscode"))</f>
        <v/>
      </c>
      <c r="B302" s="1" t="str">
        <f aca="false">IF(Brasil!C302="","",Brasil!C302)</f>
        <v/>
      </c>
      <c r="C302" s="1" t="str">
        <f aca="false">IF(Brasil!C302="","",Brasil!A302)</f>
        <v/>
      </c>
      <c r="D302" s="1" t="str">
        <f aca="false">IF(Brasil!C302="","",Brasil!E302)</f>
        <v/>
      </c>
      <c r="E302" s="1" t="str">
        <f aca="false">IF(Brasil!C302="","",Brasil!F302)</f>
        <v/>
      </c>
      <c r="F302" s="1" t="str">
        <f aca="false">IF(Brasil!C302="","",Brasil!D302)</f>
        <v/>
      </c>
      <c r="I302" s="1" t="str">
        <f aca="false">IF(Brasil!C302="","",Brasil!H302)</f>
        <v/>
      </c>
      <c r="J302" s="1" t="str">
        <f aca="false">IF(Brasil!C302="","",Brasil!D302*Brasil!H302)</f>
        <v/>
      </c>
      <c r="K302" s="1" t="str">
        <f aca="false">IF(Brasil!C302="","","BR")</f>
        <v/>
      </c>
      <c r="L302" s="1" t="str">
        <f aca="false">IF(Brasil!C302="","",IFERROR(INDEX(Gamma_Catalogo!$D$3:$D$1451,MATCH(Brasil!E302,Gamma_Catalogo!$A$3:$A$1451,0)),"Revisar Ip Code"))</f>
        <v/>
      </c>
      <c r="M302" s="1" t="str">
        <f aca="false">IF(Brasil!C302="","",IFERROR(INDEX(Gamma_Catalogo!$C$3:$C$1451,MATCH(Brasil!E302,Gamma_Catalogo!$A$3:$A$1451,0)),"Revisar Ip Code"))</f>
        <v/>
      </c>
      <c r="N302" s="1" t="str">
        <f aca="false">IF(Brasil!C302="","",IFERROR(INDEX(Gamma_Catalogo!$E$3:$E$1451,MATCH(Brasil!E302,Gamma_Catalogo!$A$3:$A$1451,0)),"Revisar Ip Code"))</f>
        <v/>
      </c>
      <c r="O302" s="1" t="str">
        <f aca="false">IF(Brasil!C302="","","Brasil")</f>
        <v/>
      </c>
    </row>
    <row r="303" customFormat="false" ht="15" hidden="false" customHeight="true" outlineLevel="0" collapsed="false">
      <c r="A303" s="1" t="str">
        <f aca="false">IF(Brasil!C303="","",IFERROR(INDEX(Mercados!$C$2:$C$32,MATCH(Brasil!B303,Mercados!$A$2:$A$32,0)),"Revisar Tscode"))</f>
        <v/>
      </c>
      <c r="B303" s="1" t="str">
        <f aca="false">IF(Brasil!C303="","",Brasil!C303)</f>
        <v/>
      </c>
      <c r="C303" s="1" t="str">
        <f aca="false">IF(Brasil!C303="","",Brasil!A303)</f>
        <v/>
      </c>
      <c r="D303" s="1" t="str">
        <f aca="false">IF(Brasil!C303="","",Brasil!E303)</f>
        <v/>
      </c>
      <c r="E303" s="1" t="str">
        <f aca="false">IF(Brasil!C303="","",Brasil!F303)</f>
        <v/>
      </c>
      <c r="F303" s="1" t="str">
        <f aca="false">IF(Brasil!C303="","",Brasil!D303)</f>
        <v/>
      </c>
      <c r="I303" s="1" t="str">
        <f aca="false">IF(Brasil!C303="","",Brasil!H303)</f>
        <v/>
      </c>
      <c r="J303" s="1" t="str">
        <f aca="false">IF(Brasil!C303="","",Brasil!D303*Brasil!H303)</f>
        <v/>
      </c>
      <c r="K303" s="1" t="str">
        <f aca="false">IF(Brasil!C303="","","BR")</f>
        <v/>
      </c>
      <c r="L303" s="1" t="str">
        <f aca="false">IF(Brasil!C303="","",IFERROR(INDEX(Gamma_Catalogo!$D$3:$D$1451,MATCH(Brasil!E303,Gamma_Catalogo!$A$3:$A$1451,0)),"Revisar Ip Code"))</f>
        <v/>
      </c>
      <c r="M303" s="1" t="str">
        <f aca="false">IF(Brasil!C303="","",IFERROR(INDEX(Gamma_Catalogo!$C$3:$C$1451,MATCH(Brasil!E303,Gamma_Catalogo!$A$3:$A$1451,0)),"Revisar Ip Code"))</f>
        <v/>
      </c>
      <c r="N303" s="1" t="str">
        <f aca="false">IF(Brasil!C303="","",IFERROR(INDEX(Gamma_Catalogo!$E$3:$E$1451,MATCH(Brasil!E303,Gamma_Catalogo!$A$3:$A$1451,0)),"Revisar Ip Code"))</f>
        <v/>
      </c>
      <c r="O303" s="1" t="str">
        <f aca="false">IF(Brasil!C303="","","Brasil")</f>
        <v/>
      </c>
    </row>
    <row r="304" customFormat="false" ht="15" hidden="false" customHeight="true" outlineLevel="0" collapsed="false">
      <c r="A304" s="1" t="str">
        <f aca="false">IF(Brasil!C304="","",IFERROR(INDEX(Mercados!$C$2:$C$32,MATCH(Brasil!B304,Mercados!$A$2:$A$32,0)),"Revisar Tscode"))</f>
        <v/>
      </c>
      <c r="B304" s="1" t="str">
        <f aca="false">IF(Brasil!C304="","",Brasil!C304)</f>
        <v/>
      </c>
      <c r="C304" s="1" t="str">
        <f aca="false">IF(Brasil!C304="","",Brasil!A304)</f>
        <v/>
      </c>
      <c r="D304" s="1" t="str">
        <f aca="false">IF(Brasil!C304="","",Brasil!E304)</f>
        <v/>
      </c>
      <c r="E304" s="1" t="str">
        <f aca="false">IF(Brasil!C304="","",Brasil!F304)</f>
        <v/>
      </c>
      <c r="F304" s="1" t="str">
        <f aca="false">IF(Brasil!C304="","",Brasil!D304)</f>
        <v/>
      </c>
      <c r="I304" s="1" t="str">
        <f aca="false">IF(Brasil!C304="","",Brasil!H304)</f>
        <v/>
      </c>
      <c r="J304" s="1" t="str">
        <f aca="false">IF(Brasil!C304="","",Brasil!D304*Brasil!H304)</f>
        <v/>
      </c>
      <c r="K304" s="1" t="str">
        <f aca="false">IF(Brasil!C304="","","BR")</f>
        <v/>
      </c>
      <c r="L304" s="1" t="str">
        <f aca="false">IF(Brasil!C304="","",IFERROR(INDEX(Gamma_Catalogo!$D$3:$D$1451,MATCH(Brasil!E304,Gamma_Catalogo!$A$3:$A$1451,0)),"Revisar Ip Code"))</f>
        <v/>
      </c>
      <c r="M304" s="1" t="str">
        <f aca="false">IF(Brasil!C304="","",IFERROR(INDEX(Gamma_Catalogo!$C$3:$C$1451,MATCH(Brasil!E304,Gamma_Catalogo!$A$3:$A$1451,0)),"Revisar Ip Code"))</f>
        <v/>
      </c>
      <c r="N304" s="1" t="str">
        <f aca="false">IF(Brasil!C304="","",IFERROR(INDEX(Gamma_Catalogo!$E$3:$E$1451,MATCH(Brasil!E304,Gamma_Catalogo!$A$3:$A$1451,0)),"Revisar Ip Code"))</f>
        <v/>
      </c>
      <c r="O304" s="1" t="str">
        <f aca="false">IF(Brasil!C304="","","Brasil")</f>
        <v/>
      </c>
    </row>
    <row r="305" customFormat="false" ht="15" hidden="false" customHeight="true" outlineLevel="0" collapsed="false">
      <c r="A305" s="1" t="str">
        <f aca="false">IF(Brasil!C305="","",IFERROR(INDEX(Mercados!$C$2:$C$32,MATCH(Brasil!B305,Mercados!$A$2:$A$32,0)),"Revisar Tscode"))</f>
        <v/>
      </c>
      <c r="B305" s="1" t="str">
        <f aca="false">IF(Brasil!C305="","",Brasil!C305)</f>
        <v/>
      </c>
      <c r="C305" s="1" t="str">
        <f aca="false">IF(Brasil!C305="","",Brasil!A305)</f>
        <v/>
      </c>
      <c r="D305" s="1" t="str">
        <f aca="false">IF(Brasil!C305="","",Brasil!E305)</f>
        <v/>
      </c>
      <c r="E305" s="1" t="str">
        <f aca="false">IF(Brasil!C305="","",Brasil!F305)</f>
        <v/>
      </c>
      <c r="F305" s="1" t="str">
        <f aca="false">IF(Brasil!C305="","",Brasil!D305)</f>
        <v/>
      </c>
      <c r="I305" s="1" t="str">
        <f aca="false">IF(Brasil!C305="","",Brasil!H305)</f>
        <v/>
      </c>
      <c r="J305" s="1" t="str">
        <f aca="false">IF(Brasil!C305="","",Brasil!D305*Brasil!H305)</f>
        <v/>
      </c>
      <c r="K305" s="1" t="str">
        <f aca="false">IF(Brasil!C305="","","BR")</f>
        <v/>
      </c>
      <c r="L305" s="1" t="str">
        <f aca="false">IF(Brasil!C305="","",IFERROR(INDEX(Gamma_Catalogo!$D$3:$D$1451,MATCH(Brasil!E305,Gamma_Catalogo!$A$3:$A$1451,0)),"Revisar Ip Code"))</f>
        <v/>
      </c>
      <c r="M305" s="1" t="str">
        <f aca="false">IF(Brasil!C305="","",IFERROR(INDEX(Gamma_Catalogo!$C$3:$C$1451,MATCH(Brasil!E305,Gamma_Catalogo!$A$3:$A$1451,0)),"Revisar Ip Code"))</f>
        <v/>
      </c>
      <c r="N305" s="1" t="str">
        <f aca="false">IF(Brasil!C305="","",IFERROR(INDEX(Gamma_Catalogo!$E$3:$E$1451,MATCH(Brasil!E305,Gamma_Catalogo!$A$3:$A$1451,0)),"Revisar Ip Code"))</f>
        <v/>
      </c>
      <c r="O305" s="1" t="str">
        <f aca="false">IF(Brasil!C305="","","Brasil")</f>
        <v/>
      </c>
    </row>
    <row r="306" customFormat="false" ht="15" hidden="false" customHeight="true" outlineLevel="0" collapsed="false">
      <c r="A306" s="1" t="str">
        <f aca="false">IF(Brasil!C306="","",IFERROR(INDEX(Mercados!$C$2:$C$32,MATCH(Brasil!B306,Mercados!$A$2:$A$32,0)),"Revisar Tscode"))</f>
        <v/>
      </c>
      <c r="B306" s="1" t="str">
        <f aca="false">IF(Brasil!C306="","",Brasil!C306)</f>
        <v/>
      </c>
      <c r="C306" s="1" t="str">
        <f aca="false">IF(Brasil!C306="","",Brasil!A306)</f>
        <v/>
      </c>
      <c r="D306" s="1" t="str">
        <f aca="false">IF(Brasil!C306="","",Brasil!E306)</f>
        <v/>
      </c>
      <c r="E306" s="1" t="str">
        <f aca="false">IF(Brasil!C306="","",Brasil!F306)</f>
        <v/>
      </c>
      <c r="F306" s="1" t="str">
        <f aca="false">IF(Brasil!C306="","",Brasil!D306)</f>
        <v/>
      </c>
      <c r="I306" s="1" t="str">
        <f aca="false">IF(Brasil!C306="","",Brasil!H306)</f>
        <v/>
      </c>
      <c r="J306" s="1" t="str">
        <f aca="false">IF(Brasil!C306="","",Brasil!D306*Brasil!H306)</f>
        <v/>
      </c>
      <c r="K306" s="1" t="str">
        <f aca="false">IF(Brasil!C306="","","BR")</f>
        <v/>
      </c>
      <c r="L306" s="1" t="str">
        <f aca="false">IF(Brasil!C306="","",IFERROR(INDEX(Gamma_Catalogo!$D$3:$D$1451,MATCH(Brasil!E306,Gamma_Catalogo!$A$3:$A$1451,0)),"Revisar Ip Code"))</f>
        <v/>
      </c>
      <c r="M306" s="1" t="str">
        <f aca="false">IF(Brasil!C306="","",IFERROR(INDEX(Gamma_Catalogo!$C$3:$C$1451,MATCH(Brasil!E306,Gamma_Catalogo!$A$3:$A$1451,0)),"Revisar Ip Code"))</f>
        <v/>
      </c>
      <c r="N306" s="1" t="str">
        <f aca="false">IF(Brasil!C306="","",IFERROR(INDEX(Gamma_Catalogo!$E$3:$E$1451,MATCH(Brasil!E306,Gamma_Catalogo!$A$3:$A$1451,0)),"Revisar Ip Code"))</f>
        <v/>
      </c>
      <c r="O306" s="1" t="str">
        <f aca="false">IF(Brasil!C306="","","Brasil")</f>
        <v/>
      </c>
    </row>
    <row r="307" customFormat="false" ht="15" hidden="false" customHeight="true" outlineLevel="0" collapsed="false">
      <c r="A307" s="1" t="str">
        <f aca="false">IF(Brasil!C307="","",IFERROR(INDEX(Mercados!$C$2:$C$32,MATCH(Brasil!B307,Mercados!$A$2:$A$32,0)),"Revisar Tscode"))</f>
        <v/>
      </c>
      <c r="B307" s="1" t="str">
        <f aca="false">IF(Brasil!C307="","",Brasil!C307)</f>
        <v/>
      </c>
      <c r="C307" s="1" t="str">
        <f aca="false">IF(Brasil!C307="","",Brasil!A307)</f>
        <v/>
      </c>
      <c r="D307" s="1" t="str">
        <f aca="false">IF(Brasil!C307="","",Brasil!E307)</f>
        <v/>
      </c>
      <c r="E307" s="1" t="str">
        <f aca="false">IF(Brasil!C307="","",Brasil!F307)</f>
        <v/>
      </c>
      <c r="F307" s="1" t="str">
        <f aca="false">IF(Brasil!C307="","",Brasil!D307)</f>
        <v/>
      </c>
      <c r="I307" s="1" t="str">
        <f aca="false">IF(Brasil!C307="","",Brasil!H307)</f>
        <v/>
      </c>
      <c r="J307" s="1" t="str">
        <f aca="false">IF(Brasil!C307="","",Brasil!D307*Brasil!H307)</f>
        <v/>
      </c>
      <c r="K307" s="1" t="str">
        <f aca="false">IF(Brasil!C307="","","BR")</f>
        <v/>
      </c>
      <c r="L307" s="1" t="str">
        <f aca="false">IF(Brasil!C307="","",IFERROR(INDEX(Gamma_Catalogo!$D$3:$D$1451,MATCH(Brasil!E307,Gamma_Catalogo!$A$3:$A$1451,0)),"Revisar Ip Code"))</f>
        <v/>
      </c>
      <c r="M307" s="1" t="str">
        <f aca="false">IF(Brasil!C307="","",IFERROR(INDEX(Gamma_Catalogo!$C$3:$C$1451,MATCH(Brasil!E307,Gamma_Catalogo!$A$3:$A$1451,0)),"Revisar Ip Code"))</f>
        <v/>
      </c>
      <c r="N307" s="1" t="str">
        <f aca="false">IF(Brasil!C307="","",IFERROR(INDEX(Gamma_Catalogo!$E$3:$E$1451,MATCH(Brasil!E307,Gamma_Catalogo!$A$3:$A$1451,0)),"Revisar Ip Code"))</f>
        <v/>
      </c>
      <c r="O307" s="1" t="str">
        <f aca="false">IF(Brasil!C307="","","Brasil")</f>
        <v/>
      </c>
    </row>
    <row r="308" customFormat="false" ht="15" hidden="false" customHeight="true" outlineLevel="0" collapsed="false">
      <c r="A308" s="1" t="str">
        <f aca="false">IF(Brasil!C308="","",IFERROR(INDEX(Mercados!$C$2:$C$32,MATCH(Brasil!B308,Mercados!$A$2:$A$32,0)),"Revisar Tscode"))</f>
        <v/>
      </c>
      <c r="B308" s="1" t="str">
        <f aca="false">IF(Brasil!C308="","",Brasil!C308)</f>
        <v/>
      </c>
      <c r="C308" s="1" t="str">
        <f aca="false">IF(Brasil!C308="","",Brasil!A308)</f>
        <v/>
      </c>
      <c r="D308" s="1" t="str">
        <f aca="false">IF(Brasil!C308="","",Brasil!E308)</f>
        <v/>
      </c>
      <c r="E308" s="1" t="str">
        <f aca="false">IF(Brasil!C308="","",Brasil!F308)</f>
        <v/>
      </c>
      <c r="F308" s="1" t="str">
        <f aca="false">IF(Brasil!C308="","",Brasil!D308)</f>
        <v/>
      </c>
      <c r="I308" s="1" t="str">
        <f aca="false">IF(Brasil!C308="","",Brasil!H308)</f>
        <v/>
      </c>
      <c r="J308" s="1" t="str">
        <f aca="false">IF(Brasil!C308="","",Brasil!D308*Brasil!H308)</f>
        <v/>
      </c>
      <c r="K308" s="1" t="str">
        <f aca="false">IF(Brasil!C308="","","BR")</f>
        <v/>
      </c>
      <c r="L308" s="1" t="str">
        <f aca="false">IF(Brasil!C308="","",IFERROR(INDEX(Gamma_Catalogo!$D$3:$D$1451,MATCH(Brasil!E308,Gamma_Catalogo!$A$3:$A$1451,0)),"Revisar Ip Code"))</f>
        <v/>
      </c>
      <c r="M308" s="1" t="str">
        <f aca="false">IF(Brasil!C308="","",IFERROR(INDEX(Gamma_Catalogo!$C$3:$C$1451,MATCH(Brasil!E308,Gamma_Catalogo!$A$3:$A$1451,0)),"Revisar Ip Code"))</f>
        <v/>
      </c>
      <c r="N308" s="1" t="str">
        <f aca="false">IF(Brasil!C308="","",IFERROR(INDEX(Gamma_Catalogo!$E$3:$E$1451,MATCH(Brasil!E308,Gamma_Catalogo!$A$3:$A$1451,0)),"Revisar Ip Code"))</f>
        <v/>
      </c>
      <c r="O308" s="1" t="str">
        <f aca="false">IF(Brasil!C308="","","Brasil")</f>
        <v/>
      </c>
    </row>
    <row r="309" customFormat="false" ht="15" hidden="false" customHeight="true" outlineLevel="0" collapsed="false">
      <c r="A309" s="1" t="str">
        <f aca="false">IF(Brasil!C309="","",IFERROR(INDEX(Mercados!$C$2:$C$32,MATCH(Brasil!B309,Mercados!$A$2:$A$32,0)),"Revisar Tscode"))</f>
        <v/>
      </c>
      <c r="B309" s="1" t="str">
        <f aca="false">IF(Brasil!C309="","",Brasil!C309)</f>
        <v/>
      </c>
      <c r="C309" s="1" t="str">
        <f aca="false">IF(Brasil!C309="","",Brasil!A309)</f>
        <v/>
      </c>
      <c r="D309" s="1" t="str">
        <f aca="false">IF(Brasil!C309="","",Brasil!E309)</f>
        <v/>
      </c>
      <c r="E309" s="1" t="str">
        <f aca="false">IF(Brasil!C309="","",Brasil!F309)</f>
        <v/>
      </c>
      <c r="F309" s="1" t="str">
        <f aca="false">IF(Brasil!C309="","",Brasil!D309)</f>
        <v/>
      </c>
      <c r="I309" s="1" t="str">
        <f aca="false">IF(Brasil!C309="","",Brasil!H309)</f>
        <v/>
      </c>
      <c r="J309" s="1" t="str">
        <f aca="false">IF(Brasil!C309="","",Brasil!D309*Brasil!H309)</f>
        <v/>
      </c>
      <c r="K309" s="1" t="str">
        <f aca="false">IF(Brasil!C309="","","BR")</f>
        <v/>
      </c>
      <c r="L309" s="1" t="str">
        <f aca="false">IF(Brasil!C309="","",IFERROR(INDEX(Gamma_Catalogo!$D$3:$D$1451,MATCH(Brasil!E309,Gamma_Catalogo!$A$3:$A$1451,0)),"Revisar Ip Code"))</f>
        <v/>
      </c>
      <c r="M309" s="1" t="str">
        <f aca="false">IF(Brasil!C309="","",IFERROR(INDEX(Gamma_Catalogo!$C$3:$C$1451,MATCH(Brasil!E309,Gamma_Catalogo!$A$3:$A$1451,0)),"Revisar Ip Code"))</f>
        <v/>
      </c>
      <c r="N309" s="1" t="str">
        <f aca="false">IF(Brasil!C309="","",IFERROR(INDEX(Gamma_Catalogo!$E$3:$E$1451,MATCH(Brasil!E309,Gamma_Catalogo!$A$3:$A$1451,0)),"Revisar Ip Code"))</f>
        <v/>
      </c>
      <c r="O309" s="1" t="str">
        <f aca="false">IF(Brasil!C309="","","Brasil")</f>
        <v/>
      </c>
    </row>
    <row r="310" customFormat="false" ht="15" hidden="false" customHeight="true" outlineLevel="0" collapsed="false">
      <c r="A310" s="1" t="str">
        <f aca="false">IF(Brasil!C310="","",IFERROR(INDEX(Mercados!$C$2:$C$32,MATCH(Brasil!B310,Mercados!$A$2:$A$32,0)),"Revisar Tscode"))</f>
        <v/>
      </c>
      <c r="B310" s="1" t="str">
        <f aca="false">IF(Brasil!C310="","",Brasil!C310)</f>
        <v/>
      </c>
      <c r="C310" s="1" t="str">
        <f aca="false">IF(Brasil!C310="","",Brasil!A310)</f>
        <v/>
      </c>
      <c r="D310" s="1" t="str">
        <f aca="false">IF(Brasil!C310="","",Brasil!E310)</f>
        <v/>
      </c>
      <c r="E310" s="1" t="str">
        <f aca="false">IF(Brasil!C310="","",Brasil!F310)</f>
        <v/>
      </c>
      <c r="F310" s="1" t="str">
        <f aca="false">IF(Brasil!C310="","",Brasil!D310)</f>
        <v/>
      </c>
      <c r="I310" s="1" t="str">
        <f aca="false">IF(Brasil!C310="","",Brasil!H310)</f>
        <v/>
      </c>
      <c r="J310" s="1" t="str">
        <f aca="false">IF(Brasil!C310="","",Brasil!D310*Brasil!H310)</f>
        <v/>
      </c>
      <c r="K310" s="1" t="str">
        <f aca="false">IF(Brasil!C310="","","BR")</f>
        <v/>
      </c>
      <c r="L310" s="1" t="str">
        <f aca="false">IF(Brasil!C310="","",IFERROR(INDEX(Gamma_Catalogo!$D$3:$D$1451,MATCH(Brasil!E310,Gamma_Catalogo!$A$3:$A$1451,0)),"Revisar Ip Code"))</f>
        <v/>
      </c>
      <c r="M310" s="1" t="str">
        <f aca="false">IF(Brasil!C310="","",IFERROR(INDEX(Gamma_Catalogo!$C$3:$C$1451,MATCH(Brasil!E310,Gamma_Catalogo!$A$3:$A$1451,0)),"Revisar Ip Code"))</f>
        <v/>
      </c>
      <c r="N310" s="1" t="str">
        <f aca="false">IF(Brasil!C310="","",IFERROR(INDEX(Gamma_Catalogo!$E$3:$E$1451,MATCH(Brasil!E310,Gamma_Catalogo!$A$3:$A$1451,0)),"Revisar Ip Code"))</f>
        <v/>
      </c>
      <c r="O310" s="1" t="str">
        <f aca="false">IF(Brasil!C310="","","Brasil")</f>
        <v/>
      </c>
    </row>
    <row r="311" customFormat="false" ht="15" hidden="false" customHeight="true" outlineLevel="0" collapsed="false">
      <c r="A311" s="1" t="str">
        <f aca="false">IF(Brasil!C311="","",IFERROR(INDEX(Mercados!$C$2:$C$32,MATCH(Brasil!B311,Mercados!$A$2:$A$32,0)),"Revisar Tscode"))</f>
        <v/>
      </c>
      <c r="B311" s="1" t="str">
        <f aca="false">IF(Brasil!C311="","",Brasil!C311)</f>
        <v/>
      </c>
      <c r="C311" s="1" t="str">
        <f aca="false">IF(Brasil!C311="","",Brasil!A311)</f>
        <v/>
      </c>
      <c r="D311" s="1" t="str">
        <f aca="false">IF(Brasil!C311="","",Brasil!E311)</f>
        <v/>
      </c>
      <c r="E311" s="1" t="str">
        <f aca="false">IF(Brasil!C311="","",Brasil!F311)</f>
        <v/>
      </c>
      <c r="F311" s="1" t="str">
        <f aca="false">IF(Brasil!C311="","",Brasil!D311)</f>
        <v/>
      </c>
      <c r="I311" s="1" t="str">
        <f aca="false">IF(Brasil!C311="","",Brasil!H311)</f>
        <v/>
      </c>
      <c r="J311" s="1" t="str">
        <f aca="false">IF(Brasil!C311="","",Brasil!D311*Brasil!H311)</f>
        <v/>
      </c>
      <c r="K311" s="1" t="str">
        <f aca="false">IF(Brasil!C311="","","BR")</f>
        <v/>
      </c>
      <c r="L311" s="1" t="str">
        <f aca="false">IF(Brasil!C311="","",IFERROR(INDEX(Gamma_Catalogo!$D$3:$D$1451,MATCH(Brasil!E311,Gamma_Catalogo!$A$3:$A$1451,0)),"Revisar Ip Code"))</f>
        <v/>
      </c>
      <c r="M311" s="1" t="str">
        <f aca="false">IF(Brasil!C311="","",IFERROR(INDEX(Gamma_Catalogo!$C$3:$C$1451,MATCH(Brasil!E311,Gamma_Catalogo!$A$3:$A$1451,0)),"Revisar Ip Code"))</f>
        <v/>
      </c>
      <c r="N311" s="1" t="str">
        <f aca="false">IF(Brasil!C311="","",IFERROR(INDEX(Gamma_Catalogo!$E$3:$E$1451,MATCH(Brasil!E311,Gamma_Catalogo!$A$3:$A$1451,0)),"Revisar Ip Code"))</f>
        <v/>
      </c>
      <c r="O311" s="1" t="str">
        <f aca="false">IF(Brasil!C311="","","Brasil")</f>
        <v/>
      </c>
    </row>
    <row r="312" customFormat="false" ht="15" hidden="false" customHeight="true" outlineLevel="0" collapsed="false">
      <c r="A312" s="1" t="str">
        <f aca="false">IF(Brasil!C312="","",IFERROR(INDEX(Mercados!$C$2:$C$32,MATCH(Brasil!B312,Mercados!$A$2:$A$32,0)),"Revisar Tscode"))</f>
        <v/>
      </c>
      <c r="B312" s="1" t="str">
        <f aca="false">IF(Brasil!C312="","",Brasil!C312)</f>
        <v/>
      </c>
      <c r="C312" s="1" t="str">
        <f aca="false">IF(Brasil!C312="","",Brasil!A312)</f>
        <v/>
      </c>
      <c r="D312" s="1" t="str">
        <f aca="false">IF(Brasil!C312="","",Brasil!E312)</f>
        <v/>
      </c>
      <c r="E312" s="1" t="str">
        <f aca="false">IF(Brasil!C312="","",Brasil!F312)</f>
        <v/>
      </c>
      <c r="F312" s="1" t="str">
        <f aca="false">IF(Brasil!C312="","",Brasil!D312)</f>
        <v/>
      </c>
      <c r="I312" s="1" t="str">
        <f aca="false">IF(Brasil!C312="","",Brasil!H312)</f>
        <v/>
      </c>
      <c r="J312" s="1" t="str">
        <f aca="false">IF(Brasil!C312="","",Brasil!D312*Brasil!H312)</f>
        <v/>
      </c>
      <c r="K312" s="1" t="str">
        <f aca="false">IF(Brasil!C312="","","BR")</f>
        <v/>
      </c>
      <c r="L312" s="1" t="str">
        <f aca="false">IF(Brasil!C312="","",IFERROR(INDEX(Gamma_Catalogo!$D$3:$D$1451,MATCH(Brasil!E312,Gamma_Catalogo!$A$3:$A$1451,0)),"Revisar Ip Code"))</f>
        <v/>
      </c>
      <c r="M312" s="1" t="str">
        <f aca="false">IF(Brasil!C312="","",IFERROR(INDEX(Gamma_Catalogo!$C$3:$C$1451,MATCH(Brasil!E312,Gamma_Catalogo!$A$3:$A$1451,0)),"Revisar Ip Code"))</f>
        <v/>
      </c>
      <c r="N312" s="1" t="str">
        <f aca="false">IF(Brasil!C312="","",IFERROR(INDEX(Gamma_Catalogo!$E$3:$E$1451,MATCH(Brasil!E312,Gamma_Catalogo!$A$3:$A$1451,0)),"Revisar Ip Code"))</f>
        <v/>
      </c>
      <c r="O312" s="1" t="str">
        <f aca="false">IF(Brasil!C312="","","Brasil")</f>
        <v/>
      </c>
    </row>
    <row r="313" customFormat="false" ht="15" hidden="false" customHeight="true" outlineLevel="0" collapsed="false">
      <c r="A313" s="1" t="str">
        <f aca="false">IF(Brasil!C313="","",IFERROR(INDEX(Mercados!$C$2:$C$32,MATCH(Brasil!B313,Mercados!$A$2:$A$32,0)),"Revisar Tscode"))</f>
        <v/>
      </c>
      <c r="B313" s="1" t="str">
        <f aca="false">IF(Brasil!C313="","",Brasil!C313)</f>
        <v/>
      </c>
      <c r="C313" s="1" t="str">
        <f aca="false">IF(Brasil!C313="","",Brasil!A313)</f>
        <v/>
      </c>
      <c r="D313" s="1" t="str">
        <f aca="false">IF(Brasil!C313="","",Brasil!E313)</f>
        <v/>
      </c>
      <c r="E313" s="1" t="str">
        <f aca="false">IF(Brasil!C313="","",Brasil!F313)</f>
        <v/>
      </c>
      <c r="F313" s="1" t="str">
        <f aca="false">IF(Brasil!C313="","",Brasil!D313)</f>
        <v/>
      </c>
      <c r="I313" s="1" t="str">
        <f aca="false">IF(Brasil!C313="","",Brasil!H313)</f>
        <v/>
      </c>
      <c r="J313" s="1" t="str">
        <f aca="false">IF(Brasil!C313="","",Brasil!D313*Brasil!H313)</f>
        <v/>
      </c>
      <c r="K313" s="1" t="str">
        <f aca="false">IF(Brasil!C313="","","BR")</f>
        <v/>
      </c>
      <c r="L313" s="1" t="str">
        <f aca="false">IF(Brasil!C313="","",IFERROR(INDEX(Gamma_Catalogo!$D$3:$D$1451,MATCH(Brasil!E313,Gamma_Catalogo!$A$3:$A$1451,0)),"Revisar Ip Code"))</f>
        <v/>
      </c>
      <c r="M313" s="1" t="str">
        <f aca="false">IF(Brasil!C313="","",IFERROR(INDEX(Gamma_Catalogo!$C$3:$C$1451,MATCH(Brasil!E313,Gamma_Catalogo!$A$3:$A$1451,0)),"Revisar Ip Code"))</f>
        <v/>
      </c>
      <c r="N313" s="1" t="str">
        <f aca="false">IF(Brasil!C313="","",IFERROR(INDEX(Gamma_Catalogo!$E$3:$E$1451,MATCH(Brasil!E313,Gamma_Catalogo!$A$3:$A$1451,0)),"Revisar Ip Code"))</f>
        <v/>
      </c>
      <c r="O313" s="1" t="str">
        <f aca="false">IF(Brasil!C313="","","Brasil")</f>
        <v/>
      </c>
    </row>
    <row r="314" customFormat="false" ht="15" hidden="false" customHeight="true" outlineLevel="0" collapsed="false">
      <c r="A314" s="1" t="str">
        <f aca="false">IF(Brasil!C314="","",IFERROR(INDEX(Mercados!$C$2:$C$32,MATCH(Brasil!B314,Mercados!$A$2:$A$32,0)),"Revisar Tscode"))</f>
        <v/>
      </c>
      <c r="B314" s="1" t="str">
        <f aca="false">IF(Brasil!C314="","",Brasil!C314)</f>
        <v/>
      </c>
      <c r="C314" s="1" t="str">
        <f aca="false">IF(Brasil!C314="","",Brasil!A314)</f>
        <v/>
      </c>
      <c r="D314" s="1" t="str">
        <f aca="false">IF(Brasil!C314="","",Brasil!E314)</f>
        <v/>
      </c>
      <c r="E314" s="1" t="str">
        <f aca="false">IF(Brasil!C314="","",Brasil!F314)</f>
        <v/>
      </c>
      <c r="F314" s="1" t="str">
        <f aca="false">IF(Brasil!C314="","",Brasil!D314)</f>
        <v/>
      </c>
      <c r="I314" s="1" t="str">
        <f aca="false">IF(Brasil!C314="","",Brasil!H314)</f>
        <v/>
      </c>
      <c r="J314" s="1" t="str">
        <f aca="false">IF(Brasil!C314="","",Brasil!D314*Brasil!H314)</f>
        <v/>
      </c>
      <c r="K314" s="1" t="str">
        <f aca="false">IF(Brasil!C314="","","BR")</f>
        <v/>
      </c>
      <c r="L314" s="1" t="str">
        <f aca="false">IF(Brasil!C314="","",IFERROR(INDEX(Gamma_Catalogo!$D$3:$D$1451,MATCH(Brasil!E314,Gamma_Catalogo!$A$3:$A$1451,0)),"Revisar Ip Code"))</f>
        <v/>
      </c>
      <c r="M314" s="1" t="str">
        <f aca="false">IF(Brasil!C314="","",IFERROR(INDEX(Gamma_Catalogo!$C$3:$C$1451,MATCH(Brasil!E314,Gamma_Catalogo!$A$3:$A$1451,0)),"Revisar Ip Code"))</f>
        <v/>
      </c>
      <c r="N314" s="1" t="str">
        <f aca="false">IF(Brasil!C314="","",IFERROR(INDEX(Gamma_Catalogo!$E$3:$E$1451,MATCH(Brasil!E314,Gamma_Catalogo!$A$3:$A$1451,0)),"Revisar Ip Code"))</f>
        <v/>
      </c>
      <c r="O314" s="1" t="str">
        <f aca="false">IF(Brasil!C314="","","Brasil")</f>
        <v/>
      </c>
    </row>
    <row r="315" customFormat="false" ht="15" hidden="false" customHeight="true" outlineLevel="0" collapsed="false">
      <c r="A315" s="1" t="str">
        <f aca="false">IF(Brasil!C315="","",IFERROR(INDEX(Mercados!$C$2:$C$32,MATCH(Brasil!B315,Mercados!$A$2:$A$32,0)),"Revisar Tscode"))</f>
        <v/>
      </c>
      <c r="B315" s="1" t="str">
        <f aca="false">IF(Brasil!C315="","",Brasil!C315)</f>
        <v/>
      </c>
      <c r="C315" s="1" t="str">
        <f aca="false">IF(Brasil!C315="","",Brasil!A315)</f>
        <v/>
      </c>
      <c r="D315" s="1" t="str">
        <f aca="false">IF(Brasil!C315="","",Brasil!E315)</f>
        <v/>
      </c>
      <c r="E315" s="1" t="str">
        <f aca="false">IF(Brasil!C315="","",Brasil!F315)</f>
        <v/>
      </c>
      <c r="F315" s="1" t="str">
        <f aca="false">IF(Brasil!C315="","",Brasil!D315)</f>
        <v/>
      </c>
      <c r="I315" s="1" t="str">
        <f aca="false">IF(Brasil!C315="","",Brasil!H315)</f>
        <v/>
      </c>
      <c r="J315" s="1" t="str">
        <f aca="false">IF(Brasil!C315="","",Brasil!D315*Brasil!H315)</f>
        <v/>
      </c>
      <c r="K315" s="1" t="str">
        <f aca="false">IF(Brasil!C315="","","BR")</f>
        <v/>
      </c>
      <c r="L315" s="1" t="str">
        <f aca="false">IF(Brasil!C315="","",IFERROR(INDEX(Gamma_Catalogo!$D$3:$D$1451,MATCH(Brasil!E315,Gamma_Catalogo!$A$3:$A$1451,0)),"Revisar Ip Code"))</f>
        <v/>
      </c>
      <c r="M315" s="1" t="str">
        <f aca="false">IF(Brasil!C315="","",IFERROR(INDEX(Gamma_Catalogo!$C$3:$C$1451,MATCH(Brasil!E315,Gamma_Catalogo!$A$3:$A$1451,0)),"Revisar Ip Code"))</f>
        <v/>
      </c>
      <c r="N315" s="1" t="str">
        <f aca="false">IF(Brasil!C315="","",IFERROR(INDEX(Gamma_Catalogo!$E$3:$E$1451,MATCH(Brasil!E315,Gamma_Catalogo!$A$3:$A$1451,0)),"Revisar Ip Code"))</f>
        <v/>
      </c>
      <c r="O315" s="1" t="str">
        <f aca="false">IF(Brasil!C315="","","Brasil")</f>
        <v/>
      </c>
    </row>
    <row r="316" customFormat="false" ht="15" hidden="false" customHeight="true" outlineLevel="0" collapsed="false">
      <c r="A316" s="1" t="str">
        <f aca="false">IF(Brasil!C316="","",IFERROR(INDEX(Mercados!$C$2:$C$32,MATCH(Brasil!B316,Mercados!$A$2:$A$32,0)),"Revisar Tscode"))</f>
        <v/>
      </c>
      <c r="B316" s="1" t="str">
        <f aca="false">IF(Brasil!C316="","",Brasil!C316)</f>
        <v/>
      </c>
      <c r="C316" s="1" t="str">
        <f aca="false">IF(Brasil!C316="","",Brasil!A316)</f>
        <v/>
      </c>
      <c r="D316" s="1" t="str">
        <f aca="false">IF(Brasil!C316="","",Brasil!E316)</f>
        <v/>
      </c>
      <c r="E316" s="1" t="str">
        <f aca="false">IF(Brasil!C316="","",Brasil!F316)</f>
        <v/>
      </c>
      <c r="F316" s="1" t="str">
        <f aca="false">IF(Brasil!C316="","",Brasil!D316)</f>
        <v/>
      </c>
      <c r="I316" s="1" t="str">
        <f aca="false">IF(Brasil!C316="","",Brasil!H316)</f>
        <v/>
      </c>
      <c r="J316" s="1" t="str">
        <f aca="false">IF(Brasil!C316="","",Brasil!D316*Brasil!H316)</f>
        <v/>
      </c>
      <c r="K316" s="1" t="str">
        <f aca="false">IF(Brasil!C316="","","BR")</f>
        <v/>
      </c>
      <c r="L316" s="1" t="str">
        <f aca="false">IF(Brasil!C316="","",IFERROR(INDEX(Gamma_Catalogo!$D$3:$D$1451,MATCH(Brasil!E316,Gamma_Catalogo!$A$3:$A$1451,0)),"Revisar Ip Code"))</f>
        <v/>
      </c>
      <c r="M316" s="1" t="str">
        <f aca="false">IF(Brasil!C316="","",IFERROR(INDEX(Gamma_Catalogo!$C$3:$C$1451,MATCH(Brasil!E316,Gamma_Catalogo!$A$3:$A$1451,0)),"Revisar Ip Code"))</f>
        <v/>
      </c>
      <c r="N316" s="1" t="str">
        <f aca="false">IF(Brasil!C316="","",IFERROR(INDEX(Gamma_Catalogo!$E$3:$E$1451,MATCH(Brasil!E316,Gamma_Catalogo!$A$3:$A$1451,0)),"Revisar Ip Code"))</f>
        <v/>
      </c>
      <c r="O316" s="1" t="str">
        <f aca="false">IF(Brasil!C316="","","Brasil")</f>
        <v/>
      </c>
    </row>
    <row r="317" customFormat="false" ht="15" hidden="false" customHeight="true" outlineLevel="0" collapsed="false">
      <c r="A317" s="1" t="str">
        <f aca="false">IF(Brasil!C317="","",IFERROR(INDEX(Mercados!$C$2:$C$32,MATCH(Brasil!B317,Mercados!$A$2:$A$32,0)),"Revisar Tscode"))</f>
        <v/>
      </c>
      <c r="B317" s="1" t="str">
        <f aca="false">IF(Brasil!C317="","",Brasil!C317)</f>
        <v/>
      </c>
      <c r="C317" s="1" t="str">
        <f aca="false">IF(Brasil!C317="","",Brasil!A317)</f>
        <v/>
      </c>
      <c r="D317" s="1" t="str">
        <f aca="false">IF(Brasil!C317="","",Brasil!E317)</f>
        <v/>
      </c>
      <c r="E317" s="1" t="str">
        <f aca="false">IF(Brasil!C317="","",Brasil!F317)</f>
        <v/>
      </c>
      <c r="F317" s="1" t="str">
        <f aca="false">IF(Brasil!C317="","",Brasil!D317)</f>
        <v/>
      </c>
      <c r="I317" s="1" t="str">
        <f aca="false">IF(Brasil!C317="","",Brasil!H317)</f>
        <v/>
      </c>
      <c r="J317" s="1" t="str">
        <f aca="false">IF(Brasil!C317="","",Brasil!D317*Brasil!H317)</f>
        <v/>
      </c>
      <c r="K317" s="1" t="str">
        <f aca="false">IF(Brasil!C317="","","BR")</f>
        <v/>
      </c>
      <c r="L317" s="1" t="str">
        <f aca="false">IF(Brasil!C317="","",IFERROR(INDEX(Gamma_Catalogo!$D$3:$D$1451,MATCH(Brasil!E317,Gamma_Catalogo!$A$3:$A$1451,0)),"Revisar Ip Code"))</f>
        <v/>
      </c>
      <c r="M317" s="1" t="str">
        <f aca="false">IF(Brasil!C317="","",IFERROR(INDEX(Gamma_Catalogo!$C$3:$C$1451,MATCH(Brasil!E317,Gamma_Catalogo!$A$3:$A$1451,0)),"Revisar Ip Code"))</f>
        <v/>
      </c>
      <c r="N317" s="1" t="str">
        <f aca="false">IF(Brasil!C317="","",IFERROR(INDEX(Gamma_Catalogo!$E$3:$E$1451,MATCH(Brasil!E317,Gamma_Catalogo!$A$3:$A$1451,0)),"Revisar Ip Code"))</f>
        <v/>
      </c>
      <c r="O317" s="1" t="str">
        <f aca="false">IF(Brasil!C317="","","Brasil")</f>
        <v/>
      </c>
    </row>
    <row r="318" customFormat="false" ht="15" hidden="false" customHeight="true" outlineLevel="0" collapsed="false">
      <c r="A318" s="1" t="str">
        <f aca="false">IF(Brasil!C318="","",IFERROR(INDEX(Mercados!$C$2:$C$32,MATCH(Brasil!B318,Mercados!$A$2:$A$32,0)),"Revisar Tscode"))</f>
        <v/>
      </c>
      <c r="B318" s="1" t="str">
        <f aca="false">IF(Brasil!C318="","",Brasil!C318)</f>
        <v/>
      </c>
      <c r="C318" s="1" t="str">
        <f aca="false">IF(Brasil!C318="","",Brasil!A318)</f>
        <v/>
      </c>
      <c r="D318" s="1" t="str">
        <f aca="false">IF(Brasil!C318="","",Brasil!E318)</f>
        <v/>
      </c>
      <c r="E318" s="1" t="str">
        <f aca="false">IF(Brasil!C318="","",Brasil!F318)</f>
        <v/>
      </c>
      <c r="F318" s="1" t="str">
        <f aca="false">IF(Brasil!C318="","",Brasil!D318)</f>
        <v/>
      </c>
      <c r="I318" s="1" t="str">
        <f aca="false">IF(Brasil!C318="","",Brasil!H318)</f>
        <v/>
      </c>
      <c r="J318" s="1" t="str">
        <f aca="false">IF(Brasil!C318="","",Brasil!D318*Brasil!H318)</f>
        <v/>
      </c>
      <c r="K318" s="1" t="str">
        <f aca="false">IF(Brasil!C318="","","BR")</f>
        <v/>
      </c>
      <c r="L318" s="1" t="str">
        <f aca="false">IF(Brasil!C318="","",IFERROR(INDEX(Gamma_Catalogo!$D$3:$D$1451,MATCH(Brasil!E318,Gamma_Catalogo!$A$3:$A$1451,0)),"Revisar Ip Code"))</f>
        <v/>
      </c>
      <c r="M318" s="1" t="str">
        <f aca="false">IF(Brasil!C318="","",IFERROR(INDEX(Gamma_Catalogo!$C$3:$C$1451,MATCH(Brasil!E318,Gamma_Catalogo!$A$3:$A$1451,0)),"Revisar Ip Code"))</f>
        <v/>
      </c>
      <c r="N318" s="1" t="str">
        <f aca="false">IF(Brasil!C318="","",IFERROR(INDEX(Gamma_Catalogo!$E$3:$E$1451,MATCH(Brasil!E318,Gamma_Catalogo!$A$3:$A$1451,0)),"Revisar Ip Code"))</f>
        <v/>
      </c>
      <c r="O318" s="1" t="str">
        <f aca="false">IF(Brasil!C318="","","Brasil")</f>
        <v/>
      </c>
    </row>
    <row r="319" customFormat="false" ht="15" hidden="false" customHeight="true" outlineLevel="0" collapsed="false">
      <c r="A319" s="1" t="str">
        <f aca="false">IF(Brasil!C319="","",IFERROR(INDEX(Mercados!$C$2:$C$32,MATCH(Brasil!B319,Mercados!$A$2:$A$32,0)),"Revisar Tscode"))</f>
        <v/>
      </c>
      <c r="B319" s="1" t="str">
        <f aca="false">IF(Brasil!C319="","",Brasil!C319)</f>
        <v/>
      </c>
      <c r="C319" s="1" t="str">
        <f aca="false">IF(Brasil!C319="","",Brasil!A319)</f>
        <v/>
      </c>
      <c r="D319" s="1" t="str">
        <f aca="false">IF(Brasil!C319="","",Brasil!E319)</f>
        <v/>
      </c>
      <c r="E319" s="1" t="str">
        <f aca="false">IF(Brasil!C319="","",Brasil!F319)</f>
        <v/>
      </c>
      <c r="F319" s="1" t="str">
        <f aca="false">IF(Brasil!C319="","",Brasil!D319)</f>
        <v/>
      </c>
      <c r="I319" s="1" t="str">
        <f aca="false">IF(Brasil!C319="","",Brasil!H319)</f>
        <v/>
      </c>
      <c r="J319" s="1" t="str">
        <f aca="false">IF(Brasil!C319="","",Brasil!D319*Brasil!H319)</f>
        <v/>
      </c>
      <c r="K319" s="1" t="str">
        <f aca="false">IF(Brasil!C319="","","BR")</f>
        <v/>
      </c>
      <c r="L319" s="1" t="str">
        <f aca="false">IF(Brasil!C319="","",IFERROR(INDEX(Gamma_Catalogo!$D$3:$D$1451,MATCH(Brasil!E319,Gamma_Catalogo!$A$3:$A$1451,0)),"Revisar Ip Code"))</f>
        <v/>
      </c>
      <c r="M319" s="1" t="str">
        <f aca="false">IF(Brasil!C319="","",IFERROR(INDEX(Gamma_Catalogo!$C$3:$C$1451,MATCH(Brasil!E319,Gamma_Catalogo!$A$3:$A$1451,0)),"Revisar Ip Code"))</f>
        <v/>
      </c>
      <c r="N319" s="1" t="str">
        <f aca="false">IF(Brasil!C319="","",IFERROR(INDEX(Gamma_Catalogo!$E$3:$E$1451,MATCH(Brasil!E319,Gamma_Catalogo!$A$3:$A$1451,0)),"Revisar Ip Code"))</f>
        <v/>
      </c>
      <c r="O319" s="1" t="str">
        <f aca="false">IF(Brasil!C319="","","Brasil")</f>
        <v/>
      </c>
    </row>
    <row r="320" customFormat="false" ht="15" hidden="false" customHeight="true" outlineLevel="0" collapsed="false">
      <c r="A320" s="1" t="str">
        <f aca="false">IF(Brasil!C320="","",IFERROR(INDEX(Mercados!$C$2:$C$32,MATCH(Brasil!B320,Mercados!$A$2:$A$32,0)),"Revisar Tscode"))</f>
        <v/>
      </c>
      <c r="B320" s="1" t="str">
        <f aca="false">IF(Brasil!C320="","",Brasil!C320)</f>
        <v/>
      </c>
      <c r="C320" s="1" t="str">
        <f aca="false">IF(Brasil!C320="","",Brasil!A320)</f>
        <v/>
      </c>
      <c r="D320" s="1" t="str">
        <f aca="false">IF(Brasil!C320="","",Brasil!E320)</f>
        <v/>
      </c>
      <c r="E320" s="1" t="str">
        <f aca="false">IF(Brasil!C320="","",Brasil!F320)</f>
        <v/>
      </c>
      <c r="F320" s="1" t="str">
        <f aca="false">IF(Brasil!C320="","",Brasil!D320)</f>
        <v/>
      </c>
      <c r="I320" s="1" t="str">
        <f aca="false">IF(Brasil!C320="","",Brasil!H320)</f>
        <v/>
      </c>
      <c r="J320" s="1" t="str">
        <f aca="false">IF(Brasil!C320="","",Brasil!D320*Brasil!H320)</f>
        <v/>
      </c>
      <c r="K320" s="1" t="str">
        <f aca="false">IF(Brasil!C320="","","BR")</f>
        <v/>
      </c>
      <c r="L320" s="1" t="str">
        <f aca="false">IF(Brasil!C320="","",IFERROR(INDEX(Gamma_Catalogo!$D$3:$D$1451,MATCH(Brasil!E320,Gamma_Catalogo!$A$3:$A$1451,0)),"Revisar Ip Code"))</f>
        <v/>
      </c>
      <c r="M320" s="1" t="str">
        <f aca="false">IF(Brasil!C320="","",IFERROR(INDEX(Gamma_Catalogo!$C$3:$C$1451,MATCH(Brasil!E320,Gamma_Catalogo!$A$3:$A$1451,0)),"Revisar Ip Code"))</f>
        <v/>
      </c>
      <c r="N320" s="1" t="str">
        <f aca="false">IF(Brasil!C320="","",IFERROR(INDEX(Gamma_Catalogo!$E$3:$E$1451,MATCH(Brasil!E320,Gamma_Catalogo!$A$3:$A$1451,0)),"Revisar Ip Code"))</f>
        <v/>
      </c>
      <c r="O320" s="1" t="str">
        <f aca="false">IF(Brasil!C320="","","Brasil")</f>
        <v/>
      </c>
    </row>
    <row r="321" customFormat="false" ht="15" hidden="false" customHeight="true" outlineLevel="0" collapsed="false">
      <c r="A321" s="1" t="str">
        <f aca="false">IF(Brasil!C321="","",IFERROR(INDEX(Mercados!$C$2:$C$32,MATCH(Brasil!B321,Mercados!$A$2:$A$32,0)),"Revisar Tscode"))</f>
        <v/>
      </c>
      <c r="B321" s="1" t="str">
        <f aca="false">IF(Brasil!C321="","",Brasil!C321)</f>
        <v/>
      </c>
      <c r="C321" s="1" t="str">
        <f aca="false">IF(Brasil!C321="","",Brasil!A321)</f>
        <v/>
      </c>
      <c r="D321" s="1" t="str">
        <f aca="false">IF(Brasil!C321="","",Brasil!E321)</f>
        <v/>
      </c>
      <c r="E321" s="1" t="str">
        <f aca="false">IF(Brasil!C321="","",Brasil!F321)</f>
        <v/>
      </c>
      <c r="F321" s="1" t="str">
        <f aca="false">IF(Brasil!C321="","",Brasil!D321)</f>
        <v/>
      </c>
      <c r="I321" s="1" t="str">
        <f aca="false">IF(Brasil!C321="","",Brasil!H321)</f>
        <v/>
      </c>
      <c r="J321" s="1" t="str">
        <f aca="false">IF(Brasil!C321="","",Brasil!D321*Brasil!H321)</f>
        <v/>
      </c>
      <c r="K321" s="1" t="str">
        <f aca="false">IF(Brasil!C321="","","BR")</f>
        <v/>
      </c>
      <c r="L321" s="1" t="str">
        <f aca="false">IF(Brasil!C321="","",IFERROR(INDEX(Gamma_Catalogo!$D$3:$D$1451,MATCH(Brasil!E321,Gamma_Catalogo!$A$3:$A$1451,0)),"Revisar Ip Code"))</f>
        <v/>
      </c>
      <c r="M321" s="1" t="str">
        <f aca="false">IF(Brasil!C321="","",IFERROR(INDEX(Gamma_Catalogo!$C$3:$C$1451,MATCH(Brasil!E321,Gamma_Catalogo!$A$3:$A$1451,0)),"Revisar Ip Code"))</f>
        <v/>
      </c>
      <c r="N321" s="1" t="str">
        <f aca="false">IF(Brasil!C321="","",IFERROR(INDEX(Gamma_Catalogo!$E$3:$E$1451,MATCH(Brasil!E321,Gamma_Catalogo!$A$3:$A$1451,0)),"Revisar Ip Code"))</f>
        <v/>
      </c>
      <c r="O321" s="1" t="str">
        <f aca="false">IF(Brasil!C321="","","Brasil")</f>
        <v/>
      </c>
    </row>
    <row r="322" customFormat="false" ht="15" hidden="false" customHeight="true" outlineLevel="0" collapsed="false">
      <c r="A322" s="1" t="str">
        <f aca="false">IF(Brasil!C322="","",IFERROR(INDEX(Mercados!$C$2:$C$32,MATCH(Brasil!B322,Mercados!$A$2:$A$32,0)),"Revisar Tscode"))</f>
        <v/>
      </c>
      <c r="B322" s="1" t="str">
        <f aca="false">IF(Brasil!C322="","",Brasil!C322)</f>
        <v/>
      </c>
      <c r="C322" s="1" t="str">
        <f aca="false">IF(Brasil!C322="","",Brasil!A322)</f>
        <v/>
      </c>
      <c r="D322" s="1" t="str">
        <f aca="false">IF(Brasil!C322="","",Brasil!E322)</f>
        <v/>
      </c>
      <c r="E322" s="1" t="str">
        <f aca="false">IF(Brasil!C322="","",Brasil!F322)</f>
        <v/>
      </c>
      <c r="F322" s="1" t="str">
        <f aca="false">IF(Brasil!C322="","",Brasil!D322)</f>
        <v/>
      </c>
      <c r="I322" s="1" t="str">
        <f aca="false">IF(Brasil!C322="","",Brasil!H322)</f>
        <v/>
      </c>
      <c r="J322" s="1" t="str">
        <f aca="false">IF(Brasil!C322="","",Brasil!D322*Brasil!H322)</f>
        <v/>
      </c>
      <c r="K322" s="1" t="str">
        <f aca="false">IF(Brasil!C322="","","BR")</f>
        <v/>
      </c>
      <c r="L322" s="1" t="str">
        <f aca="false">IF(Brasil!C322="","",IFERROR(INDEX(Gamma_Catalogo!$D$3:$D$1451,MATCH(Brasil!E322,Gamma_Catalogo!$A$3:$A$1451,0)),"Revisar Ip Code"))</f>
        <v/>
      </c>
      <c r="M322" s="1" t="str">
        <f aca="false">IF(Brasil!C322="","",IFERROR(INDEX(Gamma_Catalogo!$C$3:$C$1451,MATCH(Brasil!E322,Gamma_Catalogo!$A$3:$A$1451,0)),"Revisar Ip Code"))</f>
        <v/>
      </c>
      <c r="N322" s="1" t="str">
        <f aca="false">IF(Brasil!C322="","",IFERROR(INDEX(Gamma_Catalogo!$E$3:$E$1451,MATCH(Brasil!E322,Gamma_Catalogo!$A$3:$A$1451,0)),"Revisar Ip Code"))</f>
        <v/>
      </c>
      <c r="O322" s="1" t="str">
        <f aca="false">IF(Brasil!C322="","","Brasil")</f>
        <v/>
      </c>
    </row>
    <row r="323" customFormat="false" ht="15" hidden="false" customHeight="true" outlineLevel="0" collapsed="false">
      <c r="A323" s="1" t="str">
        <f aca="false">IF(Brasil!C323="","",IFERROR(INDEX(Mercados!$C$2:$C$32,MATCH(Brasil!B323,Mercados!$A$2:$A$32,0)),"Revisar Tscode"))</f>
        <v/>
      </c>
      <c r="B323" s="1" t="str">
        <f aca="false">IF(Brasil!C323="","",Brasil!C323)</f>
        <v/>
      </c>
      <c r="C323" s="1" t="str">
        <f aca="false">IF(Brasil!C323="","",Brasil!A323)</f>
        <v/>
      </c>
      <c r="D323" s="1" t="str">
        <f aca="false">IF(Brasil!C323="","",Brasil!E323)</f>
        <v/>
      </c>
      <c r="E323" s="1" t="str">
        <f aca="false">IF(Brasil!C323="","",Brasil!F323)</f>
        <v/>
      </c>
      <c r="F323" s="1" t="str">
        <f aca="false">IF(Brasil!C323="","",Brasil!D323)</f>
        <v/>
      </c>
      <c r="I323" s="1" t="str">
        <f aca="false">IF(Brasil!C323="","",Brasil!H323)</f>
        <v/>
      </c>
      <c r="J323" s="1" t="str">
        <f aca="false">IF(Brasil!C323="","",Brasil!D323*Brasil!H323)</f>
        <v/>
      </c>
      <c r="K323" s="1" t="str">
        <f aca="false">IF(Brasil!C323="","","BR")</f>
        <v/>
      </c>
      <c r="L323" s="1" t="str">
        <f aca="false">IF(Brasil!C323="","",IFERROR(INDEX(Gamma_Catalogo!$D$3:$D$1451,MATCH(Brasil!E323,Gamma_Catalogo!$A$3:$A$1451,0)),"Revisar Ip Code"))</f>
        <v/>
      </c>
      <c r="M323" s="1" t="str">
        <f aca="false">IF(Brasil!C323="","",IFERROR(INDEX(Gamma_Catalogo!$C$3:$C$1451,MATCH(Brasil!E323,Gamma_Catalogo!$A$3:$A$1451,0)),"Revisar Ip Code"))</f>
        <v/>
      </c>
      <c r="N323" s="1" t="str">
        <f aca="false">IF(Brasil!C323="","",IFERROR(INDEX(Gamma_Catalogo!$E$3:$E$1451,MATCH(Brasil!E323,Gamma_Catalogo!$A$3:$A$1451,0)),"Revisar Ip Code"))</f>
        <v/>
      </c>
      <c r="O323" s="1" t="str">
        <f aca="false">IF(Brasil!C323="","","Brasil")</f>
        <v/>
      </c>
    </row>
    <row r="324" customFormat="false" ht="15" hidden="false" customHeight="true" outlineLevel="0" collapsed="false">
      <c r="A324" s="1" t="str">
        <f aca="false">IF(Brasil!C324="","",IFERROR(INDEX(Mercados!$C$2:$C$32,MATCH(Brasil!B324,Mercados!$A$2:$A$32,0)),"Revisar Tscode"))</f>
        <v/>
      </c>
      <c r="B324" s="1" t="str">
        <f aca="false">IF(Brasil!C324="","",Brasil!C324)</f>
        <v/>
      </c>
      <c r="C324" s="1" t="str">
        <f aca="false">IF(Brasil!C324="","",Brasil!A324)</f>
        <v/>
      </c>
      <c r="D324" s="1" t="str">
        <f aca="false">IF(Brasil!C324="","",Brasil!E324)</f>
        <v/>
      </c>
      <c r="E324" s="1" t="str">
        <f aca="false">IF(Brasil!C324="","",Brasil!F324)</f>
        <v/>
      </c>
      <c r="F324" s="1" t="str">
        <f aca="false">IF(Brasil!C324="","",Brasil!D324)</f>
        <v/>
      </c>
      <c r="I324" s="1" t="str">
        <f aca="false">IF(Brasil!C324="","",Brasil!H324)</f>
        <v/>
      </c>
      <c r="J324" s="1" t="str">
        <f aca="false">IF(Brasil!C324="","",Brasil!D324*Brasil!H324)</f>
        <v/>
      </c>
      <c r="K324" s="1" t="str">
        <f aca="false">IF(Brasil!C324="","","BR")</f>
        <v/>
      </c>
      <c r="L324" s="1" t="str">
        <f aca="false">IF(Brasil!C324="","",IFERROR(INDEX(Gamma_Catalogo!$D$3:$D$1451,MATCH(Brasil!E324,Gamma_Catalogo!$A$3:$A$1451,0)),"Revisar Ip Code"))</f>
        <v/>
      </c>
      <c r="M324" s="1" t="str">
        <f aca="false">IF(Brasil!C324="","",IFERROR(INDEX(Gamma_Catalogo!$C$3:$C$1451,MATCH(Brasil!E324,Gamma_Catalogo!$A$3:$A$1451,0)),"Revisar Ip Code"))</f>
        <v/>
      </c>
      <c r="N324" s="1" t="str">
        <f aca="false">IF(Brasil!C324="","",IFERROR(INDEX(Gamma_Catalogo!$E$3:$E$1451,MATCH(Brasil!E324,Gamma_Catalogo!$A$3:$A$1451,0)),"Revisar Ip Code"))</f>
        <v/>
      </c>
      <c r="O324" s="1" t="str">
        <f aca="false">IF(Brasil!C324="","","Brasil")</f>
        <v/>
      </c>
    </row>
    <row r="325" customFormat="false" ht="15" hidden="false" customHeight="true" outlineLevel="0" collapsed="false">
      <c r="A325" s="1" t="str">
        <f aca="false">IF(Brasil!C325="","",IFERROR(INDEX(Mercados!$C$2:$C$32,MATCH(Brasil!B325,Mercados!$A$2:$A$32,0)),"Revisar Tscode"))</f>
        <v/>
      </c>
      <c r="B325" s="1" t="str">
        <f aca="false">IF(Brasil!C325="","",Brasil!C325)</f>
        <v/>
      </c>
      <c r="C325" s="1" t="str">
        <f aca="false">IF(Brasil!C325="","",Brasil!A325)</f>
        <v/>
      </c>
      <c r="D325" s="1" t="str">
        <f aca="false">IF(Brasil!C325="","",Brasil!E325)</f>
        <v/>
      </c>
      <c r="E325" s="1" t="str">
        <f aca="false">IF(Brasil!C325="","",Brasil!F325)</f>
        <v/>
      </c>
      <c r="F325" s="1" t="str">
        <f aca="false">IF(Brasil!C325="","",Brasil!D325)</f>
        <v/>
      </c>
      <c r="I325" s="1" t="str">
        <f aca="false">IF(Brasil!C325="","",Brasil!H325)</f>
        <v/>
      </c>
      <c r="J325" s="1" t="str">
        <f aca="false">IF(Brasil!C325="","",Brasil!D325*Brasil!H325)</f>
        <v/>
      </c>
      <c r="K325" s="1" t="str">
        <f aca="false">IF(Brasil!C325="","","BR")</f>
        <v/>
      </c>
      <c r="L325" s="1" t="str">
        <f aca="false">IF(Brasil!C325="","",IFERROR(INDEX(Gamma_Catalogo!$D$3:$D$1451,MATCH(Brasil!E325,Gamma_Catalogo!$A$3:$A$1451,0)),"Revisar Ip Code"))</f>
        <v/>
      </c>
      <c r="M325" s="1" t="str">
        <f aca="false">IF(Brasil!C325="","",IFERROR(INDEX(Gamma_Catalogo!$C$3:$C$1451,MATCH(Brasil!E325,Gamma_Catalogo!$A$3:$A$1451,0)),"Revisar Ip Code"))</f>
        <v/>
      </c>
      <c r="N325" s="1" t="str">
        <f aca="false">IF(Brasil!C325="","",IFERROR(INDEX(Gamma_Catalogo!$E$3:$E$1451,MATCH(Brasil!E325,Gamma_Catalogo!$A$3:$A$1451,0)),"Revisar Ip Code"))</f>
        <v/>
      </c>
      <c r="O325" s="1" t="str">
        <f aca="false">IF(Brasil!C325="","","Brasil")</f>
        <v/>
      </c>
    </row>
    <row r="326" customFormat="false" ht="15" hidden="false" customHeight="true" outlineLevel="0" collapsed="false">
      <c r="A326" s="1" t="str">
        <f aca="false">IF(Brasil!C326="","",IFERROR(INDEX(Mercados!$C$2:$C$32,MATCH(Brasil!B326,Mercados!$A$2:$A$32,0)),"Revisar Tscode"))</f>
        <v/>
      </c>
      <c r="B326" s="1" t="str">
        <f aca="false">IF(Brasil!C326="","",Brasil!C326)</f>
        <v/>
      </c>
      <c r="C326" s="1" t="str">
        <f aca="false">IF(Brasil!C326="","",Brasil!A326)</f>
        <v/>
      </c>
      <c r="D326" s="1" t="str">
        <f aca="false">IF(Brasil!C326="","",Brasil!E326)</f>
        <v/>
      </c>
      <c r="E326" s="1" t="str">
        <f aca="false">IF(Brasil!C326="","",Brasil!F326)</f>
        <v/>
      </c>
      <c r="F326" s="1" t="str">
        <f aca="false">IF(Brasil!C326="","",Brasil!D326)</f>
        <v/>
      </c>
      <c r="I326" s="1" t="str">
        <f aca="false">IF(Brasil!C326="","",Brasil!H326)</f>
        <v/>
      </c>
      <c r="J326" s="1" t="str">
        <f aca="false">IF(Brasil!C326="","",Brasil!D326*Brasil!H326)</f>
        <v/>
      </c>
      <c r="K326" s="1" t="str">
        <f aca="false">IF(Brasil!C326="","","BR")</f>
        <v/>
      </c>
      <c r="L326" s="1" t="str">
        <f aca="false">IF(Brasil!C326="","",IFERROR(INDEX(Gamma_Catalogo!$D$3:$D$1451,MATCH(Brasil!E326,Gamma_Catalogo!$A$3:$A$1451,0)),"Revisar Ip Code"))</f>
        <v/>
      </c>
      <c r="M326" s="1" t="str">
        <f aca="false">IF(Brasil!C326="","",IFERROR(INDEX(Gamma_Catalogo!$C$3:$C$1451,MATCH(Brasil!E326,Gamma_Catalogo!$A$3:$A$1451,0)),"Revisar Ip Code"))</f>
        <v/>
      </c>
      <c r="N326" s="1" t="str">
        <f aca="false">IF(Brasil!C326="","",IFERROR(INDEX(Gamma_Catalogo!$E$3:$E$1451,MATCH(Brasil!E326,Gamma_Catalogo!$A$3:$A$1451,0)),"Revisar Ip Code"))</f>
        <v/>
      </c>
      <c r="O326" s="1" t="str">
        <f aca="false">IF(Brasil!C326="","","Brasil")</f>
        <v/>
      </c>
    </row>
    <row r="327" customFormat="false" ht="15" hidden="false" customHeight="true" outlineLevel="0" collapsed="false">
      <c r="A327" s="1" t="str">
        <f aca="false">IF(Brasil!C327="","",IFERROR(INDEX(Mercados!$C$2:$C$32,MATCH(Brasil!B327,Mercados!$A$2:$A$32,0)),"Revisar Tscode"))</f>
        <v/>
      </c>
      <c r="B327" s="1" t="str">
        <f aca="false">IF(Brasil!C327="","",Brasil!C327)</f>
        <v/>
      </c>
      <c r="C327" s="1" t="str">
        <f aca="false">IF(Brasil!C327="","",Brasil!A327)</f>
        <v/>
      </c>
      <c r="D327" s="1" t="str">
        <f aca="false">IF(Brasil!C327="","",Brasil!E327)</f>
        <v/>
      </c>
      <c r="E327" s="1" t="str">
        <f aca="false">IF(Brasil!C327="","",Brasil!F327)</f>
        <v/>
      </c>
      <c r="F327" s="1" t="str">
        <f aca="false">IF(Brasil!C327="","",Brasil!D327)</f>
        <v/>
      </c>
      <c r="I327" s="1" t="str">
        <f aca="false">IF(Brasil!C327="","",Brasil!H327)</f>
        <v/>
      </c>
      <c r="J327" s="1" t="str">
        <f aca="false">IF(Brasil!C327="","",Brasil!D327*Brasil!H327)</f>
        <v/>
      </c>
      <c r="K327" s="1" t="str">
        <f aca="false">IF(Brasil!C327="","","BR")</f>
        <v/>
      </c>
      <c r="L327" s="1" t="str">
        <f aca="false">IF(Brasil!C327="","",IFERROR(INDEX(Gamma_Catalogo!$D$3:$D$1451,MATCH(Brasil!E327,Gamma_Catalogo!$A$3:$A$1451,0)),"Revisar Ip Code"))</f>
        <v/>
      </c>
      <c r="M327" s="1" t="str">
        <f aca="false">IF(Brasil!C327="","",IFERROR(INDEX(Gamma_Catalogo!$C$3:$C$1451,MATCH(Brasil!E327,Gamma_Catalogo!$A$3:$A$1451,0)),"Revisar Ip Code"))</f>
        <v/>
      </c>
      <c r="N327" s="1" t="str">
        <f aca="false">IF(Brasil!C327="","",IFERROR(INDEX(Gamma_Catalogo!$E$3:$E$1451,MATCH(Brasil!E327,Gamma_Catalogo!$A$3:$A$1451,0)),"Revisar Ip Code"))</f>
        <v/>
      </c>
      <c r="O327" s="1" t="str">
        <f aca="false">IF(Brasil!C327="","","Brasil")</f>
        <v/>
      </c>
    </row>
    <row r="328" customFormat="false" ht="15" hidden="false" customHeight="true" outlineLevel="0" collapsed="false">
      <c r="A328" s="1" t="str">
        <f aca="false">IF(Brasil!C328="","",IFERROR(INDEX(Mercados!$C$2:$C$32,MATCH(Brasil!B328,Mercados!$A$2:$A$32,0)),"Revisar Tscode"))</f>
        <v/>
      </c>
      <c r="B328" s="1" t="str">
        <f aca="false">IF(Brasil!C328="","",Brasil!C328)</f>
        <v/>
      </c>
      <c r="C328" s="1" t="str">
        <f aca="false">IF(Brasil!C328="","",Brasil!A328)</f>
        <v/>
      </c>
      <c r="D328" s="1" t="str">
        <f aca="false">IF(Brasil!C328="","",Brasil!E328)</f>
        <v/>
      </c>
      <c r="E328" s="1" t="str">
        <f aca="false">IF(Brasil!C328="","",Brasil!F328)</f>
        <v/>
      </c>
      <c r="F328" s="1" t="str">
        <f aca="false">IF(Brasil!C328="","",Brasil!D328)</f>
        <v/>
      </c>
      <c r="I328" s="1" t="str">
        <f aca="false">IF(Brasil!C328="","",Brasil!H328)</f>
        <v/>
      </c>
      <c r="J328" s="1" t="str">
        <f aca="false">IF(Brasil!C328="","",Brasil!D328*Brasil!H328)</f>
        <v/>
      </c>
      <c r="K328" s="1" t="str">
        <f aca="false">IF(Brasil!C328="","","BR")</f>
        <v/>
      </c>
      <c r="L328" s="1" t="str">
        <f aca="false">IF(Brasil!C328="","",IFERROR(INDEX(Gamma_Catalogo!$D$3:$D$1451,MATCH(Brasil!E328,Gamma_Catalogo!$A$3:$A$1451,0)),"Revisar Ip Code"))</f>
        <v/>
      </c>
      <c r="M328" s="1" t="str">
        <f aca="false">IF(Brasil!C328="","",IFERROR(INDEX(Gamma_Catalogo!$C$3:$C$1451,MATCH(Brasil!E328,Gamma_Catalogo!$A$3:$A$1451,0)),"Revisar Ip Code"))</f>
        <v/>
      </c>
      <c r="N328" s="1" t="str">
        <f aca="false">IF(Brasil!C328="","",IFERROR(INDEX(Gamma_Catalogo!$E$3:$E$1451,MATCH(Brasil!E328,Gamma_Catalogo!$A$3:$A$1451,0)),"Revisar Ip Code"))</f>
        <v/>
      </c>
      <c r="O328" s="1" t="str">
        <f aca="false">IF(Brasil!C328="","","Brasil")</f>
        <v/>
      </c>
    </row>
    <row r="329" customFormat="false" ht="15" hidden="false" customHeight="true" outlineLevel="0" collapsed="false">
      <c r="A329" s="1" t="str">
        <f aca="false">IF(Brasil!C329="","",IFERROR(INDEX(Mercados!$C$2:$C$32,MATCH(Brasil!B329,Mercados!$A$2:$A$32,0)),"Revisar Tscode"))</f>
        <v/>
      </c>
      <c r="B329" s="1" t="str">
        <f aca="false">IF(Brasil!C329="","",Brasil!C329)</f>
        <v/>
      </c>
      <c r="C329" s="1" t="str">
        <f aca="false">IF(Brasil!C329="","",Brasil!A329)</f>
        <v/>
      </c>
      <c r="D329" s="1" t="str">
        <f aca="false">IF(Brasil!C329="","",Brasil!E329)</f>
        <v/>
      </c>
      <c r="E329" s="1" t="str">
        <f aca="false">IF(Brasil!C329="","",Brasil!F329)</f>
        <v/>
      </c>
      <c r="F329" s="1" t="str">
        <f aca="false">IF(Brasil!C329="","",Brasil!D329)</f>
        <v/>
      </c>
      <c r="I329" s="1" t="str">
        <f aca="false">IF(Brasil!C329="","",Brasil!H329)</f>
        <v/>
      </c>
      <c r="J329" s="1" t="str">
        <f aca="false">IF(Brasil!C329="","",Brasil!D329*Brasil!H329)</f>
        <v/>
      </c>
      <c r="K329" s="1" t="str">
        <f aca="false">IF(Brasil!C329="","","BR")</f>
        <v/>
      </c>
      <c r="L329" s="1" t="str">
        <f aca="false">IF(Brasil!C329="","",IFERROR(INDEX(Gamma_Catalogo!$D$3:$D$1451,MATCH(Brasil!E329,Gamma_Catalogo!$A$3:$A$1451,0)),"Revisar Ip Code"))</f>
        <v/>
      </c>
      <c r="M329" s="1" t="str">
        <f aca="false">IF(Brasil!C329="","",IFERROR(INDEX(Gamma_Catalogo!$C$3:$C$1451,MATCH(Brasil!E329,Gamma_Catalogo!$A$3:$A$1451,0)),"Revisar Ip Code"))</f>
        <v/>
      </c>
      <c r="N329" s="1" t="str">
        <f aca="false">IF(Brasil!C329="","",IFERROR(INDEX(Gamma_Catalogo!$E$3:$E$1451,MATCH(Brasil!E329,Gamma_Catalogo!$A$3:$A$1451,0)),"Revisar Ip Code"))</f>
        <v/>
      </c>
      <c r="O329" s="1" t="str">
        <f aca="false">IF(Brasil!C329="","","Brasil")</f>
        <v/>
      </c>
    </row>
    <row r="330" customFormat="false" ht="15" hidden="false" customHeight="true" outlineLevel="0" collapsed="false">
      <c r="A330" s="1" t="str">
        <f aca="false">IF(Brasil!C330="","",IFERROR(INDEX(Mercados!$C$2:$C$32,MATCH(Brasil!B330,Mercados!$A$2:$A$32,0)),"Revisar Tscode"))</f>
        <v/>
      </c>
      <c r="B330" s="1" t="str">
        <f aca="false">IF(Brasil!C330="","",Brasil!C330)</f>
        <v/>
      </c>
      <c r="C330" s="1" t="str">
        <f aca="false">IF(Brasil!C330="","",Brasil!A330)</f>
        <v/>
      </c>
      <c r="D330" s="1" t="str">
        <f aca="false">IF(Brasil!C330="","",Brasil!E330)</f>
        <v/>
      </c>
      <c r="E330" s="1" t="str">
        <f aca="false">IF(Brasil!C330="","",Brasil!F330)</f>
        <v/>
      </c>
      <c r="F330" s="1" t="str">
        <f aca="false">IF(Brasil!C330="","",Brasil!D330)</f>
        <v/>
      </c>
      <c r="I330" s="1" t="str">
        <f aca="false">IF(Brasil!C330="","",Brasil!H330)</f>
        <v/>
      </c>
      <c r="J330" s="1" t="str">
        <f aca="false">IF(Brasil!C330="","",Brasil!D330*Brasil!H330)</f>
        <v/>
      </c>
      <c r="K330" s="1" t="str">
        <f aca="false">IF(Brasil!C330="","","BR")</f>
        <v/>
      </c>
      <c r="L330" s="1" t="str">
        <f aca="false">IF(Brasil!C330="","",IFERROR(INDEX(Gamma_Catalogo!$D$3:$D$1451,MATCH(Brasil!E330,Gamma_Catalogo!$A$3:$A$1451,0)),"Revisar Ip Code"))</f>
        <v/>
      </c>
      <c r="M330" s="1" t="str">
        <f aca="false">IF(Brasil!C330="","",IFERROR(INDEX(Gamma_Catalogo!$C$3:$C$1451,MATCH(Brasil!E330,Gamma_Catalogo!$A$3:$A$1451,0)),"Revisar Ip Code"))</f>
        <v/>
      </c>
      <c r="N330" s="1" t="str">
        <f aca="false">IF(Brasil!C330="","",IFERROR(INDEX(Gamma_Catalogo!$E$3:$E$1451,MATCH(Brasil!E330,Gamma_Catalogo!$A$3:$A$1451,0)),"Revisar Ip Code"))</f>
        <v/>
      </c>
      <c r="O330" s="1" t="str">
        <f aca="false">IF(Brasil!C330="","","Brasil")</f>
        <v/>
      </c>
    </row>
    <row r="331" customFormat="false" ht="15" hidden="false" customHeight="true" outlineLevel="0" collapsed="false">
      <c r="A331" s="1" t="str">
        <f aca="false">IF(Brasil!C331="","",IFERROR(INDEX(Mercados!$C$2:$C$32,MATCH(Brasil!B331,Mercados!$A$2:$A$32,0)),"Revisar Tscode"))</f>
        <v/>
      </c>
      <c r="B331" s="1" t="str">
        <f aca="false">IF(Brasil!C331="","",Brasil!C331)</f>
        <v/>
      </c>
      <c r="C331" s="1" t="str">
        <f aca="false">IF(Brasil!C331="","",Brasil!A331)</f>
        <v/>
      </c>
      <c r="D331" s="1" t="str">
        <f aca="false">IF(Brasil!C331="","",Brasil!E331)</f>
        <v/>
      </c>
      <c r="E331" s="1" t="str">
        <f aca="false">IF(Brasil!C331="","",Brasil!F331)</f>
        <v/>
      </c>
      <c r="F331" s="1" t="str">
        <f aca="false">IF(Brasil!C331="","",Brasil!D331)</f>
        <v/>
      </c>
      <c r="I331" s="1" t="str">
        <f aca="false">IF(Brasil!C331="","",Brasil!H331)</f>
        <v/>
      </c>
      <c r="J331" s="1" t="str">
        <f aca="false">IF(Brasil!C331="","",Brasil!D331*Brasil!H331)</f>
        <v/>
      </c>
      <c r="K331" s="1" t="str">
        <f aca="false">IF(Brasil!C331="","","BR")</f>
        <v/>
      </c>
      <c r="L331" s="1" t="str">
        <f aca="false">IF(Brasil!C331="","",IFERROR(INDEX(Gamma_Catalogo!$D$3:$D$1451,MATCH(Brasil!E331,Gamma_Catalogo!$A$3:$A$1451,0)),"Revisar Ip Code"))</f>
        <v/>
      </c>
      <c r="M331" s="1" t="str">
        <f aca="false">IF(Brasil!C331="","",IFERROR(INDEX(Gamma_Catalogo!$C$3:$C$1451,MATCH(Brasil!E331,Gamma_Catalogo!$A$3:$A$1451,0)),"Revisar Ip Code"))</f>
        <v/>
      </c>
      <c r="N331" s="1" t="str">
        <f aca="false">IF(Brasil!C331="","",IFERROR(INDEX(Gamma_Catalogo!$E$3:$E$1451,MATCH(Brasil!E331,Gamma_Catalogo!$A$3:$A$1451,0)),"Revisar Ip Code"))</f>
        <v/>
      </c>
      <c r="O331" s="1" t="str">
        <f aca="false">IF(Brasil!C331="","","Brasil")</f>
        <v/>
      </c>
    </row>
    <row r="332" customFormat="false" ht="15" hidden="false" customHeight="true" outlineLevel="0" collapsed="false">
      <c r="A332" s="1" t="str">
        <f aca="false">IF(Brasil!C332="","",IFERROR(INDEX(Mercados!$C$2:$C$32,MATCH(Brasil!B332,Mercados!$A$2:$A$32,0)),"Revisar Tscode"))</f>
        <v/>
      </c>
      <c r="B332" s="1" t="str">
        <f aca="false">IF(Brasil!C332="","",Brasil!C332)</f>
        <v/>
      </c>
      <c r="C332" s="1" t="str">
        <f aca="false">IF(Brasil!C332="","",Brasil!A332)</f>
        <v/>
      </c>
      <c r="D332" s="1" t="str">
        <f aca="false">IF(Brasil!C332="","",Brasil!E332)</f>
        <v/>
      </c>
      <c r="E332" s="1" t="str">
        <f aca="false">IF(Brasil!C332="","",Brasil!F332)</f>
        <v/>
      </c>
      <c r="F332" s="1" t="str">
        <f aca="false">IF(Brasil!C332="","",Brasil!D332)</f>
        <v/>
      </c>
      <c r="I332" s="1" t="str">
        <f aca="false">IF(Brasil!C332="","",Brasil!H332)</f>
        <v/>
      </c>
      <c r="J332" s="1" t="str">
        <f aca="false">IF(Brasil!C332="","",Brasil!D332*Brasil!H332)</f>
        <v/>
      </c>
      <c r="K332" s="1" t="str">
        <f aca="false">IF(Brasil!C332="","","BR")</f>
        <v/>
      </c>
      <c r="L332" s="1" t="str">
        <f aca="false">IF(Brasil!C332="","",IFERROR(INDEX(Gamma_Catalogo!$D$3:$D$1451,MATCH(Brasil!E332,Gamma_Catalogo!$A$3:$A$1451,0)),"Revisar Ip Code"))</f>
        <v/>
      </c>
      <c r="M332" s="1" t="str">
        <f aca="false">IF(Brasil!C332="","",IFERROR(INDEX(Gamma_Catalogo!$C$3:$C$1451,MATCH(Brasil!E332,Gamma_Catalogo!$A$3:$A$1451,0)),"Revisar Ip Code"))</f>
        <v/>
      </c>
      <c r="N332" s="1" t="str">
        <f aca="false">IF(Brasil!C332="","",IFERROR(INDEX(Gamma_Catalogo!$E$3:$E$1451,MATCH(Brasil!E332,Gamma_Catalogo!$A$3:$A$1451,0)),"Revisar Ip Code"))</f>
        <v/>
      </c>
      <c r="O332" s="1" t="str">
        <f aca="false">IF(Brasil!C332="","","Brasil")</f>
        <v/>
      </c>
    </row>
    <row r="333" customFormat="false" ht="15" hidden="false" customHeight="true" outlineLevel="0" collapsed="false">
      <c r="A333" s="1" t="str">
        <f aca="false">IF(Brasil!C333="","",IFERROR(INDEX(Mercados!$C$2:$C$32,MATCH(Brasil!B333,Mercados!$A$2:$A$32,0)),"Revisar Tscode"))</f>
        <v/>
      </c>
      <c r="B333" s="1" t="str">
        <f aca="false">IF(Brasil!C333="","",Brasil!C333)</f>
        <v/>
      </c>
      <c r="C333" s="1" t="str">
        <f aca="false">IF(Brasil!C333="","",Brasil!A333)</f>
        <v/>
      </c>
      <c r="D333" s="1" t="str">
        <f aca="false">IF(Brasil!C333="","",Brasil!E333)</f>
        <v/>
      </c>
      <c r="E333" s="1" t="str">
        <f aca="false">IF(Brasil!C333="","",Brasil!F333)</f>
        <v/>
      </c>
      <c r="F333" s="1" t="str">
        <f aca="false">IF(Brasil!C333="","",Brasil!D333)</f>
        <v/>
      </c>
      <c r="I333" s="1" t="str">
        <f aca="false">IF(Brasil!C333="","",Brasil!H333)</f>
        <v/>
      </c>
      <c r="J333" s="1" t="str">
        <f aca="false">IF(Brasil!C333="","",Brasil!D333*Brasil!H333)</f>
        <v/>
      </c>
      <c r="K333" s="1" t="str">
        <f aca="false">IF(Brasil!C333="","","BR")</f>
        <v/>
      </c>
      <c r="L333" s="1" t="str">
        <f aca="false">IF(Brasil!C333="","",IFERROR(INDEX(Gamma_Catalogo!$D$3:$D$1451,MATCH(Brasil!E333,Gamma_Catalogo!$A$3:$A$1451,0)),"Revisar Ip Code"))</f>
        <v/>
      </c>
      <c r="M333" s="1" t="str">
        <f aca="false">IF(Brasil!C333="","",IFERROR(INDEX(Gamma_Catalogo!$C$3:$C$1451,MATCH(Brasil!E333,Gamma_Catalogo!$A$3:$A$1451,0)),"Revisar Ip Code"))</f>
        <v/>
      </c>
      <c r="N333" s="1" t="str">
        <f aca="false">IF(Brasil!C333="","",IFERROR(INDEX(Gamma_Catalogo!$E$3:$E$1451,MATCH(Brasil!E333,Gamma_Catalogo!$A$3:$A$1451,0)),"Revisar Ip Code"))</f>
        <v/>
      </c>
      <c r="O333" s="1" t="str">
        <f aca="false">IF(Brasil!C333="","","Brasil")</f>
        <v/>
      </c>
    </row>
    <row r="334" customFormat="false" ht="15" hidden="false" customHeight="true" outlineLevel="0" collapsed="false">
      <c r="A334" s="1" t="str">
        <f aca="false">IF(Brasil!C334="","",IFERROR(INDEX(Mercados!$C$2:$C$32,MATCH(Brasil!B334,Mercados!$A$2:$A$32,0)),"Revisar Tscode"))</f>
        <v/>
      </c>
      <c r="B334" s="1" t="str">
        <f aca="false">IF(Brasil!C334="","",Brasil!C334)</f>
        <v/>
      </c>
      <c r="C334" s="1" t="str">
        <f aca="false">IF(Brasil!C334="","",Brasil!A334)</f>
        <v/>
      </c>
      <c r="D334" s="1" t="str">
        <f aca="false">IF(Brasil!C334="","",Brasil!E334)</f>
        <v/>
      </c>
      <c r="E334" s="1" t="str">
        <f aca="false">IF(Brasil!C334="","",Brasil!F334)</f>
        <v/>
      </c>
      <c r="F334" s="1" t="str">
        <f aca="false">IF(Brasil!C334="","",Brasil!D334)</f>
        <v/>
      </c>
      <c r="I334" s="1" t="str">
        <f aca="false">IF(Brasil!C334="","",Brasil!H334)</f>
        <v/>
      </c>
      <c r="J334" s="1" t="str">
        <f aca="false">IF(Brasil!C334="","",Brasil!D334*Brasil!H334)</f>
        <v/>
      </c>
      <c r="K334" s="1" t="str">
        <f aca="false">IF(Brasil!C334="","","BR")</f>
        <v/>
      </c>
      <c r="L334" s="1" t="str">
        <f aca="false">IF(Brasil!C334="","",IFERROR(INDEX(Gamma_Catalogo!$D$3:$D$1451,MATCH(Brasil!E334,Gamma_Catalogo!$A$3:$A$1451,0)),"Revisar Ip Code"))</f>
        <v/>
      </c>
      <c r="M334" s="1" t="str">
        <f aca="false">IF(Brasil!C334="","",IFERROR(INDEX(Gamma_Catalogo!$C$3:$C$1451,MATCH(Brasil!E334,Gamma_Catalogo!$A$3:$A$1451,0)),"Revisar Ip Code"))</f>
        <v/>
      </c>
      <c r="N334" s="1" t="str">
        <f aca="false">IF(Brasil!C334="","",IFERROR(INDEX(Gamma_Catalogo!$E$3:$E$1451,MATCH(Brasil!E334,Gamma_Catalogo!$A$3:$A$1451,0)),"Revisar Ip Code"))</f>
        <v/>
      </c>
      <c r="O334" s="1" t="str">
        <f aca="false">IF(Brasil!C334="","","Brasil")</f>
        <v/>
      </c>
    </row>
    <row r="335" customFormat="false" ht="15" hidden="false" customHeight="true" outlineLevel="0" collapsed="false">
      <c r="A335" s="1" t="str">
        <f aca="false">IF(Brasil!C335="","",IFERROR(INDEX(Mercados!$C$2:$C$32,MATCH(Brasil!B335,Mercados!$A$2:$A$32,0)),"Revisar Tscode"))</f>
        <v/>
      </c>
      <c r="B335" s="1" t="str">
        <f aca="false">IF(Brasil!C335="","",Brasil!C335)</f>
        <v/>
      </c>
      <c r="C335" s="1" t="str">
        <f aca="false">IF(Brasil!C335="","",Brasil!A335)</f>
        <v/>
      </c>
      <c r="D335" s="1" t="str">
        <f aca="false">IF(Brasil!C335="","",Brasil!E335)</f>
        <v/>
      </c>
      <c r="E335" s="1" t="str">
        <f aca="false">IF(Brasil!C335="","",Brasil!F335)</f>
        <v/>
      </c>
      <c r="F335" s="1" t="str">
        <f aca="false">IF(Brasil!C335="","",Brasil!D335)</f>
        <v/>
      </c>
      <c r="I335" s="1" t="str">
        <f aca="false">IF(Brasil!C335="","",Brasil!H335)</f>
        <v/>
      </c>
      <c r="J335" s="1" t="str">
        <f aca="false">IF(Brasil!C335="","",Brasil!D335*Brasil!H335)</f>
        <v/>
      </c>
      <c r="K335" s="1" t="str">
        <f aca="false">IF(Brasil!C335="","","BR")</f>
        <v/>
      </c>
      <c r="L335" s="1" t="str">
        <f aca="false">IF(Brasil!C335="","",IFERROR(INDEX(Gamma_Catalogo!$D$3:$D$1451,MATCH(Brasil!E335,Gamma_Catalogo!$A$3:$A$1451,0)),"Revisar Ip Code"))</f>
        <v/>
      </c>
      <c r="M335" s="1" t="str">
        <f aca="false">IF(Brasil!C335="","",IFERROR(INDEX(Gamma_Catalogo!$C$3:$C$1451,MATCH(Brasil!E335,Gamma_Catalogo!$A$3:$A$1451,0)),"Revisar Ip Code"))</f>
        <v/>
      </c>
      <c r="N335" s="1" t="str">
        <f aca="false">IF(Brasil!C335="","",IFERROR(INDEX(Gamma_Catalogo!$E$3:$E$1451,MATCH(Brasil!E335,Gamma_Catalogo!$A$3:$A$1451,0)),"Revisar Ip Code"))</f>
        <v/>
      </c>
      <c r="O335" s="1" t="str">
        <f aca="false">IF(Brasil!C335="","","Brasil")</f>
        <v/>
      </c>
    </row>
    <row r="336" customFormat="false" ht="15" hidden="false" customHeight="true" outlineLevel="0" collapsed="false">
      <c r="A336" s="1" t="str">
        <f aca="false">IF(Brasil!C336="","",IFERROR(INDEX(Mercados!$C$2:$C$32,MATCH(Brasil!B336,Mercados!$A$2:$A$32,0)),"Revisar Tscode"))</f>
        <v/>
      </c>
      <c r="B336" s="1" t="str">
        <f aca="false">IF(Brasil!C336="","",Brasil!C336)</f>
        <v/>
      </c>
      <c r="C336" s="1" t="str">
        <f aca="false">IF(Brasil!C336="","",Brasil!A336)</f>
        <v/>
      </c>
      <c r="D336" s="1" t="str">
        <f aca="false">IF(Brasil!C336="","",Brasil!E336)</f>
        <v/>
      </c>
      <c r="E336" s="1" t="str">
        <f aca="false">IF(Brasil!C336="","",Brasil!F336)</f>
        <v/>
      </c>
      <c r="F336" s="1" t="str">
        <f aca="false">IF(Brasil!C336="","",Brasil!D336)</f>
        <v/>
      </c>
      <c r="I336" s="1" t="str">
        <f aca="false">IF(Brasil!C336="","",Brasil!H336)</f>
        <v/>
      </c>
      <c r="J336" s="1" t="str">
        <f aca="false">IF(Brasil!C336="","",Brasil!D336*Brasil!H336)</f>
        <v/>
      </c>
      <c r="K336" s="1" t="str">
        <f aca="false">IF(Brasil!C336="","","BR")</f>
        <v/>
      </c>
      <c r="L336" s="1" t="str">
        <f aca="false">IF(Brasil!C336="","",IFERROR(INDEX(Gamma_Catalogo!$D$3:$D$1451,MATCH(Brasil!E336,Gamma_Catalogo!$A$3:$A$1451,0)),"Revisar Ip Code"))</f>
        <v/>
      </c>
      <c r="M336" s="1" t="str">
        <f aca="false">IF(Brasil!C336="","",IFERROR(INDEX(Gamma_Catalogo!$C$3:$C$1451,MATCH(Brasil!E336,Gamma_Catalogo!$A$3:$A$1451,0)),"Revisar Ip Code"))</f>
        <v/>
      </c>
      <c r="N336" s="1" t="str">
        <f aca="false">IF(Brasil!C336="","",IFERROR(INDEX(Gamma_Catalogo!$E$3:$E$1451,MATCH(Brasil!E336,Gamma_Catalogo!$A$3:$A$1451,0)),"Revisar Ip Code"))</f>
        <v/>
      </c>
      <c r="O336" s="1" t="str">
        <f aca="false">IF(Brasil!C336="","","Brasil")</f>
        <v/>
      </c>
    </row>
    <row r="337" customFormat="false" ht="15" hidden="false" customHeight="true" outlineLevel="0" collapsed="false">
      <c r="A337" s="1" t="str">
        <f aca="false">IF(Brasil!C337="","",IFERROR(INDEX(Mercados!$C$2:$C$32,MATCH(Brasil!B337,Mercados!$A$2:$A$32,0)),"Revisar Tscode"))</f>
        <v/>
      </c>
      <c r="B337" s="1" t="str">
        <f aca="false">IF(Brasil!C337="","",Brasil!C337)</f>
        <v/>
      </c>
      <c r="C337" s="1" t="str">
        <f aca="false">IF(Brasil!C337="","",Brasil!A337)</f>
        <v/>
      </c>
      <c r="D337" s="1" t="str">
        <f aca="false">IF(Brasil!C337="","",Brasil!E337)</f>
        <v/>
      </c>
      <c r="E337" s="1" t="str">
        <f aca="false">IF(Brasil!C337="","",Brasil!F337)</f>
        <v/>
      </c>
      <c r="F337" s="1" t="str">
        <f aca="false">IF(Brasil!C337="","",Brasil!D337)</f>
        <v/>
      </c>
      <c r="I337" s="1" t="str">
        <f aca="false">IF(Brasil!C337="","",Brasil!H337)</f>
        <v/>
      </c>
      <c r="J337" s="1" t="str">
        <f aca="false">IF(Brasil!C337="","",Brasil!D337*Brasil!H337)</f>
        <v/>
      </c>
      <c r="K337" s="1" t="str">
        <f aca="false">IF(Brasil!C337="","","BR")</f>
        <v/>
      </c>
      <c r="L337" s="1" t="str">
        <f aca="false">IF(Brasil!C337="","",IFERROR(INDEX(Gamma_Catalogo!$D$3:$D$1451,MATCH(Brasil!E337,Gamma_Catalogo!$A$3:$A$1451,0)),"Revisar Ip Code"))</f>
        <v/>
      </c>
      <c r="M337" s="1" t="str">
        <f aca="false">IF(Brasil!C337="","",IFERROR(INDEX(Gamma_Catalogo!$C$3:$C$1451,MATCH(Brasil!E337,Gamma_Catalogo!$A$3:$A$1451,0)),"Revisar Ip Code"))</f>
        <v/>
      </c>
      <c r="N337" s="1" t="str">
        <f aca="false">IF(Brasil!C337="","",IFERROR(INDEX(Gamma_Catalogo!$E$3:$E$1451,MATCH(Brasil!E337,Gamma_Catalogo!$A$3:$A$1451,0)),"Revisar Ip Code"))</f>
        <v/>
      </c>
      <c r="O337" s="1" t="str">
        <f aca="false">IF(Brasil!C337="","","Brasil")</f>
        <v/>
      </c>
    </row>
    <row r="338" customFormat="false" ht="15" hidden="false" customHeight="true" outlineLevel="0" collapsed="false">
      <c r="A338" s="1" t="str">
        <f aca="false">IF(Brasil!C338="","",IFERROR(INDEX(Mercados!$C$2:$C$32,MATCH(Brasil!B338,Mercados!$A$2:$A$32,0)),"Revisar Tscode"))</f>
        <v/>
      </c>
      <c r="B338" s="1" t="str">
        <f aca="false">IF(Brasil!C338="","",Brasil!C338)</f>
        <v/>
      </c>
      <c r="C338" s="1" t="str">
        <f aca="false">IF(Brasil!C338="","",Brasil!A338)</f>
        <v/>
      </c>
      <c r="D338" s="1" t="str">
        <f aca="false">IF(Brasil!C338="","",Brasil!E338)</f>
        <v/>
      </c>
      <c r="E338" s="1" t="str">
        <f aca="false">IF(Brasil!C338="","",Brasil!F338)</f>
        <v/>
      </c>
      <c r="F338" s="1" t="str">
        <f aca="false">IF(Brasil!C338="","",Brasil!D338)</f>
        <v/>
      </c>
      <c r="I338" s="1" t="str">
        <f aca="false">IF(Brasil!C338="","",Brasil!H338)</f>
        <v/>
      </c>
      <c r="J338" s="1" t="str">
        <f aca="false">IF(Brasil!C338="","",Brasil!D338*Brasil!H338)</f>
        <v/>
      </c>
      <c r="K338" s="1" t="str">
        <f aca="false">IF(Brasil!C338="","","BR")</f>
        <v/>
      </c>
      <c r="L338" s="1" t="str">
        <f aca="false">IF(Brasil!C338="","",IFERROR(INDEX(Gamma_Catalogo!$D$3:$D$1451,MATCH(Brasil!E338,Gamma_Catalogo!$A$3:$A$1451,0)),"Revisar Ip Code"))</f>
        <v/>
      </c>
      <c r="M338" s="1" t="str">
        <f aca="false">IF(Brasil!C338="","",IFERROR(INDEX(Gamma_Catalogo!$C$3:$C$1451,MATCH(Brasil!E338,Gamma_Catalogo!$A$3:$A$1451,0)),"Revisar Ip Code"))</f>
        <v/>
      </c>
      <c r="N338" s="1" t="str">
        <f aca="false">IF(Brasil!C338="","",IFERROR(INDEX(Gamma_Catalogo!$E$3:$E$1451,MATCH(Brasil!E338,Gamma_Catalogo!$A$3:$A$1451,0)),"Revisar Ip Code"))</f>
        <v/>
      </c>
      <c r="O338" s="1" t="str">
        <f aca="false">IF(Brasil!C338="","","Brasil")</f>
        <v/>
      </c>
    </row>
    <row r="339" customFormat="false" ht="15" hidden="false" customHeight="true" outlineLevel="0" collapsed="false">
      <c r="A339" s="1" t="str">
        <f aca="false">IF(Brasil!C339="","",IFERROR(INDEX(Mercados!$C$2:$C$32,MATCH(Brasil!B339,Mercados!$A$2:$A$32,0)),"Revisar Tscode"))</f>
        <v/>
      </c>
      <c r="B339" s="1" t="str">
        <f aca="false">IF(Brasil!C339="","",Brasil!C339)</f>
        <v/>
      </c>
      <c r="C339" s="1" t="str">
        <f aca="false">IF(Brasil!C339="","",Brasil!A339)</f>
        <v/>
      </c>
      <c r="D339" s="1" t="str">
        <f aca="false">IF(Brasil!C339="","",Brasil!E339)</f>
        <v/>
      </c>
      <c r="E339" s="1" t="str">
        <f aca="false">IF(Brasil!C339="","",Brasil!F339)</f>
        <v/>
      </c>
      <c r="F339" s="1" t="str">
        <f aca="false">IF(Brasil!C339="","",Brasil!D339)</f>
        <v/>
      </c>
      <c r="I339" s="1" t="str">
        <f aca="false">IF(Brasil!C339="","",Brasil!H339)</f>
        <v/>
      </c>
      <c r="J339" s="1" t="str">
        <f aca="false">IF(Brasil!C339="","",Brasil!D339*Brasil!H339)</f>
        <v/>
      </c>
      <c r="K339" s="1" t="str">
        <f aca="false">IF(Brasil!C339="","","BR")</f>
        <v/>
      </c>
      <c r="L339" s="1" t="str">
        <f aca="false">IF(Brasil!C339="","",IFERROR(INDEX(Gamma_Catalogo!$D$3:$D$1451,MATCH(Brasil!E339,Gamma_Catalogo!$A$3:$A$1451,0)),"Revisar Ip Code"))</f>
        <v/>
      </c>
      <c r="M339" s="1" t="str">
        <f aca="false">IF(Brasil!C339="","",IFERROR(INDEX(Gamma_Catalogo!$C$3:$C$1451,MATCH(Brasil!E339,Gamma_Catalogo!$A$3:$A$1451,0)),"Revisar Ip Code"))</f>
        <v/>
      </c>
      <c r="N339" s="1" t="str">
        <f aca="false">IF(Brasil!C339="","",IFERROR(INDEX(Gamma_Catalogo!$E$3:$E$1451,MATCH(Brasil!E339,Gamma_Catalogo!$A$3:$A$1451,0)),"Revisar Ip Code"))</f>
        <v/>
      </c>
      <c r="O339" s="1" t="str">
        <f aca="false">IF(Brasil!C339="","","Brasil")</f>
        <v/>
      </c>
    </row>
    <row r="340" customFormat="false" ht="15" hidden="false" customHeight="true" outlineLevel="0" collapsed="false">
      <c r="A340" s="1" t="str">
        <f aca="false">IF(Brasil!C340="","",IFERROR(INDEX(Mercados!$C$2:$C$32,MATCH(Brasil!B340,Mercados!$A$2:$A$32,0)),"Revisar Tscode"))</f>
        <v/>
      </c>
      <c r="B340" s="1" t="str">
        <f aca="false">IF(Brasil!C340="","",Brasil!C340)</f>
        <v/>
      </c>
      <c r="C340" s="1" t="str">
        <f aca="false">IF(Brasil!C340="","",Brasil!A340)</f>
        <v/>
      </c>
      <c r="D340" s="1" t="str">
        <f aca="false">IF(Brasil!C340="","",Brasil!E340)</f>
        <v/>
      </c>
      <c r="E340" s="1" t="str">
        <f aca="false">IF(Brasil!C340="","",Brasil!F340)</f>
        <v/>
      </c>
      <c r="F340" s="1" t="str">
        <f aca="false">IF(Brasil!C340="","",Brasil!D340)</f>
        <v/>
      </c>
      <c r="I340" s="1" t="str">
        <f aca="false">IF(Brasil!C340="","",Brasil!H340)</f>
        <v/>
      </c>
      <c r="J340" s="1" t="str">
        <f aca="false">IF(Brasil!C340="","",Brasil!D340*Brasil!H340)</f>
        <v/>
      </c>
      <c r="K340" s="1" t="str">
        <f aca="false">IF(Brasil!C340="","","BR")</f>
        <v/>
      </c>
      <c r="L340" s="1" t="str">
        <f aca="false">IF(Brasil!C340="","",IFERROR(INDEX(Gamma_Catalogo!$D$3:$D$1451,MATCH(Brasil!E340,Gamma_Catalogo!$A$3:$A$1451,0)),"Revisar Ip Code"))</f>
        <v/>
      </c>
      <c r="M340" s="1" t="str">
        <f aca="false">IF(Brasil!C340="","",IFERROR(INDEX(Gamma_Catalogo!$C$3:$C$1451,MATCH(Brasil!E340,Gamma_Catalogo!$A$3:$A$1451,0)),"Revisar Ip Code"))</f>
        <v/>
      </c>
      <c r="N340" s="1" t="str">
        <f aca="false">IF(Brasil!C340="","",IFERROR(INDEX(Gamma_Catalogo!$E$3:$E$1451,MATCH(Brasil!E340,Gamma_Catalogo!$A$3:$A$1451,0)),"Revisar Ip Code"))</f>
        <v/>
      </c>
      <c r="O340" s="1" t="str">
        <f aca="false">IF(Brasil!C340="","","Brasil")</f>
        <v/>
      </c>
    </row>
    <row r="341" customFormat="false" ht="15" hidden="false" customHeight="true" outlineLevel="0" collapsed="false">
      <c r="A341" s="1" t="str">
        <f aca="false">IF(Brasil!C341="","",IFERROR(INDEX(Mercados!$C$2:$C$32,MATCH(Brasil!B341,Mercados!$A$2:$A$32,0)),"Revisar Tscode"))</f>
        <v/>
      </c>
      <c r="B341" s="1" t="str">
        <f aca="false">IF(Brasil!C341="","",Brasil!C341)</f>
        <v/>
      </c>
      <c r="C341" s="1" t="str">
        <f aca="false">IF(Brasil!C341="","",Brasil!A341)</f>
        <v/>
      </c>
      <c r="D341" s="1" t="str">
        <f aca="false">IF(Brasil!C341="","",Brasil!E341)</f>
        <v/>
      </c>
      <c r="E341" s="1" t="str">
        <f aca="false">IF(Brasil!C341="","",Brasil!F341)</f>
        <v/>
      </c>
      <c r="F341" s="1" t="str">
        <f aca="false">IF(Brasil!C341="","",Brasil!D341)</f>
        <v/>
      </c>
      <c r="I341" s="1" t="str">
        <f aca="false">IF(Brasil!C341="","",Brasil!H341)</f>
        <v/>
      </c>
      <c r="J341" s="1" t="str">
        <f aca="false">IF(Brasil!C341="","",Brasil!D341*Brasil!H341)</f>
        <v/>
      </c>
      <c r="K341" s="1" t="str">
        <f aca="false">IF(Brasil!C341="","","BR")</f>
        <v/>
      </c>
      <c r="L341" s="1" t="str">
        <f aca="false">IF(Brasil!C341="","",IFERROR(INDEX(Gamma_Catalogo!$D$3:$D$1451,MATCH(Brasil!E341,Gamma_Catalogo!$A$3:$A$1451,0)),"Revisar Ip Code"))</f>
        <v/>
      </c>
      <c r="M341" s="1" t="str">
        <f aca="false">IF(Brasil!C341="","",IFERROR(INDEX(Gamma_Catalogo!$C$3:$C$1451,MATCH(Brasil!E341,Gamma_Catalogo!$A$3:$A$1451,0)),"Revisar Ip Code"))</f>
        <v/>
      </c>
      <c r="N341" s="1" t="str">
        <f aca="false">IF(Brasil!C341="","",IFERROR(INDEX(Gamma_Catalogo!$E$3:$E$1451,MATCH(Brasil!E341,Gamma_Catalogo!$A$3:$A$1451,0)),"Revisar Ip Code"))</f>
        <v/>
      </c>
      <c r="O341" s="1" t="str">
        <f aca="false">IF(Brasil!C341="","","Brasil")</f>
        <v/>
      </c>
    </row>
    <row r="342" customFormat="false" ht="15" hidden="false" customHeight="true" outlineLevel="0" collapsed="false">
      <c r="A342" s="1" t="str">
        <f aca="false">IF(Brasil!C342="","",IFERROR(INDEX(Mercados!$C$2:$C$32,MATCH(Brasil!B342,Mercados!$A$2:$A$32,0)),"Revisar Tscode"))</f>
        <v/>
      </c>
      <c r="B342" s="1" t="str">
        <f aca="false">IF(Brasil!C342="","",Brasil!C342)</f>
        <v/>
      </c>
      <c r="C342" s="1" t="str">
        <f aca="false">IF(Brasil!C342="","",Brasil!A342)</f>
        <v/>
      </c>
      <c r="D342" s="1" t="str">
        <f aca="false">IF(Brasil!C342="","",Brasil!E342)</f>
        <v/>
      </c>
      <c r="E342" s="1" t="str">
        <f aca="false">IF(Brasil!C342="","",Brasil!F342)</f>
        <v/>
      </c>
      <c r="F342" s="1" t="str">
        <f aca="false">IF(Brasil!C342="","",Brasil!D342)</f>
        <v/>
      </c>
      <c r="I342" s="1" t="str">
        <f aca="false">IF(Brasil!C342="","",Brasil!H342)</f>
        <v/>
      </c>
      <c r="J342" s="1" t="str">
        <f aca="false">IF(Brasil!C342="","",Brasil!D342*Brasil!H342)</f>
        <v/>
      </c>
      <c r="K342" s="1" t="str">
        <f aca="false">IF(Brasil!C342="","","BR")</f>
        <v/>
      </c>
      <c r="L342" s="1" t="str">
        <f aca="false">IF(Brasil!C342="","",IFERROR(INDEX(Gamma_Catalogo!$D$3:$D$1451,MATCH(Brasil!E342,Gamma_Catalogo!$A$3:$A$1451,0)),"Revisar Ip Code"))</f>
        <v/>
      </c>
      <c r="M342" s="1" t="str">
        <f aca="false">IF(Brasil!C342="","",IFERROR(INDEX(Gamma_Catalogo!$C$3:$C$1451,MATCH(Brasil!E342,Gamma_Catalogo!$A$3:$A$1451,0)),"Revisar Ip Code"))</f>
        <v/>
      </c>
      <c r="N342" s="1" t="str">
        <f aca="false">IF(Brasil!C342="","",IFERROR(INDEX(Gamma_Catalogo!$E$3:$E$1451,MATCH(Brasil!E342,Gamma_Catalogo!$A$3:$A$1451,0)),"Revisar Ip Code"))</f>
        <v/>
      </c>
      <c r="O342" s="1" t="str">
        <f aca="false">IF(Brasil!C342="","","Brasil")</f>
        <v/>
      </c>
    </row>
    <row r="343" customFormat="false" ht="15" hidden="false" customHeight="true" outlineLevel="0" collapsed="false">
      <c r="A343" s="1" t="str">
        <f aca="false">IF(Brasil!C343="","",IFERROR(INDEX(Mercados!$C$2:$C$32,MATCH(Brasil!B343,Mercados!$A$2:$A$32,0)),"Revisar Tscode"))</f>
        <v/>
      </c>
      <c r="B343" s="1" t="str">
        <f aca="false">IF(Brasil!C343="","",Brasil!C343)</f>
        <v/>
      </c>
      <c r="C343" s="1" t="str">
        <f aca="false">IF(Brasil!C343="","",Brasil!A343)</f>
        <v/>
      </c>
      <c r="D343" s="1" t="str">
        <f aca="false">IF(Brasil!C343="","",Brasil!E343)</f>
        <v/>
      </c>
      <c r="E343" s="1" t="str">
        <f aca="false">IF(Brasil!C343="","",Brasil!F343)</f>
        <v/>
      </c>
      <c r="F343" s="1" t="str">
        <f aca="false">IF(Brasil!C343="","",Brasil!D343)</f>
        <v/>
      </c>
      <c r="I343" s="1" t="str">
        <f aca="false">IF(Brasil!C343="","",Brasil!H343)</f>
        <v/>
      </c>
      <c r="J343" s="1" t="str">
        <f aca="false">IF(Brasil!C343="","",Brasil!D343*Brasil!H343)</f>
        <v/>
      </c>
      <c r="K343" s="1" t="str">
        <f aca="false">IF(Brasil!C343="","","BR")</f>
        <v/>
      </c>
      <c r="L343" s="1" t="str">
        <f aca="false">IF(Brasil!C343="","",IFERROR(INDEX(Gamma_Catalogo!$D$3:$D$1451,MATCH(Brasil!E343,Gamma_Catalogo!$A$3:$A$1451,0)),"Revisar Ip Code"))</f>
        <v/>
      </c>
      <c r="M343" s="1" t="str">
        <f aca="false">IF(Brasil!C343="","",IFERROR(INDEX(Gamma_Catalogo!$C$3:$C$1451,MATCH(Brasil!E343,Gamma_Catalogo!$A$3:$A$1451,0)),"Revisar Ip Code"))</f>
        <v/>
      </c>
      <c r="N343" s="1" t="str">
        <f aca="false">IF(Brasil!C343="","",IFERROR(INDEX(Gamma_Catalogo!$E$3:$E$1451,MATCH(Brasil!E343,Gamma_Catalogo!$A$3:$A$1451,0)),"Revisar Ip Code"))</f>
        <v/>
      </c>
      <c r="O343" s="1" t="str">
        <f aca="false">IF(Brasil!C343="","","Brasil")</f>
        <v/>
      </c>
    </row>
    <row r="344" customFormat="false" ht="15" hidden="false" customHeight="true" outlineLevel="0" collapsed="false">
      <c r="A344" s="1" t="str">
        <f aca="false">IF(Brasil!C344="","",IFERROR(INDEX(Mercados!$C$2:$C$32,MATCH(Brasil!B344,Mercados!$A$2:$A$32,0)),"Revisar Tscode"))</f>
        <v/>
      </c>
      <c r="B344" s="1" t="str">
        <f aca="false">IF(Brasil!C344="","",Brasil!C344)</f>
        <v/>
      </c>
      <c r="C344" s="1" t="str">
        <f aca="false">IF(Brasil!C344="","",Brasil!A344)</f>
        <v/>
      </c>
      <c r="D344" s="1" t="str">
        <f aca="false">IF(Brasil!C344="","",Brasil!E344)</f>
        <v/>
      </c>
      <c r="E344" s="1" t="str">
        <f aca="false">IF(Brasil!C344="","",Brasil!F344)</f>
        <v/>
      </c>
      <c r="F344" s="1" t="str">
        <f aca="false">IF(Brasil!C344="","",Brasil!D344)</f>
        <v/>
      </c>
      <c r="I344" s="1" t="str">
        <f aca="false">IF(Brasil!C344="","",Brasil!H344)</f>
        <v/>
      </c>
      <c r="J344" s="1" t="str">
        <f aca="false">IF(Brasil!C344="","",Brasil!D344*Brasil!H344)</f>
        <v/>
      </c>
      <c r="K344" s="1" t="str">
        <f aca="false">IF(Brasil!C344="","","BR")</f>
        <v/>
      </c>
      <c r="L344" s="1" t="str">
        <f aca="false">IF(Brasil!C344="","",IFERROR(INDEX(Gamma_Catalogo!$D$3:$D$1451,MATCH(Brasil!E344,Gamma_Catalogo!$A$3:$A$1451,0)),"Revisar Ip Code"))</f>
        <v/>
      </c>
      <c r="M344" s="1" t="str">
        <f aca="false">IF(Brasil!C344="","",IFERROR(INDEX(Gamma_Catalogo!$C$3:$C$1451,MATCH(Brasil!E344,Gamma_Catalogo!$A$3:$A$1451,0)),"Revisar Ip Code"))</f>
        <v/>
      </c>
      <c r="N344" s="1" t="str">
        <f aca="false">IF(Brasil!C344="","",IFERROR(INDEX(Gamma_Catalogo!$E$3:$E$1451,MATCH(Brasil!E344,Gamma_Catalogo!$A$3:$A$1451,0)),"Revisar Ip Code"))</f>
        <v/>
      </c>
      <c r="O344" s="1" t="str">
        <f aca="false">IF(Brasil!C344="","","Brasil")</f>
        <v/>
      </c>
    </row>
    <row r="345" customFormat="false" ht="15" hidden="false" customHeight="true" outlineLevel="0" collapsed="false">
      <c r="A345" s="1" t="str">
        <f aca="false">IF(Brasil!C345="","",IFERROR(INDEX(Mercados!$C$2:$C$32,MATCH(Brasil!B345,Mercados!$A$2:$A$32,0)),"Revisar Tscode"))</f>
        <v/>
      </c>
      <c r="B345" s="1" t="str">
        <f aca="false">IF(Brasil!C345="","",Brasil!C345)</f>
        <v/>
      </c>
      <c r="C345" s="1" t="str">
        <f aca="false">IF(Brasil!C345="","",Brasil!A345)</f>
        <v/>
      </c>
      <c r="D345" s="1" t="str">
        <f aca="false">IF(Brasil!C345="","",Brasil!E345)</f>
        <v/>
      </c>
      <c r="E345" s="1" t="str">
        <f aca="false">IF(Brasil!C345="","",Brasil!F345)</f>
        <v/>
      </c>
      <c r="F345" s="1" t="str">
        <f aca="false">IF(Brasil!C345="","",Brasil!D345)</f>
        <v/>
      </c>
      <c r="I345" s="1" t="str">
        <f aca="false">IF(Brasil!C345="","",Brasil!H345)</f>
        <v/>
      </c>
      <c r="J345" s="1" t="str">
        <f aca="false">IF(Brasil!C345="","",Brasil!D345*Brasil!H345)</f>
        <v/>
      </c>
      <c r="K345" s="1" t="str">
        <f aca="false">IF(Brasil!C345="","","BR")</f>
        <v/>
      </c>
      <c r="L345" s="1" t="str">
        <f aca="false">IF(Brasil!C345="","",IFERROR(INDEX(Gamma_Catalogo!$D$3:$D$1451,MATCH(Brasil!E345,Gamma_Catalogo!$A$3:$A$1451,0)),"Revisar Ip Code"))</f>
        <v/>
      </c>
      <c r="M345" s="1" t="str">
        <f aca="false">IF(Brasil!C345="","",IFERROR(INDEX(Gamma_Catalogo!$C$3:$C$1451,MATCH(Brasil!E345,Gamma_Catalogo!$A$3:$A$1451,0)),"Revisar Ip Code"))</f>
        <v/>
      </c>
      <c r="N345" s="1" t="str">
        <f aca="false">IF(Brasil!C345="","",IFERROR(INDEX(Gamma_Catalogo!$E$3:$E$1451,MATCH(Brasil!E345,Gamma_Catalogo!$A$3:$A$1451,0)),"Revisar Ip Code"))</f>
        <v/>
      </c>
      <c r="O345" s="1" t="str">
        <f aca="false">IF(Brasil!C345="","","Brasil")</f>
        <v/>
      </c>
    </row>
    <row r="346" customFormat="false" ht="15" hidden="false" customHeight="true" outlineLevel="0" collapsed="false">
      <c r="A346" s="1" t="str">
        <f aca="false">IF(Brasil!C346="","",IFERROR(INDEX(Mercados!$C$2:$C$32,MATCH(Brasil!B346,Mercados!$A$2:$A$32,0)),"Revisar Tscode"))</f>
        <v/>
      </c>
      <c r="B346" s="1" t="str">
        <f aca="false">IF(Brasil!C346="","",Brasil!C346)</f>
        <v/>
      </c>
      <c r="C346" s="1" t="str">
        <f aca="false">IF(Brasil!C346="","",Brasil!A346)</f>
        <v/>
      </c>
      <c r="D346" s="1" t="str">
        <f aca="false">IF(Brasil!C346="","",Brasil!E346)</f>
        <v/>
      </c>
      <c r="E346" s="1" t="str">
        <f aca="false">IF(Brasil!C346="","",Brasil!F346)</f>
        <v/>
      </c>
      <c r="F346" s="1" t="str">
        <f aca="false">IF(Brasil!C346="","",Brasil!D346)</f>
        <v/>
      </c>
      <c r="I346" s="1" t="str">
        <f aca="false">IF(Brasil!C346="","",Brasil!H346)</f>
        <v/>
      </c>
      <c r="J346" s="1" t="str">
        <f aca="false">IF(Brasil!C346="","",Brasil!D346*Brasil!H346)</f>
        <v/>
      </c>
      <c r="K346" s="1" t="str">
        <f aca="false">IF(Brasil!C346="","","BR")</f>
        <v/>
      </c>
      <c r="L346" s="1" t="str">
        <f aca="false">IF(Brasil!C346="","",IFERROR(INDEX(Gamma_Catalogo!$D$3:$D$1451,MATCH(Brasil!E346,Gamma_Catalogo!$A$3:$A$1451,0)),"Revisar Ip Code"))</f>
        <v/>
      </c>
      <c r="M346" s="1" t="str">
        <f aca="false">IF(Brasil!C346="","",IFERROR(INDEX(Gamma_Catalogo!$C$3:$C$1451,MATCH(Brasil!E346,Gamma_Catalogo!$A$3:$A$1451,0)),"Revisar Ip Code"))</f>
        <v/>
      </c>
      <c r="N346" s="1" t="str">
        <f aca="false">IF(Brasil!C346="","",IFERROR(INDEX(Gamma_Catalogo!$E$3:$E$1451,MATCH(Brasil!E346,Gamma_Catalogo!$A$3:$A$1451,0)),"Revisar Ip Code"))</f>
        <v/>
      </c>
      <c r="O346" s="1" t="str">
        <f aca="false">IF(Brasil!C346="","","Brasil")</f>
        <v/>
      </c>
    </row>
    <row r="347" customFormat="false" ht="15" hidden="false" customHeight="true" outlineLevel="0" collapsed="false">
      <c r="A347" s="1" t="str">
        <f aca="false">IF(Brasil!C347="","",IFERROR(INDEX(Mercados!$C$2:$C$32,MATCH(Brasil!B347,Mercados!$A$2:$A$32,0)),"Revisar Tscode"))</f>
        <v/>
      </c>
      <c r="B347" s="1" t="str">
        <f aca="false">IF(Brasil!C347="","",Brasil!C347)</f>
        <v/>
      </c>
      <c r="C347" s="1" t="str">
        <f aca="false">IF(Brasil!C347="","",Brasil!A347)</f>
        <v/>
      </c>
      <c r="D347" s="1" t="str">
        <f aca="false">IF(Brasil!C347="","",Brasil!E347)</f>
        <v/>
      </c>
      <c r="E347" s="1" t="str">
        <f aca="false">IF(Brasil!C347="","",Brasil!F347)</f>
        <v/>
      </c>
      <c r="F347" s="1" t="str">
        <f aca="false">IF(Brasil!C347="","",Brasil!D347)</f>
        <v/>
      </c>
      <c r="I347" s="1" t="str">
        <f aca="false">IF(Brasil!C347="","",Brasil!H347)</f>
        <v/>
      </c>
      <c r="J347" s="1" t="str">
        <f aca="false">IF(Brasil!C347="","",Brasil!D347*Brasil!H347)</f>
        <v/>
      </c>
      <c r="K347" s="1" t="str">
        <f aca="false">IF(Brasil!C347="","","BR")</f>
        <v/>
      </c>
      <c r="L347" s="1" t="str">
        <f aca="false">IF(Brasil!C347="","",IFERROR(INDEX(Gamma_Catalogo!$D$3:$D$1451,MATCH(Brasil!E347,Gamma_Catalogo!$A$3:$A$1451,0)),"Revisar Ip Code"))</f>
        <v/>
      </c>
      <c r="M347" s="1" t="str">
        <f aca="false">IF(Brasil!C347="","",IFERROR(INDEX(Gamma_Catalogo!$C$3:$C$1451,MATCH(Brasil!E347,Gamma_Catalogo!$A$3:$A$1451,0)),"Revisar Ip Code"))</f>
        <v/>
      </c>
      <c r="N347" s="1" t="str">
        <f aca="false">IF(Brasil!C347="","",IFERROR(INDEX(Gamma_Catalogo!$E$3:$E$1451,MATCH(Brasil!E347,Gamma_Catalogo!$A$3:$A$1451,0)),"Revisar Ip Code"))</f>
        <v/>
      </c>
      <c r="O347" s="1" t="str">
        <f aca="false">IF(Brasil!C347="","","Brasil")</f>
        <v/>
      </c>
    </row>
    <row r="348" customFormat="false" ht="15" hidden="false" customHeight="true" outlineLevel="0" collapsed="false">
      <c r="A348" s="1" t="str">
        <f aca="false">IF(Brasil!C348="","",IFERROR(INDEX(Mercados!$C$2:$C$32,MATCH(Brasil!B348,Mercados!$A$2:$A$32,0)),"Revisar Tscode"))</f>
        <v/>
      </c>
      <c r="B348" s="1" t="str">
        <f aca="false">IF(Brasil!C348="","",Brasil!C348)</f>
        <v/>
      </c>
      <c r="C348" s="1" t="str">
        <f aca="false">IF(Brasil!C348="","",Brasil!A348)</f>
        <v/>
      </c>
      <c r="D348" s="1" t="str">
        <f aca="false">IF(Brasil!C348="","",Brasil!E348)</f>
        <v/>
      </c>
      <c r="E348" s="1" t="str">
        <f aca="false">IF(Brasil!C348="","",Brasil!F348)</f>
        <v/>
      </c>
      <c r="F348" s="1" t="str">
        <f aca="false">IF(Brasil!C348="","",Brasil!D348)</f>
        <v/>
      </c>
      <c r="I348" s="1" t="str">
        <f aca="false">IF(Brasil!C348="","",Brasil!H348)</f>
        <v/>
      </c>
      <c r="J348" s="1" t="str">
        <f aca="false">IF(Brasil!C348="","",Brasil!D348*Brasil!H348)</f>
        <v/>
      </c>
      <c r="K348" s="1" t="str">
        <f aca="false">IF(Brasil!C348="","","BR")</f>
        <v/>
      </c>
      <c r="L348" s="1" t="str">
        <f aca="false">IF(Brasil!C348="","",IFERROR(INDEX(Gamma_Catalogo!$D$3:$D$1451,MATCH(Brasil!E348,Gamma_Catalogo!$A$3:$A$1451,0)),"Revisar Ip Code"))</f>
        <v/>
      </c>
      <c r="M348" s="1" t="str">
        <f aca="false">IF(Brasil!C348="","",IFERROR(INDEX(Gamma_Catalogo!$C$3:$C$1451,MATCH(Brasil!E348,Gamma_Catalogo!$A$3:$A$1451,0)),"Revisar Ip Code"))</f>
        <v/>
      </c>
      <c r="N348" s="1" t="str">
        <f aca="false">IF(Brasil!C348="","",IFERROR(INDEX(Gamma_Catalogo!$E$3:$E$1451,MATCH(Brasil!E348,Gamma_Catalogo!$A$3:$A$1451,0)),"Revisar Ip Code"))</f>
        <v/>
      </c>
      <c r="O348" s="1" t="str">
        <f aca="false">IF(Brasil!C348="","","Brasil")</f>
        <v/>
      </c>
    </row>
    <row r="349" customFormat="false" ht="15" hidden="false" customHeight="true" outlineLevel="0" collapsed="false">
      <c r="A349" s="1" t="str">
        <f aca="false">IF(Brasil!C349="","",IFERROR(INDEX(Mercados!$C$2:$C$32,MATCH(Brasil!B349,Mercados!$A$2:$A$32,0)),"Revisar Tscode"))</f>
        <v/>
      </c>
      <c r="B349" s="1" t="str">
        <f aca="false">IF(Brasil!C349="","",Brasil!C349)</f>
        <v/>
      </c>
      <c r="C349" s="1" t="str">
        <f aca="false">IF(Brasil!C349="","",Brasil!A349)</f>
        <v/>
      </c>
      <c r="D349" s="1" t="str">
        <f aca="false">IF(Brasil!C349="","",Brasil!E349)</f>
        <v/>
      </c>
      <c r="E349" s="1" t="str">
        <f aca="false">IF(Brasil!C349="","",Brasil!F349)</f>
        <v/>
      </c>
      <c r="F349" s="1" t="str">
        <f aca="false">IF(Brasil!C349="","",Brasil!D349)</f>
        <v/>
      </c>
      <c r="I349" s="1" t="str">
        <f aca="false">IF(Brasil!C349="","",Brasil!H349)</f>
        <v/>
      </c>
      <c r="J349" s="1" t="str">
        <f aca="false">IF(Brasil!C349="","",Brasil!D349*Brasil!H349)</f>
        <v/>
      </c>
      <c r="K349" s="1" t="str">
        <f aca="false">IF(Brasil!C349="","","BR")</f>
        <v/>
      </c>
      <c r="L349" s="1" t="str">
        <f aca="false">IF(Brasil!C349="","",IFERROR(INDEX(Gamma_Catalogo!$D$3:$D$1451,MATCH(Brasil!E349,Gamma_Catalogo!$A$3:$A$1451,0)),"Revisar Ip Code"))</f>
        <v/>
      </c>
      <c r="M349" s="1" t="str">
        <f aca="false">IF(Brasil!C349="","",IFERROR(INDEX(Gamma_Catalogo!$C$3:$C$1451,MATCH(Brasil!E349,Gamma_Catalogo!$A$3:$A$1451,0)),"Revisar Ip Code"))</f>
        <v/>
      </c>
      <c r="N349" s="1" t="str">
        <f aca="false">IF(Brasil!C349="","",IFERROR(INDEX(Gamma_Catalogo!$E$3:$E$1451,MATCH(Brasil!E349,Gamma_Catalogo!$A$3:$A$1451,0)),"Revisar Ip Code"))</f>
        <v/>
      </c>
      <c r="O349" s="1" t="str">
        <f aca="false">IF(Brasil!C349="","","Brasil")</f>
        <v/>
      </c>
    </row>
    <row r="350" customFormat="false" ht="15" hidden="false" customHeight="true" outlineLevel="0" collapsed="false">
      <c r="A350" s="1" t="str">
        <f aca="false">IF(Brasil!C350="","",IFERROR(INDEX(Mercados!$C$2:$C$32,MATCH(Brasil!B350,Mercados!$A$2:$A$32,0)),"Revisar Tscode"))</f>
        <v/>
      </c>
      <c r="B350" s="1" t="str">
        <f aca="false">IF(Brasil!C350="","",Brasil!C350)</f>
        <v/>
      </c>
      <c r="C350" s="1" t="str">
        <f aca="false">IF(Brasil!C350="","",Brasil!A350)</f>
        <v/>
      </c>
      <c r="D350" s="1" t="str">
        <f aca="false">IF(Brasil!C350="","",Brasil!E350)</f>
        <v/>
      </c>
      <c r="E350" s="1" t="str">
        <f aca="false">IF(Brasil!C350="","",Brasil!F350)</f>
        <v/>
      </c>
      <c r="F350" s="1" t="str">
        <f aca="false">IF(Brasil!C350="","",Brasil!D350)</f>
        <v/>
      </c>
      <c r="I350" s="1" t="str">
        <f aca="false">IF(Brasil!C350="","",Brasil!H350)</f>
        <v/>
      </c>
      <c r="J350" s="1" t="str">
        <f aca="false">IF(Brasil!C350="","",Brasil!D350*Brasil!H350)</f>
        <v/>
      </c>
      <c r="K350" s="1" t="str">
        <f aca="false">IF(Brasil!C350="","","BR")</f>
        <v/>
      </c>
      <c r="L350" s="1" t="str">
        <f aca="false">IF(Brasil!C350="","",IFERROR(INDEX(Gamma_Catalogo!$D$3:$D$1451,MATCH(Brasil!E350,Gamma_Catalogo!$A$3:$A$1451,0)),"Revisar Ip Code"))</f>
        <v/>
      </c>
      <c r="M350" s="1" t="str">
        <f aca="false">IF(Brasil!C350="","",IFERROR(INDEX(Gamma_Catalogo!$C$3:$C$1451,MATCH(Brasil!E350,Gamma_Catalogo!$A$3:$A$1451,0)),"Revisar Ip Code"))</f>
        <v/>
      </c>
      <c r="N350" s="1" t="str">
        <f aca="false">IF(Brasil!C350="","",IFERROR(INDEX(Gamma_Catalogo!$E$3:$E$1451,MATCH(Brasil!E350,Gamma_Catalogo!$A$3:$A$1451,0)),"Revisar Ip Code"))</f>
        <v/>
      </c>
      <c r="O350" s="1" t="str">
        <f aca="false">IF(Brasil!C350="","","Brasil")</f>
        <v/>
      </c>
    </row>
    <row r="351" customFormat="false" ht="15" hidden="false" customHeight="true" outlineLevel="0" collapsed="false">
      <c r="A351" s="1" t="str">
        <f aca="false">IF(Brasil!C351="","",IFERROR(INDEX(Mercados!$C$2:$C$32,MATCH(Brasil!B351,Mercados!$A$2:$A$32,0)),"Revisar Tscode"))</f>
        <v/>
      </c>
      <c r="B351" s="1" t="str">
        <f aca="false">IF(Brasil!C351="","",Brasil!C351)</f>
        <v/>
      </c>
      <c r="C351" s="1" t="str">
        <f aca="false">IF(Brasil!C351="","",Brasil!A351)</f>
        <v/>
      </c>
      <c r="D351" s="1" t="str">
        <f aca="false">IF(Brasil!C351="","",Brasil!E351)</f>
        <v/>
      </c>
      <c r="E351" s="1" t="str">
        <f aca="false">IF(Brasil!C351="","",Brasil!F351)</f>
        <v/>
      </c>
      <c r="F351" s="1" t="str">
        <f aca="false">IF(Brasil!C351="","",Brasil!D351)</f>
        <v/>
      </c>
      <c r="I351" s="1" t="str">
        <f aca="false">IF(Brasil!C351="","",Brasil!H351)</f>
        <v/>
      </c>
      <c r="J351" s="1" t="str">
        <f aca="false">IF(Brasil!C351="","",Brasil!D351*Brasil!H351)</f>
        <v/>
      </c>
      <c r="K351" s="1" t="str">
        <f aca="false">IF(Brasil!C351="","","BR")</f>
        <v/>
      </c>
      <c r="L351" s="1" t="str">
        <f aca="false">IF(Brasil!C351="","",IFERROR(INDEX(Gamma_Catalogo!$D$3:$D$1451,MATCH(Brasil!E351,Gamma_Catalogo!$A$3:$A$1451,0)),"Revisar Ip Code"))</f>
        <v/>
      </c>
      <c r="M351" s="1" t="str">
        <f aca="false">IF(Brasil!C351="","",IFERROR(INDEX(Gamma_Catalogo!$C$3:$C$1451,MATCH(Brasil!E351,Gamma_Catalogo!$A$3:$A$1451,0)),"Revisar Ip Code"))</f>
        <v/>
      </c>
      <c r="N351" s="1" t="str">
        <f aca="false">IF(Brasil!C351="","",IFERROR(INDEX(Gamma_Catalogo!$E$3:$E$1451,MATCH(Brasil!E351,Gamma_Catalogo!$A$3:$A$1451,0)),"Revisar Ip Code"))</f>
        <v/>
      </c>
      <c r="O351" s="1" t="str">
        <f aca="false">IF(Brasil!C351="","","Brasil")</f>
        <v/>
      </c>
    </row>
    <row r="352" customFormat="false" ht="15" hidden="false" customHeight="true" outlineLevel="0" collapsed="false">
      <c r="A352" s="1" t="str">
        <f aca="false">IF(Brasil!C352="","",IFERROR(INDEX(Mercados!$C$2:$C$32,MATCH(Brasil!B352,Mercados!$A$2:$A$32,0)),"Revisar Tscode"))</f>
        <v/>
      </c>
      <c r="B352" s="1" t="str">
        <f aca="false">IF(Brasil!C352="","",Brasil!C352)</f>
        <v/>
      </c>
      <c r="C352" s="1" t="str">
        <f aca="false">IF(Brasil!C352="","",Brasil!A352)</f>
        <v/>
      </c>
      <c r="D352" s="1" t="str">
        <f aca="false">IF(Brasil!C352="","",Brasil!E352)</f>
        <v/>
      </c>
      <c r="E352" s="1" t="str">
        <f aca="false">IF(Brasil!C352="","",Brasil!F352)</f>
        <v/>
      </c>
      <c r="F352" s="1" t="str">
        <f aca="false">IF(Brasil!C352="","",Brasil!D352)</f>
        <v/>
      </c>
      <c r="I352" s="1" t="str">
        <f aca="false">IF(Brasil!C352="","",Brasil!H352)</f>
        <v/>
      </c>
      <c r="J352" s="1" t="str">
        <f aca="false">IF(Brasil!C352="","",Brasil!D352*Brasil!H352)</f>
        <v/>
      </c>
      <c r="K352" s="1" t="str">
        <f aca="false">IF(Brasil!C352="","","BR")</f>
        <v/>
      </c>
      <c r="L352" s="1" t="str">
        <f aca="false">IF(Brasil!C352="","",IFERROR(INDEX(Gamma_Catalogo!$D$3:$D$1451,MATCH(Brasil!E352,Gamma_Catalogo!$A$3:$A$1451,0)),"Revisar Ip Code"))</f>
        <v/>
      </c>
      <c r="M352" s="1" t="str">
        <f aca="false">IF(Brasil!C352="","",IFERROR(INDEX(Gamma_Catalogo!$C$3:$C$1451,MATCH(Brasil!E352,Gamma_Catalogo!$A$3:$A$1451,0)),"Revisar Ip Code"))</f>
        <v/>
      </c>
      <c r="N352" s="1" t="str">
        <f aca="false">IF(Brasil!C352="","",IFERROR(INDEX(Gamma_Catalogo!$E$3:$E$1451,MATCH(Brasil!E352,Gamma_Catalogo!$A$3:$A$1451,0)),"Revisar Ip Code"))</f>
        <v/>
      </c>
      <c r="O352" s="1" t="str">
        <f aca="false">IF(Brasil!C352="","","Brasil")</f>
        <v/>
      </c>
    </row>
    <row r="353" customFormat="false" ht="15" hidden="false" customHeight="true" outlineLevel="0" collapsed="false">
      <c r="A353" s="1" t="str">
        <f aca="false">IF(Brasil!C353="","",IFERROR(INDEX(Mercados!$C$2:$C$32,MATCH(Brasil!B353,Mercados!$A$2:$A$32,0)),"Revisar Tscode"))</f>
        <v/>
      </c>
      <c r="B353" s="1" t="str">
        <f aca="false">IF(Brasil!C353="","",Brasil!C353)</f>
        <v/>
      </c>
      <c r="C353" s="1" t="str">
        <f aca="false">IF(Brasil!C353="","",Brasil!A353)</f>
        <v/>
      </c>
      <c r="D353" s="1" t="str">
        <f aca="false">IF(Brasil!C353="","",Brasil!E353)</f>
        <v/>
      </c>
      <c r="E353" s="1" t="str">
        <f aca="false">IF(Brasil!C353="","",Brasil!F353)</f>
        <v/>
      </c>
      <c r="F353" s="1" t="str">
        <f aca="false">IF(Brasil!C353="","",Brasil!D353)</f>
        <v/>
      </c>
      <c r="I353" s="1" t="str">
        <f aca="false">IF(Brasil!C353="","",Brasil!H353)</f>
        <v/>
      </c>
      <c r="J353" s="1" t="str">
        <f aca="false">IF(Brasil!C353="","",Brasil!D353*Brasil!H353)</f>
        <v/>
      </c>
      <c r="K353" s="1" t="str">
        <f aca="false">IF(Brasil!C353="","","BR")</f>
        <v/>
      </c>
      <c r="L353" s="1" t="str">
        <f aca="false">IF(Brasil!C353="","",IFERROR(INDEX(Gamma_Catalogo!$D$3:$D$1451,MATCH(Brasil!E353,Gamma_Catalogo!$A$3:$A$1451,0)),"Revisar Ip Code"))</f>
        <v/>
      </c>
      <c r="M353" s="1" t="str">
        <f aca="false">IF(Brasil!C353="","",IFERROR(INDEX(Gamma_Catalogo!$C$3:$C$1451,MATCH(Brasil!E353,Gamma_Catalogo!$A$3:$A$1451,0)),"Revisar Ip Code"))</f>
        <v/>
      </c>
      <c r="N353" s="1" t="str">
        <f aca="false">IF(Brasil!C353="","",IFERROR(INDEX(Gamma_Catalogo!$E$3:$E$1451,MATCH(Brasil!E353,Gamma_Catalogo!$A$3:$A$1451,0)),"Revisar Ip Code"))</f>
        <v/>
      </c>
      <c r="O353" s="1" t="str">
        <f aca="false">IF(Brasil!C353="","","Brasil")</f>
        <v/>
      </c>
    </row>
    <row r="354" customFormat="false" ht="15" hidden="false" customHeight="true" outlineLevel="0" collapsed="false">
      <c r="A354" s="1" t="str">
        <f aca="false">IF(Brasil!C354="","",IFERROR(INDEX(Mercados!$C$2:$C$32,MATCH(Brasil!B354,Mercados!$A$2:$A$32,0)),"Revisar Tscode"))</f>
        <v/>
      </c>
      <c r="B354" s="1" t="str">
        <f aca="false">IF(Brasil!C354="","",Brasil!C354)</f>
        <v/>
      </c>
      <c r="C354" s="1" t="str">
        <f aca="false">IF(Brasil!C354="","",Brasil!A354)</f>
        <v/>
      </c>
      <c r="D354" s="1" t="str">
        <f aca="false">IF(Brasil!C354="","",Brasil!E354)</f>
        <v/>
      </c>
      <c r="E354" s="1" t="str">
        <f aca="false">IF(Brasil!C354="","",Brasil!F354)</f>
        <v/>
      </c>
      <c r="F354" s="1" t="str">
        <f aca="false">IF(Brasil!C354="","",Brasil!D354)</f>
        <v/>
      </c>
      <c r="I354" s="1" t="str">
        <f aca="false">IF(Brasil!C354="","",Brasil!H354)</f>
        <v/>
      </c>
      <c r="J354" s="1" t="str">
        <f aca="false">IF(Brasil!C354="","",Brasil!D354*Brasil!H354)</f>
        <v/>
      </c>
      <c r="K354" s="1" t="str">
        <f aca="false">IF(Brasil!C354="","","BR")</f>
        <v/>
      </c>
      <c r="L354" s="1" t="str">
        <f aca="false">IF(Brasil!C354="","",IFERROR(INDEX(Gamma_Catalogo!$D$3:$D$1451,MATCH(Brasil!E354,Gamma_Catalogo!$A$3:$A$1451,0)),"Revisar Ip Code"))</f>
        <v/>
      </c>
      <c r="M354" s="1" t="str">
        <f aca="false">IF(Brasil!C354="","",IFERROR(INDEX(Gamma_Catalogo!$C$3:$C$1451,MATCH(Brasil!E354,Gamma_Catalogo!$A$3:$A$1451,0)),"Revisar Ip Code"))</f>
        <v/>
      </c>
      <c r="N354" s="1" t="str">
        <f aca="false">IF(Brasil!C354="","",IFERROR(INDEX(Gamma_Catalogo!$E$3:$E$1451,MATCH(Brasil!E354,Gamma_Catalogo!$A$3:$A$1451,0)),"Revisar Ip Code"))</f>
        <v/>
      </c>
      <c r="O354" s="1" t="str">
        <f aca="false">IF(Brasil!C354="","","Brasil")</f>
        <v/>
      </c>
    </row>
    <row r="355" customFormat="false" ht="15" hidden="false" customHeight="true" outlineLevel="0" collapsed="false">
      <c r="A355" s="1" t="str">
        <f aca="false">IF(Brasil!C355="","",IFERROR(INDEX(Mercados!$C$2:$C$32,MATCH(Brasil!B355,Mercados!$A$2:$A$32,0)),"Revisar Tscode"))</f>
        <v/>
      </c>
      <c r="B355" s="1" t="str">
        <f aca="false">IF(Brasil!C355="","",Brasil!C355)</f>
        <v/>
      </c>
      <c r="C355" s="1" t="str">
        <f aca="false">IF(Brasil!C355="","",Brasil!A355)</f>
        <v/>
      </c>
      <c r="D355" s="1" t="str">
        <f aca="false">IF(Brasil!C355="","",Brasil!E355)</f>
        <v/>
      </c>
      <c r="E355" s="1" t="str">
        <f aca="false">IF(Brasil!C355="","",Brasil!F355)</f>
        <v/>
      </c>
      <c r="F355" s="1" t="str">
        <f aca="false">IF(Brasil!C355="","",Brasil!D355)</f>
        <v/>
      </c>
      <c r="I355" s="1" t="str">
        <f aca="false">IF(Brasil!C355="","",Brasil!H355)</f>
        <v/>
      </c>
      <c r="J355" s="1" t="str">
        <f aca="false">IF(Brasil!C355="","",Brasil!D355*Brasil!H355)</f>
        <v/>
      </c>
      <c r="K355" s="1" t="str">
        <f aca="false">IF(Brasil!C355="","","BR")</f>
        <v/>
      </c>
      <c r="L355" s="1" t="str">
        <f aca="false">IF(Brasil!C355="","",IFERROR(INDEX(Gamma_Catalogo!$D$3:$D$1451,MATCH(Brasil!E355,Gamma_Catalogo!$A$3:$A$1451,0)),"Revisar Ip Code"))</f>
        <v/>
      </c>
      <c r="M355" s="1" t="str">
        <f aca="false">IF(Brasil!C355="","",IFERROR(INDEX(Gamma_Catalogo!$C$3:$C$1451,MATCH(Brasil!E355,Gamma_Catalogo!$A$3:$A$1451,0)),"Revisar Ip Code"))</f>
        <v/>
      </c>
      <c r="N355" s="1" t="str">
        <f aca="false">IF(Brasil!C355="","",IFERROR(INDEX(Gamma_Catalogo!$E$3:$E$1451,MATCH(Brasil!E355,Gamma_Catalogo!$A$3:$A$1451,0)),"Revisar Ip Code"))</f>
        <v/>
      </c>
      <c r="O355" s="1" t="str">
        <f aca="false">IF(Brasil!C355="","","Brasil")</f>
        <v/>
      </c>
    </row>
    <row r="356" customFormat="false" ht="15" hidden="false" customHeight="true" outlineLevel="0" collapsed="false">
      <c r="A356" s="1" t="str">
        <f aca="false">IF(Brasil!C356="","",IFERROR(INDEX(Mercados!$C$2:$C$32,MATCH(Brasil!B356,Mercados!$A$2:$A$32,0)),"Revisar Tscode"))</f>
        <v/>
      </c>
      <c r="B356" s="1" t="str">
        <f aca="false">IF(Brasil!C356="","",Brasil!C356)</f>
        <v/>
      </c>
      <c r="C356" s="1" t="str">
        <f aca="false">IF(Brasil!C356="","",Brasil!A356)</f>
        <v/>
      </c>
      <c r="D356" s="1" t="str">
        <f aca="false">IF(Brasil!C356="","",Brasil!E356)</f>
        <v/>
      </c>
      <c r="E356" s="1" t="str">
        <f aca="false">IF(Brasil!C356="","",Brasil!F356)</f>
        <v/>
      </c>
      <c r="F356" s="1" t="str">
        <f aca="false">IF(Brasil!C356="","",Brasil!D356)</f>
        <v/>
      </c>
      <c r="I356" s="1" t="str">
        <f aca="false">IF(Brasil!C356="","",Brasil!H356)</f>
        <v/>
      </c>
      <c r="J356" s="1" t="str">
        <f aca="false">IF(Brasil!C356="","",Brasil!D356*Brasil!H356)</f>
        <v/>
      </c>
      <c r="K356" s="1" t="str">
        <f aca="false">IF(Brasil!C356="","","BR")</f>
        <v/>
      </c>
      <c r="L356" s="1" t="str">
        <f aca="false">IF(Brasil!C356="","",IFERROR(INDEX(Gamma_Catalogo!$D$3:$D$1451,MATCH(Brasil!E356,Gamma_Catalogo!$A$3:$A$1451,0)),"Revisar Ip Code"))</f>
        <v/>
      </c>
      <c r="M356" s="1" t="str">
        <f aca="false">IF(Brasil!C356="","",IFERROR(INDEX(Gamma_Catalogo!$C$3:$C$1451,MATCH(Brasil!E356,Gamma_Catalogo!$A$3:$A$1451,0)),"Revisar Ip Code"))</f>
        <v/>
      </c>
      <c r="N356" s="1" t="str">
        <f aca="false">IF(Brasil!C356="","",IFERROR(INDEX(Gamma_Catalogo!$E$3:$E$1451,MATCH(Brasil!E356,Gamma_Catalogo!$A$3:$A$1451,0)),"Revisar Ip Code"))</f>
        <v/>
      </c>
      <c r="O356" s="1" t="str">
        <f aca="false">IF(Brasil!C356="","","Brasil")</f>
        <v/>
      </c>
    </row>
    <row r="357" customFormat="false" ht="15" hidden="false" customHeight="true" outlineLevel="0" collapsed="false">
      <c r="A357" s="1" t="str">
        <f aca="false">IF(Brasil!C357="","",IFERROR(INDEX(Mercados!$C$2:$C$32,MATCH(Brasil!B357,Mercados!$A$2:$A$32,0)),"Revisar Tscode"))</f>
        <v/>
      </c>
      <c r="B357" s="1" t="str">
        <f aca="false">IF(Brasil!C357="","",Brasil!C357)</f>
        <v/>
      </c>
      <c r="C357" s="1" t="str">
        <f aca="false">IF(Brasil!C357="","",Brasil!A357)</f>
        <v/>
      </c>
      <c r="D357" s="1" t="str">
        <f aca="false">IF(Brasil!C357="","",Brasil!E357)</f>
        <v/>
      </c>
      <c r="E357" s="1" t="str">
        <f aca="false">IF(Brasil!C357="","",Brasil!F357)</f>
        <v/>
      </c>
      <c r="F357" s="1" t="str">
        <f aca="false">IF(Brasil!C357="","",Brasil!D357)</f>
        <v/>
      </c>
      <c r="I357" s="1" t="str">
        <f aca="false">IF(Brasil!C357="","",Brasil!H357)</f>
        <v/>
      </c>
      <c r="J357" s="1" t="str">
        <f aca="false">IF(Brasil!C357="","",Brasil!D357*Brasil!H357)</f>
        <v/>
      </c>
      <c r="K357" s="1" t="str">
        <f aca="false">IF(Brasil!C357="","","BR")</f>
        <v/>
      </c>
      <c r="L357" s="1" t="str">
        <f aca="false">IF(Brasil!C357="","",IFERROR(INDEX(Gamma_Catalogo!$D$3:$D$1451,MATCH(Brasil!E357,Gamma_Catalogo!$A$3:$A$1451,0)),"Revisar Ip Code"))</f>
        <v/>
      </c>
      <c r="M357" s="1" t="str">
        <f aca="false">IF(Brasil!C357="","",IFERROR(INDEX(Gamma_Catalogo!$C$3:$C$1451,MATCH(Brasil!E357,Gamma_Catalogo!$A$3:$A$1451,0)),"Revisar Ip Code"))</f>
        <v/>
      </c>
      <c r="N357" s="1" t="str">
        <f aca="false">IF(Brasil!C357="","",IFERROR(INDEX(Gamma_Catalogo!$E$3:$E$1451,MATCH(Brasil!E357,Gamma_Catalogo!$A$3:$A$1451,0)),"Revisar Ip Code"))</f>
        <v/>
      </c>
      <c r="O357" s="1" t="str">
        <f aca="false">IF(Brasil!C357="","","Brasil")</f>
        <v/>
      </c>
    </row>
    <row r="358" customFormat="false" ht="15" hidden="false" customHeight="true" outlineLevel="0" collapsed="false">
      <c r="A358" s="1" t="str">
        <f aca="false">IF(Brasil!C358="","",IFERROR(INDEX(Mercados!$C$2:$C$32,MATCH(Brasil!B358,Mercados!$A$2:$A$32,0)),"Revisar Tscode"))</f>
        <v/>
      </c>
      <c r="B358" s="1" t="str">
        <f aca="false">IF(Brasil!C358="","",Brasil!C358)</f>
        <v/>
      </c>
      <c r="C358" s="1" t="str">
        <f aca="false">IF(Brasil!C358="","",Brasil!A358)</f>
        <v/>
      </c>
      <c r="D358" s="1" t="str">
        <f aca="false">IF(Brasil!C358="","",Brasil!E358)</f>
        <v/>
      </c>
      <c r="E358" s="1" t="str">
        <f aca="false">IF(Brasil!C358="","",Brasil!F358)</f>
        <v/>
      </c>
      <c r="F358" s="1" t="str">
        <f aca="false">IF(Brasil!C358="","",Brasil!D358)</f>
        <v/>
      </c>
      <c r="I358" s="1" t="str">
        <f aca="false">IF(Brasil!C358="","",Brasil!H358)</f>
        <v/>
      </c>
      <c r="J358" s="1" t="str">
        <f aca="false">IF(Brasil!C358="","",Brasil!D358*Brasil!H358)</f>
        <v/>
      </c>
      <c r="K358" s="1" t="str">
        <f aca="false">IF(Brasil!C358="","","BR")</f>
        <v/>
      </c>
      <c r="L358" s="1" t="str">
        <f aca="false">IF(Brasil!C358="","",IFERROR(INDEX(Gamma_Catalogo!$D$3:$D$1451,MATCH(Brasil!E358,Gamma_Catalogo!$A$3:$A$1451,0)),"Revisar Ip Code"))</f>
        <v/>
      </c>
      <c r="M358" s="1" t="str">
        <f aca="false">IF(Brasil!C358="","",IFERROR(INDEX(Gamma_Catalogo!$C$3:$C$1451,MATCH(Brasil!E358,Gamma_Catalogo!$A$3:$A$1451,0)),"Revisar Ip Code"))</f>
        <v/>
      </c>
      <c r="N358" s="1" t="str">
        <f aca="false">IF(Brasil!C358="","",IFERROR(INDEX(Gamma_Catalogo!$E$3:$E$1451,MATCH(Brasil!E358,Gamma_Catalogo!$A$3:$A$1451,0)),"Revisar Ip Code"))</f>
        <v/>
      </c>
      <c r="O358" s="1" t="str">
        <f aca="false">IF(Brasil!C358="","","Brasil")</f>
        <v/>
      </c>
    </row>
    <row r="359" customFormat="false" ht="15" hidden="false" customHeight="true" outlineLevel="0" collapsed="false">
      <c r="A359" s="1" t="str">
        <f aca="false">IF(Brasil!C359="","",IFERROR(INDEX(Mercados!$C$2:$C$32,MATCH(Brasil!B359,Mercados!$A$2:$A$32,0)),"Revisar Tscode"))</f>
        <v/>
      </c>
      <c r="B359" s="1" t="str">
        <f aca="false">IF(Brasil!C359="","",Brasil!C359)</f>
        <v/>
      </c>
      <c r="C359" s="1" t="str">
        <f aca="false">IF(Brasil!C359="","",Brasil!A359)</f>
        <v/>
      </c>
      <c r="D359" s="1" t="str">
        <f aca="false">IF(Brasil!C359="","",Brasil!E359)</f>
        <v/>
      </c>
      <c r="E359" s="1" t="str">
        <f aca="false">IF(Brasil!C359="","",Brasil!F359)</f>
        <v/>
      </c>
      <c r="F359" s="1" t="str">
        <f aca="false">IF(Brasil!C359="","",Brasil!D359)</f>
        <v/>
      </c>
      <c r="I359" s="1" t="str">
        <f aca="false">IF(Brasil!C359="","",Brasil!H359)</f>
        <v/>
      </c>
      <c r="J359" s="1" t="str">
        <f aca="false">IF(Brasil!C359="","",Brasil!D359*Brasil!H359)</f>
        <v/>
      </c>
      <c r="K359" s="1" t="str">
        <f aca="false">IF(Brasil!C359="","","BR")</f>
        <v/>
      </c>
      <c r="L359" s="1" t="str">
        <f aca="false">IF(Brasil!C359="","",IFERROR(INDEX(Gamma_Catalogo!$D$3:$D$1451,MATCH(Brasil!E359,Gamma_Catalogo!$A$3:$A$1451,0)),"Revisar Ip Code"))</f>
        <v/>
      </c>
      <c r="M359" s="1" t="str">
        <f aca="false">IF(Brasil!C359="","",IFERROR(INDEX(Gamma_Catalogo!$C$3:$C$1451,MATCH(Brasil!E359,Gamma_Catalogo!$A$3:$A$1451,0)),"Revisar Ip Code"))</f>
        <v/>
      </c>
      <c r="N359" s="1" t="str">
        <f aca="false">IF(Brasil!C359="","",IFERROR(INDEX(Gamma_Catalogo!$E$3:$E$1451,MATCH(Brasil!E359,Gamma_Catalogo!$A$3:$A$1451,0)),"Revisar Ip Code"))</f>
        <v/>
      </c>
      <c r="O359" s="1" t="str">
        <f aca="false">IF(Brasil!C359="","","Brasil")</f>
        <v/>
      </c>
    </row>
    <row r="360" customFormat="false" ht="15" hidden="false" customHeight="true" outlineLevel="0" collapsed="false">
      <c r="A360" s="1" t="str">
        <f aca="false">IF(Brasil!C360="","",IFERROR(INDEX(Mercados!$C$2:$C$32,MATCH(Brasil!B360,Mercados!$A$2:$A$32,0)),"Revisar Tscode"))</f>
        <v/>
      </c>
      <c r="B360" s="1" t="str">
        <f aca="false">IF(Brasil!C360="","",Brasil!C360)</f>
        <v/>
      </c>
      <c r="C360" s="1" t="str">
        <f aca="false">IF(Brasil!C360="","",Brasil!A360)</f>
        <v/>
      </c>
      <c r="D360" s="1" t="str">
        <f aca="false">IF(Brasil!C360="","",Brasil!E360)</f>
        <v/>
      </c>
      <c r="E360" s="1" t="str">
        <f aca="false">IF(Brasil!C360="","",Brasil!F360)</f>
        <v/>
      </c>
      <c r="F360" s="1" t="str">
        <f aca="false">IF(Brasil!C360="","",Brasil!D360)</f>
        <v/>
      </c>
      <c r="I360" s="1" t="str">
        <f aca="false">IF(Brasil!C360="","",Brasil!H360)</f>
        <v/>
      </c>
      <c r="J360" s="1" t="str">
        <f aca="false">IF(Brasil!C360="","",Brasil!D360*Brasil!H360)</f>
        <v/>
      </c>
      <c r="K360" s="1" t="str">
        <f aca="false">IF(Brasil!C360="","","BR")</f>
        <v/>
      </c>
      <c r="L360" s="1" t="str">
        <f aca="false">IF(Brasil!C360="","",IFERROR(INDEX(Gamma_Catalogo!$D$3:$D$1451,MATCH(Brasil!E360,Gamma_Catalogo!$A$3:$A$1451,0)),"Revisar Ip Code"))</f>
        <v/>
      </c>
      <c r="M360" s="1" t="str">
        <f aca="false">IF(Brasil!C360="","",IFERROR(INDEX(Gamma_Catalogo!$C$3:$C$1451,MATCH(Brasil!E360,Gamma_Catalogo!$A$3:$A$1451,0)),"Revisar Ip Code"))</f>
        <v/>
      </c>
      <c r="N360" s="1" t="str">
        <f aca="false">IF(Brasil!C360="","",IFERROR(INDEX(Gamma_Catalogo!$E$3:$E$1451,MATCH(Brasil!E360,Gamma_Catalogo!$A$3:$A$1451,0)),"Revisar Ip Code"))</f>
        <v/>
      </c>
      <c r="O360" s="1" t="str">
        <f aca="false">IF(Brasil!C360="","","Brasil")</f>
        <v/>
      </c>
    </row>
    <row r="361" customFormat="false" ht="15" hidden="false" customHeight="true" outlineLevel="0" collapsed="false">
      <c r="A361" s="1" t="str">
        <f aca="false">IF(Brasil!C361="","",IFERROR(INDEX(Mercados!$C$2:$C$32,MATCH(Brasil!B361,Mercados!$A$2:$A$32,0)),"Revisar Tscode"))</f>
        <v/>
      </c>
      <c r="B361" s="1" t="str">
        <f aca="false">IF(Brasil!C361="","",Brasil!C361)</f>
        <v/>
      </c>
      <c r="C361" s="1" t="str">
        <f aca="false">IF(Brasil!C361="","",Brasil!A361)</f>
        <v/>
      </c>
      <c r="D361" s="1" t="str">
        <f aca="false">IF(Brasil!C361="","",Brasil!E361)</f>
        <v/>
      </c>
      <c r="E361" s="1" t="str">
        <f aca="false">IF(Brasil!C361="","",Brasil!F361)</f>
        <v/>
      </c>
      <c r="F361" s="1" t="str">
        <f aca="false">IF(Brasil!C361="","",Brasil!D361)</f>
        <v/>
      </c>
      <c r="I361" s="1" t="str">
        <f aca="false">IF(Brasil!C361="","",Brasil!H361)</f>
        <v/>
      </c>
      <c r="J361" s="1" t="str">
        <f aca="false">IF(Brasil!C361="","",Brasil!D361*Brasil!H361)</f>
        <v/>
      </c>
      <c r="K361" s="1" t="str">
        <f aca="false">IF(Brasil!C361="","","BR")</f>
        <v/>
      </c>
      <c r="L361" s="1" t="str">
        <f aca="false">IF(Brasil!C361="","",IFERROR(INDEX(Gamma_Catalogo!$D$3:$D$1451,MATCH(Brasil!E361,Gamma_Catalogo!$A$3:$A$1451,0)),"Revisar Ip Code"))</f>
        <v/>
      </c>
      <c r="M361" s="1" t="str">
        <f aca="false">IF(Brasil!C361="","",IFERROR(INDEX(Gamma_Catalogo!$C$3:$C$1451,MATCH(Brasil!E361,Gamma_Catalogo!$A$3:$A$1451,0)),"Revisar Ip Code"))</f>
        <v/>
      </c>
      <c r="N361" s="1" t="str">
        <f aca="false">IF(Brasil!C361="","",IFERROR(INDEX(Gamma_Catalogo!$E$3:$E$1451,MATCH(Brasil!E361,Gamma_Catalogo!$A$3:$A$1451,0)),"Revisar Ip Code"))</f>
        <v/>
      </c>
      <c r="O361" s="1" t="str">
        <f aca="false">IF(Brasil!C361="","","Brasil")</f>
        <v/>
      </c>
    </row>
    <row r="362" customFormat="false" ht="15" hidden="false" customHeight="true" outlineLevel="0" collapsed="false">
      <c r="A362" s="1" t="str">
        <f aca="false">IF(Brasil!C362="","",IFERROR(INDEX(Mercados!$C$2:$C$32,MATCH(Brasil!B362,Mercados!$A$2:$A$32,0)),"Revisar Tscode"))</f>
        <v/>
      </c>
      <c r="B362" s="1" t="str">
        <f aca="false">IF(Brasil!C362="","",Brasil!C362)</f>
        <v/>
      </c>
      <c r="C362" s="1" t="str">
        <f aca="false">IF(Brasil!C362="","",Brasil!A362)</f>
        <v/>
      </c>
      <c r="D362" s="1" t="str">
        <f aca="false">IF(Brasil!C362="","",Brasil!E362)</f>
        <v/>
      </c>
      <c r="E362" s="1" t="str">
        <f aca="false">IF(Brasil!C362="","",Brasil!F362)</f>
        <v/>
      </c>
      <c r="F362" s="1" t="str">
        <f aca="false">IF(Brasil!C362="","",Brasil!D362)</f>
        <v/>
      </c>
      <c r="I362" s="1" t="str">
        <f aca="false">IF(Brasil!C362="","",Brasil!H362)</f>
        <v/>
      </c>
      <c r="J362" s="1" t="str">
        <f aca="false">IF(Brasil!C362="","",Brasil!D362*Brasil!H362)</f>
        <v/>
      </c>
      <c r="K362" s="1" t="str">
        <f aca="false">IF(Brasil!C362="","","BR")</f>
        <v/>
      </c>
      <c r="L362" s="1" t="str">
        <f aca="false">IF(Brasil!C362="","",IFERROR(INDEX(Gamma_Catalogo!$D$3:$D$1451,MATCH(Brasil!E362,Gamma_Catalogo!$A$3:$A$1451,0)),"Revisar Ip Code"))</f>
        <v/>
      </c>
      <c r="M362" s="1" t="str">
        <f aca="false">IF(Brasil!C362="","",IFERROR(INDEX(Gamma_Catalogo!$C$3:$C$1451,MATCH(Brasil!E362,Gamma_Catalogo!$A$3:$A$1451,0)),"Revisar Ip Code"))</f>
        <v/>
      </c>
      <c r="N362" s="1" t="str">
        <f aca="false">IF(Brasil!C362="","",IFERROR(INDEX(Gamma_Catalogo!$E$3:$E$1451,MATCH(Brasil!E362,Gamma_Catalogo!$A$3:$A$1451,0)),"Revisar Ip Code"))</f>
        <v/>
      </c>
      <c r="O362" s="1" t="str">
        <f aca="false">IF(Brasil!C362="","","Brasil")</f>
        <v/>
      </c>
    </row>
    <row r="363" customFormat="false" ht="15" hidden="false" customHeight="true" outlineLevel="0" collapsed="false">
      <c r="A363" s="1" t="str">
        <f aca="false">IF(Brasil!C363="","",IFERROR(INDEX(Mercados!$C$2:$C$32,MATCH(Brasil!B363,Mercados!$A$2:$A$32,0)),"Revisar Tscode"))</f>
        <v/>
      </c>
      <c r="B363" s="1" t="str">
        <f aca="false">IF(Brasil!C363="","",Brasil!C363)</f>
        <v/>
      </c>
      <c r="C363" s="1" t="str">
        <f aca="false">IF(Brasil!C363="","",Brasil!A363)</f>
        <v/>
      </c>
      <c r="D363" s="1" t="str">
        <f aca="false">IF(Brasil!C363="","",Brasil!E363)</f>
        <v/>
      </c>
      <c r="E363" s="1" t="str">
        <f aca="false">IF(Brasil!C363="","",Brasil!F363)</f>
        <v/>
      </c>
      <c r="F363" s="1" t="str">
        <f aca="false">IF(Brasil!C363="","",Brasil!D363)</f>
        <v/>
      </c>
      <c r="I363" s="1" t="str">
        <f aca="false">IF(Brasil!C363="","",Brasil!H363)</f>
        <v/>
      </c>
      <c r="J363" s="1" t="str">
        <f aca="false">IF(Brasil!C363="","",Brasil!D363*Brasil!H363)</f>
        <v/>
      </c>
      <c r="K363" s="1" t="str">
        <f aca="false">IF(Brasil!C363="","","BR")</f>
        <v/>
      </c>
      <c r="L363" s="1" t="str">
        <f aca="false">IF(Brasil!C363="","",IFERROR(INDEX(Gamma_Catalogo!$D$3:$D$1451,MATCH(Brasil!E363,Gamma_Catalogo!$A$3:$A$1451,0)),"Revisar Ip Code"))</f>
        <v/>
      </c>
      <c r="M363" s="1" t="str">
        <f aca="false">IF(Brasil!C363="","",IFERROR(INDEX(Gamma_Catalogo!$C$3:$C$1451,MATCH(Brasil!E363,Gamma_Catalogo!$A$3:$A$1451,0)),"Revisar Ip Code"))</f>
        <v/>
      </c>
      <c r="N363" s="1" t="str">
        <f aca="false">IF(Brasil!C363="","",IFERROR(INDEX(Gamma_Catalogo!$E$3:$E$1451,MATCH(Brasil!E363,Gamma_Catalogo!$A$3:$A$1451,0)),"Revisar Ip Code"))</f>
        <v/>
      </c>
      <c r="O363" s="1" t="str">
        <f aca="false">IF(Brasil!C363="","","Brasil")</f>
        <v/>
      </c>
    </row>
    <row r="364" customFormat="false" ht="15" hidden="false" customHeight="true" outlineLevel="0" collapsed="false">
      <c r="A364" s="1" t="str">
        <f aca="false">IF(Brasil!C364="","",IFERROR(INDEX(Mercados!$C$2:$C$32,MATCH(Brasil!B364,Mercados!$A$2:$A$32,0)),"Revisar Tscode"))</f>
        <v/>
      </c>
      <c r="B364" s="1" t="str">
        <f aca="false">IF(Brasil!C364="","",Brasil!C364)</f>
        <v/>
      </c>
      <c r="C364" s="1" t="str">
        <f aca="false">IF(Brasil!C364="","",Brasil!A364)</f>
        <v/>
      </c>
      <c r="D364" s="1" t="str">
        <f aca="false">IF(Brasil!C364="","",Brasil!E364)</f>
        <v/>
      </c>
      <c r="E364" s="1" t="str">
        <f aca="false">IF(Brasil!C364="","",Brasil!F364)</f>
        <v/>
      </c>
      <c r="F364" s="1" t="str">
        <f aca="false">IF(Brasil!C364="","",Brasil!D364)</f>
        <v/>
      </c>
      <c r="I364" s="1" t="str">
        <f aca="false">IF(Brasil!C364="","",Brasil!H364)</f>
        <v/>
      </c>
      <c r="J364" s="1" t="str">
        <f aca="false">IF(Brasil!C364="","",Brasil!D364*Brasil!H364)</f>
        <v/>
      </c>
      <c r="K364" s="1" t="str">
        <f aca="false">IF(Brasil!C364="","","BR")</f>
        <v/>
      </c>
      <c r="L364" s="1" t="str">
        <f aca="false">IF(Brasil!C364="","",IFERROR(INDEX(Gamma_Catalogo!$D$3:$D$1451,MATCH(Brasil!E364,Gamma_Catalogo!$A$3:$A$1451,0)),"Revisar Ip Code"))</f>
        <v/>
      </c>
      <c r="M364" s="1" t="str">
        <f aca="false">IF(Brasil!C364="","",IFERROR(INDEX(Gamma_Catalogo!$C$3:$C$1451,MATCH(Brasil!E364,Gamma_Catalogo!$A$3:$A$1451,0)),"Revisar Ip Code"))</f>
        <v/>
      </c>
      <c r="N364" s="1" t="str">
        <f aca="false">IF(Brasil!C364="","",IFERROR(INDEX(Gamma_Catalogo!$E$3:$E$1451,MATCH(Brasil!E364,Gamma_Catalogo!$A$3:$A$1451,0)),"Revisar Ip Code"))</f>
        <v/>
      </c>
      <c r="O364" s="1" t="str">
        <f aca="false">IF(Brasil!C364="","","Brasil")</f>
        <v/>
      </c>
    </row>
    <row r="365" customFormat="false" ht="15" hidden="false" customHeight="true" outlineLevel="0" collapsed="false">
      <c r="A365" s="1" t="str">
        <f aca="false">IF(Brasil!C365="","",IFERROR(INDEX(Mercados!$C$2:$C$32,MATCH(Brasil!B365,Mercados!$A$2:$A$32,0)),"Revisar Tscode"))</f>
        <v/>
      </c>
      <c r="B365" s="1" t="str">
        <f aca="false">IF(Brasil!C365="","",Brasil!C365)</f>
        <v/>
      </c>
      <c r="C365" s="1" t="str">
        <f aca="false">IF(Brasil!C365="","",Brasil!A365)</f>
        <v/>
      </c>
      <c r="D365" s="1" t="str">
        <f aca="false">IF(Brasil!C365="","",Brasil!E365)</f>
        <v/>
      </c>
      <c r="E365" s="1" t="str">
        <f aca="false">IF(Brasil!C365="","",Brasil!F365)</f>
        <v/>
      </c>
      <c r="F365" s="1" t="str">
        <f aca="false">IF(Brasil!C365="","",Brasil!D365)</f>
        <v/>
      </c>
      <c r="I365" s="1" t="str">
        <f aca="false">IF(Brasil!C365="","",Brasil!H365)</f>
        <v/>
      </c>
      <c r="J365" s="1" t="str">
        <f aca="false">IF(Brasil!C365="","",Brasil!D365*Brasil!H365)</f>
        <v/>
      </c>
      <c r="K365" s="1" t="str">
        <f aca="false">IF(Brasil!C365="","","BR")</f>
        <v/>
      </c>
      <c r="L365" s="1" t="str">
        <f aca="false">IF(Brasil!C365="","",IFERROR(INDEX(Gamma_Catalogo!$D$3:$D$1451,MATCH(Brasil!E365,Gamma_Catalogo!$A$3:$A$1451,0)),"Revisar Ip Code"))</f>
        <v/>
      </c>
      <c r="M365" s="1" t="str">
        <f aca="false">IF(Brasil!C365="","",IFERROR(INDEX(Gamma_Catalogo!$C$3:$C$1451,MATCH(Brasil!E365,Gamma_Catalogo!$A$3:$A$1451,0)),"Revisar Ip Code"))</f>
        <v/>
      </c>
      <c r="N365" s="1" t="str">
        <f aca="false">IF(Brasil!C365="","",IFERROR(INDEX(Gamma_Catalogo!$E$3:$E$1451,MATCH(Brasil!E365,Gamma_Catalogo!$A$3:$A$1451,0)),"Revisar Ip Code"))</f>
        <v/>
      </c>
      <c r="O365" s="1" t="str">
        <f aca="false">IF(Brasil!C365="","","Brasil")</f>
        <v/>
      </c>
    </row>
    <row r="366" customFormat="false" ht="15" hidden="false" customHeight="true" outlineLevel="0" collapsed="false">
      <c r="A366" s="1" t="str">
        <f aca="false">IF(Brasil!C366="","",IFERROR(INDEX(Mercados!$C$2:$C$32,MATCH(Brasil!B366,Mercados!$A$2:$A$32,0)),"Revisar Tscode"))</f>
        <v/>
      </c>
      <c r="B366" s="1" t="str">
        <f aca="false">IF(Brasil!C366="","",Brasil!C366)</f>
        <v/>
      </c>
      <c r="C366" s="1" t="str">
        <f aca="false">IF(Brasil!C366="","",Brasil!A366)</f>
        <v/>
      </c>
      <c r="D366" s="1" t="str">
        <f aca="false">IF(Brasil!C366="","",Brasil!E366)</f>
        <v/>
      </c>
      <c r="E366" s="1" t="str">
        <f aca="false">IF(Brasil!C366="","",Brasil!F366)</f>
        <v/>
      </c>
      <c r="F366" s="1" t="str">
        <f aca="false">IF(Brasil!C366="","",Brasil!D366)</f>
        <v/>
      </c>
      <c r="I366" s="1" t="str">
        <f aca="false">IF(Brasil!C366="","",Brasil!H366)</f>
        <v/>
      </c>
      <c r="J366" s="1" t="str">
        <f aca="false">IF(Brasil!C366="","",Brasil!D366*Brasil!H366)</f>
        <v/>
      </c>
      <c r="K366" s="1" t="str">
        <f aca="false">IF(Brasil!C366="","","BR")</f>
        <v/>
      </c>
      <c r="L366" s="1" t="str">
        <f aca="false">IF(Brasil!C366="","",IFERROR(INDEX(Gamma_Catalogo!$D$3:$D$1451,MATCH(Brasil!E366,Gamma_Catalogo!$A$3:$A$1451,0)),"Revisar Ip Code"))</f>
        <v/>
      </c>
      <c r="M366" s="1" t="str">
        <f aca="false">IF(Brasil!C366="","",IFERROR(INDEX(Gamma_Catalogo!$C$3:$C$1451,MATCH(Brasil!E366,Gamma_Catalogo!$A$3:$A$1451,0)),"Revisar Ip Code"))</f>
        <v/>
      </c>
      <c r="N366" s="1" t="str">
        <f aca="false">IF(Brasil!C366="","",IFERROR(INDEX(Gamma_Catalogo!$E$3:$E$1451,MATCH(Brasil!E366,Gamma_Catalogo!$A$3:$A$1451,0)),"Revisar Ip Code"))</f>
        <v/>
      </c>
      <c r="O366" s="1" t="str">
        <f aca="false">IF(Brasil!C366="","","Brasil")</f>
        <v/>
      </c>
    </row>
    <row r="367" customFormat="false" ht="15" hidden="false" customHeight="true" outlineLevel="0" collapsed="false">
      <c r="A367" s="1" t="str">
        <f aca="false">IF(Brasil!C367="","",IFERROR(INDEX(Mercados!$C$2:$C$32,MATCH(Brasil!B367,Mercados!$A$2:$A$32,0)),"Revisar Tscode"))</f>
        <v/>
      </c>
      <c r="B367" s="1" t="str">
        <f aca="false">IF(Brasil!C367="","",Brasil!C367)</f>
        <v/>
      </c>
      <c r="C367" s="1" t="str">
        <f aca="false">IF(Brasil!C367="","",Brasil!A367)</f>
        <v/>
      </c>
      <c r="D367" s="1" t="str">
        <f aca="false">IF(Brasil!C367="","",Brasil!E367)</f>
        <v/>
      </c>
      <c r="E367" s="1" t="str">
        <f aca="false">IF(Brasil!C367="","",Brasil!F367)</f>
        <v/>
      </c>
      <c r="F367" s="1" t="str">
        <f aca="false">IF(Brasil!C367="","",Brasil!D367)</f>
        <v/>
      </c>
      <c r="I367" s="1" t="str">
        <f aca="false">IF(Brasil!C367="","",Brasil!H367)</f>
        <v/>
      </c>
      <c r="J367" s="1" t="str">
        <f aca="false">IF(Brasil!C367="","",Brasil!D367*Brasil!H367)</f>
        <v/>
      </c>
      <c r="K367" s="1" t="str">
        <f aca="false">IF(Brasil!C367="","","BR")</f>
        <v/>
      </c>
      <c r="L367" s="1" t="str">
        <f aca="false">IF(Brasil!C367="","",IFERROR(INDEX(Gamma_Catalogo!$D$3:$D$1451,MATCH(Brasil!E367,Gamma_Catalogo!$A$3:$A$1451,0)),"Revisar Ip Code"))</f>
        <v/>
      </c>
      <c r="M367" s="1" t="str">
        <f aca="false">IF(Brasil!C367="","",IFERROR(INDEX(Gamma_Catalogo!$C$3:$C$1451,MATCH(Brasil!E367,Gamma_Catalogo!$A$3:$A$1451,0)),"Revisar Ip Code"))</f>
        <v/>
      </c>
      <c r="N367" s="1" t="str">
        <f aca="false">IF(Brasil!C367="","",IFERROR(INDEX(Gamma_Catalogo!$E$3:$E$1451,MATCH(Brasil!E367,Gamma_Catalogo!$A$3:$A$1451,0)),"Revisar Ip Code"))</f>
        <v/>
      </c>
      <c r="O367" s="1" t="str">
        <f aca="false">IF(Brasil!C367="","","Brasil")</f>
        <v/>
      </c>
    </row>
    <row r="368" customFormat="false" ht="15" hidden="false" customHeight="true" outlineLevel="0" collapsed="false">
      <c r="A368" s="1" t="str">
        <f aca="false">IF(Brasil!C368="","",IFERROR(INDEX(Mercados!$C$2:$C$32,MATCH(Brasil!B368,Mercados!$A$2:$A$32,0)),"Revisar Tscode"))</f>
        <v/>
      </c>
      <c r="B368" s="1" t="str">
        <f aca="false">IF(Brasil!C368="","",Brasil!C368)</f>
        <v/>
      </c>
      <c r="C368" s="1" t="str">
        <f aca="false">IF(Brasil!C368="","",Brasil!A368)</f>
        <v/>
      </c>
      <c r="D368" s="1" t="str">
        <f aca="false">IF(Brasil!C368="","",Brasil!E368)</f>
        <v/>
      </c>
      <c r="E368" s="1" t="str">
        <f aca="false">IF(Brasil!C368="","",Brasil!F368)</f>
        <v/>
      </c>
      <c r="F368" s="1" t="str">
        <f aca="false">IF(Brasil!C368="","",Brasil!D368)</f>
        <v/>
      </c>
      <c r="I368" s="1" t="str">
        <f aca="false">IF(Brasil!C368="","",Brasil!H368)</f>
        <v/>
      </c>
      <c r="J368" s="1" t="str">
        <f aca="false">IF(Brasil!C368="","",Brasil!D368*Brasil!H368)</f>
        <v/>
      </c>
      <c r="K368" s="1" t="str">
        <f aca="false">IF(Brasil!C368="","","BR")</f>
        <v/>
      </c>
      <c r="L368" s="1" t="str">
        <f aca="false">IF(Brasil!C368="","",IFERROR(INDEX(Gamma_Catalogo!$D$3:$D$1451,MATCH(Brasil!E368,Gamma_Catalogo!$A$3:$A$1451,0)),"Revisar Ip Code"))</f>
        <v/>
      </c>
      <c r="M368" s="1" t="str">
        <f aca="false">IF(Brasil!C368="","",IFERROR(INDEX(Gamma_Catalogo!$C$3:$C$1451,MATCH(Brasil!E368,Gamma_Catalogo!$A$3:$A$1451,0)),"Revisar Ip Code"))</f>
        <v/>
      </c>
      <c r="N368" s="1" t="str">
        <f aca="false">IF(Brasil!C368="","",IFERROR(INDEX(Gamma_Catalogo!$E$3:$E$1451,MATCH(Brasil!E368,Gamma_Catalogo!$A$3:$A$1451,0)),"Revisar Ip Code"))</f>
        <v/>
      </c>
      <c r="O368" s="1" t="str">
        <f aca="false">IF(Brasil!C368="","","Brasil")</f>
        <v/>
      </c>
    </row>
    <row r="369" customFormat="false" ht="15" hidden="false" customHeight="true" outlineLevel="0" collapsed="false">
      <c r="A369" s="1" t="str">
        <f aca="false">IF(Brasil!C369="","",IFERROR(INDEX(Mercados!$C$2:$C$32,MATCH(Brasil!B369,Mercados!$A$2:$A$32,0)),"Revisar Tscode"))</f>
        <v/>
      </c>
      <c r="B369" s="1" t="str">
        <f aca="false">IF(Brasil!C369="","",Brasil!C369)</f>
        <v/>
      </c>
      <c r="C369" s="1" t="str">
        <f aca="false">IF(Brasil!C369="","",Brasil!A369)</f>
        <v/>
      </c>
      <c r="D369" s="1" t="str">
        <f aca="false">IF(Brasil!C369="","",Brasil!E369)</f>
        <v/>
      </c>
      <c r="E369" s="1" t="str">
        <f aca="false">IF(Brasil!C369="","",Brasil!F369)</f>
        <v/>
      </c>
      <c r="F369" s="1" t="str">
        <f aca="false">IF(Brasil!C369="","",Brasil!D369)</f>
        <v/>
      </c>
      <c r="I369" s="1" t="str">
        <f aca="false">IF(Brasil!C369="","",Brasil!H369)</f>
        <v/>
      </c>
      <c r="J369" s="1" t="str">
        <f aca="false">IF(Brasil!C369="","",Brasil!D369*Brasil!H369)</f>
        <v/>
      </c>
      <c r="K369" s="1" t="str">
        <f aca="false">IF(Brasil!C369="","","BR")</f>
        <v/>
      </c>
      <c r="L369" s="1" t="str">
        <f aca="false">IF(Brasil!C369="","",IFERROR(INDEX(Gamma_Catalogo!$D$3:$D$1451,MATCH(Brasil!E369,Gamma_Catalogo!$A$3:$A$1451,0)),"Revisar Ip Code"))</f>
        <v/>
      </c>
      <c r="M369" s="1" t="str">
        <f aca="false">IF(Brasil!C369="","",IFERROR(INDEX(Gamma_Catalogo!$C$3:$C$1451,MATCH(Brasil!E369,Gamma_Catalogo!$A$3:$A$1451,0)),"Revisar Ip Code"))</f>
        <v/>
      </c>
      <c r="N369" s="1" t="str">
        <f aca="false">IF(Brasil!C369="","",IFERROR(INDEX(Gamma_Catalogo!$E$3:$E$1451,MATCH(Brasil!E369,Gamma_Catalogo!$A$3:$A$1451,0)),"Revisar Ip Code"))</f>
        <v/>
      </c>
      <c r="O369" s="1" t="str">
        <f aca="false">IF(Brasil!C369="","","Brasil")</f>
        <v/>
      </c>
    </row>
    <row r="370" customFormat="false" ht="15" hidden="false" customHeight="true" outlineLevel="0" collapsed="false">
      <c r="A370" s="1" t="str">
        <f aca="false">IF(Brasil!C370="","",IFERROR(INDEX(Mercados!$C$2:$C$32,MATCH(Brasil!B370,Mercados!$A$2:$A$32,0)),"Revisar Tscode"))</f>
        <v/>
      </c>
      <c r="B370" s="1" t="str">
        <f aca="false">IF(Brasil!C370="","",Brasil!C370)</f>
        <v/>
      </c>
      <c r="C370" s="1" t="str">
        <f aca="false">IF(Brasil!C370="","",Brasil!A370)</f>
        <v/>
      </c>
      <c r="D370" s="1" t="str">
        <f aca="false">IF(Brasil!C370="","",Brasil!E370)</f>
        <v/>
      </c>
      <c r="E370" s="1" t="str">
        <f aca="false">IF(Brasil!C370="","",Brasil!F370)</f>
        <v/>
      </c>
      <c r="F370" s="1" t="str">
        <f aca="false">IF(Brasil!C370="","",Brasil!D370)</f>
        <v/>
      </c>
      <c r="I370" s="1" t="str">
        <f aca="false">IF(Brasil!C370="","",Brasil!H370)</f>
        <v/>
      </c>
      <c r="J370" s="1" t="str">
        <f aca="false">IF(Brasil!C370="","",Brasil!D370*Brasil!H370)</f>
        <v/>
      </c>
      <c r="K370" s="1" t="str">
        <f aca="false">IF(Brasil!C370="","","BR")</f>
        <v/>
      </c>
      <c r="L370" s="1" t="str">
        <f aca="false">IF(Brasil!C370="","",IFERROR(INDEX(Gamma_Catalogo!$D$3:$D$1451,MATCH(Brasil!E370,Gamma_Catalogo!$A$3:$A$1451,0)),"Revisar Ip Code"))</f>
        <v/>
      </c>
      <c r="M370" s="1" t="str">
        <f aca="false">IF(Brasil!C370="","",IFERROR(INDEX(Gamma_Catalogo!$C$3:$C$1451,MATCH(Brasil!E370,Gamma_Catalogo!$A$3:$A$1451,0)),"Revisar Ip Code"))</f>
        <v/>
      </c>
      <c r="N370" s="1" t="str">
        <f aca="false">IF(Brasil!C370="","",IFERROR(INDEX(Gamma_Catalogo!$E$3:$E$1451,MATCH(Brasil!E370,Gamma_Catalogo!$A$3:$A$1451,0)),"Revisar Ip Code"))</f>
        <v/>
      </c>
      <c r="O370" s="1" t="str">
        <f aca="false">IF(Brasil!C370="","","Brasil")</f>
        <v/>
      </c>
    </row>
    <row r="371" customFormat="false" ht="15" hidden="false" customHeight="true" outlineLevel="0" collapsed="false">
      <c r="A371" s="1" t="str">
        <f aca="false">IF(Brasil!C371="","",IFERROR(INDEX(Mercados!$C$2:$C$32,MATCH(Brasil!B371,Mercados!$A$2:$A$32,0)),"Revisar Tscode"))</f>
        <v/>
      </c>
      <c r="B371" s="1" t="str">
        <f aca="false">IF(Brasil!C371="","",Brasil!C371)</f>
        <v/>
      </c>
      <c r="C371" s="1" t="str">
        <f aca="false">IF(Brasil!C371="","",Brasil!A371)</f>
        <v/>
      </c>
      <c r="D371" s="1" t="str">
        <f aca="false">IF(Brasil!C371="","",Brasil!E371)</f>
        <v/>
      </c>
      <c r="E371" s="1" t="str">
        <f aca="false">IF(Brasil!C371="","",Brasil!F371)</f>
        <v/>
      </c>
      <c r="F371" s="1" t="str">
        <f aca="false">IF(Brasil!C371="","",Brasil!D371)</f>
        <v/>
      </c>
      <c r="I371" s="1" t="str">
        <f aca="false">IF(Brasil!C371="","",Brasil!H371)</f>
        <v/>
      </c>
      <c r="J371" s="1" t="str">
        <f aca="false">IF(Brasil!C371="","",Brasil!D371*Brasil!H371)</f>
        <v/>
      </c>
      <c r="K371" s="1" t="str">
        <f aca="false">IF(Brasil!C371="","","BR")</f>
        <v/>
      </c>
      <c r="L371" s="1" t="str">
        <f aca="false">IF(Brasil!C371="","",IFERROR(INDEX(Gamma_Catalogo!$D$3:$D$1451,MATCH(Brasil!E371,Gamma_Catalogo!$A$3:$A$1451,0)),"Revisar Ip Code"))</f>
        <v/>
      </c>
      <c r="M371" s="1" t="str">
        <f aca="false">IF(Brasil!C371="","",IFERROR(INDEX(Gamma_Catalogo!$C$3:$C$1451,MATCH(Brasil!E371,Gamma_Catalogo!$A$3:$A$1451,0)),"Revisar Ip Code"))</f>
        <v/>
      </c>
      <c r="N371" s="1" t="str">
        <f aca="false">IF(Brasil!C371="","",IFERROR(INDEX(Gamma_Catalogo!$E$3:$E$1451,MATCH(Brasil!E371,Gamma_Catalogo!$A$3:$A$1451,0)),"Revisar Ip Code"))</f>
        <v/>
      </c>
      <c r="O371" s="1" t="str">
        <f aca="false">IF(Brasil!C371="","","Brasil")</f>
        <v/>
      </c>
    </row>
    <row r="372" customFormat="false" ht="15" hidden="false" customHeight="true" outlineLevel="0" collapsed="false">
      <c r="A372" s="1" t="str">
        <f aca="false">IF(Brasil!C372="","",IFERROR(INDEX(Mercados!$C$2:$C$32,MATCH(Brasil!B372,Mercados!$A$2:$A$32,0)),"Revisar Tscode"))</f>
        <v/>
      </c>
      <c r="B372" s="1" t="str">
        <f aca="false">IF(Brasil!C372="","",Brasil!C372)</f>
        <v/>
      </c>
      <c r="C372" s="1" t="str">
        <f aca="false">IF(Brasil!C372="","",Brasil!A372)</f>
        <v/>
      </c>
      <c r="D372" s="1" t="str">
        <f aca="false">IF(Brasil!C372="","",Brasil!E372)</f>
        <v/>
      </c>
      <c r="E372" s="1" t="str">
        <f aca="false">IF(Brasil!C372="","",Brasil!F372)</f>
        <v/>
      </c>
      <c r="F372" s="1" t="str">
        <f aca="false">IF(Brasil!C372="","",Brasil!D372)</f>
        <v/>
      </c>
      <c r="I372" s="1" t="str">
        <f aca="false">IF(Brasil!C372="","",Brasil!H372)</f>
        <v/>
      </c>
      <c r="J372" s="1" t="str">
        <f aca="false">IF(Brasil!C372="","",Brasil!D372*Brasil!H372)</f>
        <v/>
      </c>
      <c r="K372" s="1" t="str">
        <f aca="false">IF(Brasil!C372="","","BR")</f>
        <v/>
      </c>
      <c r="L372" s="1" t="str">
        <f aca="false">IF(Brasil!C372="","",IFERROR(INDEX(Gamma_Catalogo!$D$3:$D$1451,MATCH(Brasil!E372,Gamma_Catalogo!$A$3:$A$1451,0)),"Revisar Ip Code"))</f>
        <v/>
      </c>
      <c r="M372" s="1" t="str">
        <f aca="false">IF(Brasil!C372="","",IFERROR(INDEX(Gamma_Catalogo!$C$3:$C$1451,MATCH(Brasil!E372,Gamma_Catalogo!$A$3:$A$1451,0)),"Revisar Ip Code"))</f>
        <v/>
      </c>
      <c r="N372" s="1" t="str">
        <f aca="false">IF(Brasil!C372="","",IFERROR(INDEX(Gamma_Catalogo!$E$3:$E$1451,MATCH(Brasil!E372,Gamma_Catalogo!$A$3:$A$1451,0)),"Revisar Ip Code"))</f>
        <v/>
      </c>
      <c r="O372" s="1" t="str">
        <f aca="false">IF(Brasil!C372="","","Brasil")</f>
        <v/>
      </c>
    </row>
    <row r="373" customFormat="false" ht="15" hidden="false" customHeight="true" outlineLevel="0" collapsed="false">
      <c r="A373" s="1" t="str">
        <f aca="false">IF(Brasil!C373="","",IFERROR(INDEX(Mercados!$C$2:$C$32,MATCH(Brasil!B373,Mercados!$A$2:$A$32,0)),"Revisar Tscode"))</f>
        <v/>
      </c>
      <c r="B373" s="1" t="str">
        <f aca="false">IF(Brasil!C373="","",Brasil!C373)</f>
        <v/>
      </c>
      <c r="C373" s="1" t="str">
        <f aca="false">IF(Brasil!C373="","",Brasil!A373)</f>
        <v/>
      </c>
      <c r="D373" s="1" t="str">
        <f aca="false">IF(Brasil!C373="","",Brasil!E373)</f>
        <v/>
      </c>
      <c r="E373" s="1" t="str">
        <f aca="false">IF(Brasil!C373="","",Brasil!F373)</f>
        <v/>
      </c>
      <c r="F373" s="1" t="str">
        <f aca="false">IF(Brasil!C373="","",Brasil!D373)</f>
        <v/>
      </c>
      <c r="I373" s="1" t="str">
        <f aca="false">IF(Brasil!C373="","",Brasil!H373)</f>
        <v/>
      </c>
      <c r="J373" s="1" t="str">
        <f aca="false">IF(Brasil!C373="","",Brasil!D373*Brasil!H373)</f>
        <v/>
      </c>
      <c r="K373" s="1" t="str">
        <f aca="false">IF(Brasil!C373="","","BR")</f>
        <v/>
      </c>
      <c r="L373" s="1" t="str">
        <f aca="false">IF(Brasil!C373="","",IFERROR(INDEX(Gamma_Catalogo!$D$3:$D$1451,MATCH(Brasil!E373,Gamma_Catalogo!$A$3:$A$1451,0)),"Revisar Ip Code"))</f>
        <v/>
      </c>
      <c r="M373" s="1" t="str">
        <f aca="false">IF(Brasil!C373="","",IFERROR(INDEX(Gamma_Catalogo!$C$3:$C$1451,MATCH(Brasil!E373,Gamma_Catalogo!$A$3:$A$1451,0)),"Revisar Ip Code"))</f>
        <v/>
      </c>
      <c r="N373" s="1" t="str">
        <f aca="false">IF(Brasil!C373="","",IFERROR(INDEX(Gamma_Catalogo!$E$3:$E$1451,MATCH(Brasil!E373,Gamma_Catalogo!$A$3:$A$1451,0)),"Revisar Ip Code"))</f>
        <v/>
      </c>
      <c r="O373" s="1" t="str">
        <f aca="false">IF(Brasil!C373="","","Brasil")</f>
        <v/>
      </c>
    </row>
    <row r="374" customFormat="false" ht="15" hidden="false" customHeight="true" outlineLevel="0" collapsed="false">
      <c r="A374" s="1" t="str">
        <f aca="false">IF(Brasil!C374="","",IFERROR(INDEX(Mercados!$C$2:$C$32,MATCH(Brasil!B374,Mercados!$A$2:$A$32,0)),"Revisar Tscode"))</f>
        <v/>
      </c>
      <c r="B374" s="1" t="str">
        <f aca="false">IF(Brasil!C374="","",Brasil!C374)</f>
        <v/>
      </c>
      <c r="C374" s="1" t="str">
        <f aca="false">IF(Brasil!C374="","",Brasil!A374)</f>
        <v/>
      </c>
      <c r="D374" s="1" t="str">
        <f aca="false">IF(Brasil!C374="","",Brasil!E374)</f>
        <v/>
      </c>
      <c r="E374" s="1" t="str">
        <f aca="false">IF(Brasil!C374="","",Brasil!F374)</f>
        <v/>
      </c>
      <c r="F374" s="1" t="str">
        <f aca="false">IF(Brasil!C374="","",Brasil!D374)</f>
        <v/>
      </c>
      <c r="I374" s="1" t="str">
        <f aca="false">IF(Brasil!C374="","",Brasil!H374)</f>
        <v/>
      </c>
      <c r="J374" s="1" t="str">
        <f aca="false">IF(Brasil!C374="","",Brasil!D374*Brasil!H374)</f>
        <v/>
      </c>
      <c r="K374" s="1" t="str">
        <f aca="false">IF(Brasil!C374="","","BR")</f>
        <v/>
      </c>
      <c r="L374" s="1" t="str">
        <f aca="false">IF(Brasil!C374="","",IFERROR(INDEX(Gamma_Catalogo!$D$3:$D$1451,MATCH(Brasil!E374,Gamma_Catalogo!$A$3:$A$1451,0)),"Revisar Ip Code"))</f>
        <v/>
      </c>
      <c r="M374" s="1" t="str">
        <f aca="false">IF(Brasil!C374="","",IFERROR(INDEX(Gamma_Catalogo!$C$3:$C$1451,MATCH(Brasil!E374,Gamma_Catalogo!$A$3:$A$1451,0)),"Revisar Ip Code"))</f>
        <v/>
      </c>
      <c r="N374" s="1" t="str">
        <f aca="false">IF(Brasil!C374="","",IFERROR(INDEX(Gamma_Catalogo!$E$3:$E$1451,MATCH(Brasil!E374,Gamma_Catalogo!$A$3:$A$1451,0)),"Revisar Ip Code"))</f>
        <v/>
      </c>
      <c r="O374" s="1" t="str">
        <f aca="false">IF(Brasil!C374="","","Brasil")</f>
        <v/>
      </c>
    </row>
    <row r="375" customFormat="false" ht="15" hidden="false" customHeight="true" outlineLevel="0" collapsed="false">
      <c r="A375" s="1" t="str">
        <f aca="false">IF(Brasil!C375="","",IFERROR(INDEX(Mercados!$C$2:$C$32,MATCH(Brasil!B375,Mercados!$A$2:$A$32,0)),"Revisar Tscode"))</f>
        <v/>
      </c>
      <c r="B375" s="1" t="str">
        <f aca="false">IF(Brasil!C375="","",Brasil!C375)</f>
        <v/>
      </c>
      <c r="C375" s="1" t="str">
        <f aca="false">IF(Brasil!C375="","",Brasil!A375)</f>
        <v/>
      </c>
      <c r="D375" s="1" t="str">
        <f aca="false">IF(Brasil!C375="","",Brasil!E375)</f>
        <v/>
      </c>
      <c r="E375" s="1" t="str">
        <f aca="false">IF(Brasil!C375="","",Brasil!F375)</f>
        <v/>
      </c>
      <c r="F375" s="1" t="str">
        <f aca="false">IF(Brasil!C375="","",Brasil!D375)</f>
        <v/>
      </c>
      <c r="I375" s="1" t="str">
        <f aca="false">IF(Brasil!C375="","",Brasil!H375)</f>
        <v/>
      </c>
      <c r="J375" s="1" t="str">
        <f aca="false">IF(Brasil!C375="","",Brasil!D375*Brasil!H375)</f>
        <v/>
      </c>
      <c r="K375" s="1" t="str">
        <f aca="false">IF(Brasil!C375="","","BR")</f>
        <v/>
      </c>
      <c r="L375" s="1" t="str">
        <f aca="false">IF(Brasil!C375="","",IFERROR(INDEX(Gamma_Catalogo!$D$3:$D$1451,MATCH(Brasil!E375,Gamma_Catalogo!$A$3:$A$1451,0)),"Revisar Ip Code"))</f>
        <v/>
      </c>
      <c r="M375" s="1" t="str">
        <f aca="false">IF(Brasil!C375="","",IFERROR(INDEX(Gamma_Catalogo!$C$3:$C$1451,MATCH(Brasil!E375,Gamma_Catalogo!$A$3:$A$1451,0)),"Revisar Ip Code"))</f>
        <v/>
      </c>
      <c r="N375" s="1" t="str">
        <f aca="false">IF(Brasil!C375="","",IFERROR(INDEX(Gamma_Catalogo!$E$3:$E$1451,MATCH(Brasil!E375,Gamma_Catalogo!$A$3:$A$1451,0)),"Revisar Ip Code"))</f>
        <v/>
      </c>
      <c r="O375" s="1" t="str">
        <f aca="false">IF(Brasil!C375="","","Brasil")</f>
        <v/>
      </c>
    </row>
    <row r="376" customFormat="false" ht="15" hidden="false" customHeight="true" outlineLevel="0" collapsed="false">
      <c r="A376" s="1" t="str">
        <f aca="false">IF(Brasil!C376="","",IFERROR(INDEX(Mercados!$C$2:$C$32,MATCH(Brasil!B376,Mercados!$A$2:$A$32,0)),"Revisar Tscode"))</f>
        <v/>
      </c>
      <c r="B376" s="1" t="str">
        <f aca="false">IF(Brasil!C376="","",Brasil!C376)</f>
        <v/>
      </c>
      <c r="C376" s="1" t="str">
        <f aca="false">IF(Brasil!C376="","",Brasil!A376)</f>
        <v/>
      </c>
      <c r="D376" s="1" t="str">
        <f aca="false">IF(Brasil!C376="","",Brasil!E376)</f>
        <v/>
      </c>
      <c r="E376" s="1" t="str">
        <f aca="false">IF(Brasil!C376="","",Brasil!F376)</f>
        <v/>
      </c>
      <c r="F376" s="1" t="str">
        <f aca="false">IF(Brasil!C376="","",Brasil!D376)</f>
        <v/>
      </c>
      <c r="I376" s="1" t="str">
        <f aca="false">IF(Brasil!C376="","",Brasil!H376)</f>
        <v/>
      </c>
      <c r="J376" s="1" t="str">
        <f aca="false">IF(Brasil!C376="","",Brasil!D376*Brasil!H376)</f>
        <v/>
      </c>
      <c r="K376" s="1" t="str">
        <f aca="false">IF(Brasil!C376="","","BR")</f>
        <v/>
      </c>
      <c r="L376" s="1" t="str">
        <f aca="false">IF(Brasil!C376="","",IFERROR(INDEX(Gamma_Catalogo!$D$3:$D$1451,MATCH(Brasil!E376,Gamma_Catalogo!$A$3:$A$1451,0)),"Revisar Ip Code"))</f>
        <v/>
      </c>
      <c r="M376" s="1" t="str">
        <f aca="false">IF(Brasil!C376="","",IFERROR(INDEX(Gamma_Catalogo!$C$3:$C$1451,MATCH(Brasil!E376,Gamma_Catalogo!$A$3:$A$1451,0)),"Revisar Ip Code"))</f>
        <v/>
      </c>
      <c r="N376" s="1" t="str">
        <f aca="false">IF(Brasil!C376="","",IFERROR(INDEX(Gamma_Catalogo!$E$3:$E$1451,MATCH(Brasil!E376,Gamma_Catalogo!$A$3:$A$1451,0)),"Revisar Ip Code"))</f>
        <v/>
      </c>
      <c r="O376" s="1" t="str">
        <f aca="false">IF(Brasil!C376="","","Brasil")</f>
        <v/>
      </c>
    </row>
    <row r="377" customFormat="false" ht="15" hidden="false" customHeight="true" outlineLevel="0" collapsed="false">
      <c r="A377" s="1" t="str">
        <f aca="false">IF(Brasil!C377="","",IFERROR(INDEX(Mercados!$C$2:$C$32,MATCH(Brasil!B377,Mercados!$A$2:$A$32,0)),"Revisar Tscode"))</f>
        <v/>
      </c>
      <c r="B377" s="1" t="str">
        <f aca="false">IF(Brasil!C377="","",Brasil!C377)</f>
        <v/>
      </c>
      <c r="C377" s="1" t="str">
        <f aca="false">IF(Brasil!C377="","",Brasil!A377)</f>
        <v/>
      </c>
      <c r="D377" s="1" t="str">
        <f aca="false">IF(Brasil!C377="","",Brasil!E377)</f>
        <v/>
      </c>
      <c r="E377" s="1" t="str">
        <f aca="false">IF(Brasil!C377="","",Brasil!F377)</f>
        <v/>
      </c>
      <c r="F377" s="1" t="str">
        <f aca="false">IF(Brasil!C377="","",Brasil!D377)</f>
        <v/>
      </c>
      <c r="I377" s="1" t="str">
        <f aca="false">IF(Brasil!C377="","",Brasil!H377)</f>
        <v/>
      </c>
      <c r="J377" s="1" t="str">
        <f aca="false">IF(Brasil!C377="","",Brasil!D377*Brasil!H377)</f>
        <v/>
      </c>
      <c r="K377" s="1" t="str">
        <f aca="false">IF(Brasil!C377="","","BR")</f>
        <v/>
      </c>
      <c r="L377" s="1" t="str">
        <f aca="false">IF(Brasil!C377="","",IFERROR(INDEX(Gamma_Catalogo!$D$3:$D$1451,MATCH(Brasil!E377,Gamma_Catalogo!$A$3:$A$1451,0)),"Revisar Ip Code"))</f>
        <v/>
      </c>
      <c r="M377" s="1" t="str">
        <f aca="false">IF(Brasil!C377="","",IFERROR(INDEX(Gamma_Catalogo!$C$3:$C$1451,MATCH(Brasil!E377,Gamma_Catalogo!$A$3:$A$1451,0)),"Revisar Ip Code"))</f>
        <v/>
      </c>
      <c r="N377" s="1" t="str">
        <f aca="false">IF(Brasil!C377="","",IFERROR(INDEX(Gamma_Catalogo!$E$3:$E$1451,MATCH(Brasil!E377,Gamma_Catalogo!$A$3:$A$1451,0)),"Revisar Ip Code"))</f>
        <v/>
      </c>
      <c r="O377" s="1" t="str">
        <f aca="false">IF(Brasil!C377="","","Brasil")</f>
        <v/>
      </c>
    </row>
    <row r="378" customFormat="false" ht="15" hidden="false" customHeight="true" outlineLevel="0" collapsed="false">
      <c r="A378" s="1" t="str">
        <f aca="false">IF(Brasil!C378="","",IFERROR(INDEX(Mercados!$C$2:$C$32,MATCH(Brasil!B378,Mercados!$A$2:$A$32,0)),"Revisar Tscode"))</f>
        <v/>
      </c>
      <c r="B378" s="1" t="str">
        <f aca="false">IF(Brasil!C378="","",Brasil!C378)</f>
        <v/>
      </c>
      <c r="C378" s="1" t="str">
        <f aca="false">IF(Brasil!C378="","",Brasil!A378)</f>
        <v/>
      </c>
      <c r="D378" s="1" t="str">
        <f aca="false">IF(Brasil!C378="","",Brasil!E378)</f>
        <v/>
      </c>
      <c r="E378" s="1" t="str">
        <f aca="false">IF(Brasil!C378="","",Brasil!F378)</f>
        <v/>
      </c>
      <c r="F378" s="1" t="str">
        <f aca="false">IF(Brasil!C378="","",Brasil!D378)</f>
        <v/>
      </c>
      <c r="I378" s="1" t="str">
        <f aca="false">IF(Brasil!C378="","",Brasil!H378)</f>
        <v/>
      </c>
      <c r="J378" s="1" t="str">
        <f aca="false">IF(Brasil!C378="","",Brasil!D378*Brasil!H378)</f>
        <v/>
      </c>
      <c r="K378" s="1" t="str">
        <f aca="false">IF(Brasil!C378="","","BR")</f>
        <v/>
      </c>
      <c r="L378" s="1" t="str">
        <f aca="false">IF(Brasil!C378="","",IFERROR(INDEX(Gamma_Catalogo!$D$3:$D$1451,MATCH(Brasil!E378,Gamma_Catalogo!$A$3:$A$1451,0)),"Revisar Ip Code"))</f>
        <v/>
      </c>
      <c r="M378" s="1" t="str">
        <f aca="false">IF(Brasil!C378="","",IFERROR(INDEX(Gamma_Catalogo!$C$3:$C$1451,MATCH(Brasil!E378,Gamma_Catalogo!$A$3:$A$1451,0)),"Revisar Ip Code"))</f>
        <v/>
      </c>
      <c r="N378" s="1" t="str">
        <f aca="false">IF(Brasil!C378="","",IFERROR(INDEX(Gamma_Catalogo!$E$3:$E$1451,MATCH(Brasil!E378,Gamma_Catalogo!$A$3:$A$1451,0)),"Revisar Ip Code"))</f>
        <v/>
      </c>
      <c r="O378" s="1" t="str">
        <f aca="false">IF(Brasil!C378="","","Brasil")</f>
        <v/>
      </c>
    </row>
    <row r="379" customFormat="false" ht="15" hidden="false" customHeight="true" outlineLevel="0" collapsed="false">
      <c r="A379" s="1" t="str">
        <f aca="false">IF(Brasil!C379="","",IFERROR(INDEX(Mercados!$C$2:$C$32,MATCH(Brasil!B379,Mercados!$A$2:$A$32,0)),"Revisar Tscode"))</f>
        <v/>
      </c>
      <c r="B379" s="1" t="str">
        <f aca="false">IF(Brasil!C379="","",Brasil!C379)</f>
        <v/>
      </c>
      <c r="C379" s="1" t="str">
        <f aca="false">IF(Brasil!C379="","",Brasil!A379)</f>
        <v/>
      </c>
      <c r="D379" s="1" t="str">
        <f aca="false">IF(Brasil!C379="","",Brasil!E379)</f>
        <v/>
      </c>
      <c r="E379" s="1" t="str">
        <f aca="false">IF(Brasil!C379="","",Brasil!F379)</f>
        <v/>
      </c>
      <c r="F379" s="1" t="str">
        <f aca="false">IF(Brasil!C379="","",Brasil!D379)</f>
        <v/>
      </c>
      <c r="I379" s="1" t="str">
        <f aca="false">IF(Brasil!C379="","",Brasil!H379)</f>
        <v/>
      </c>
      <c r="J379" s="1" t="str">
        <f aca="false">IF(Brasil!C379="","",Brasil!D379*Brasil!H379)</f>
        <v/>
      </c>
      <c r="K379" s="1" t="str">
        <f aca="false">IF(Brasil!C379="","","BR")</f>
        <v/>
      </c>
      <c r="L379" s="1" t="str">
        <f aca="false">IF(Brasil!C379="","",IFERROR(INDEX(Gamma_Catalogo!$D$3:$D$1451,MATCH(Brasil!E379,Gamma_Catalogo!$A$3:$A$1451,0)),"Revisar Ip Code"))</f>
        <v/>
      </c>
      <c r="M379" s="1" t="str">
        <f aca="false">IF(Brasil!C379="","",IFERROR(INDEX(Gamma_Catalogo!$C$3:$C$1451,MATCH(Brasil!E379,Gamma_Catalogo!$A$3:$A$1451,0)),"Revisar Ip Code"))</f>
        <v/>
      </c>
      <c r="N379" s="1" t="str">
        <f aca="false">IF(Brasil!C379="","",IFERROR(INDEX(Gamma_Catalogo!$E$3:$E$1451,MATCH(Brasil!E379,Gamma_Catalogo!$A$3:$A$1451,0)),"Revisar Ip Code"))</f>
        <v/>
      </c>
      <c r="O379" s="1" t="str">
        <f aca="false">IF(Brasil!C379="","","Brasil")</f>
        <v/>
      </c>
    </row>
    <row r="380" customFormat="false" ht="15" hidden="false" customHeight="true" outlineLevel="0" collapsed="false">
      <c r="A380" s="1" t="str">
        <f aca="false">IF(Brasil!C380="","",IFERROR(INDEX(Mercados!$C$2:$C$32,MATCH(Brasil!B380,Mercados!$A$2:$A$32,0)),"Revisar Tscode"))</f>
        <v/>
      </c>
      <c r="B380" s="1" t="str">
        <f aca="false">IF(Brasil!C380="","",Brasil!C380)</f>
        <v/>
      </c>
      <c r="C380" s="1" t="str">
        <f aca="false">IF(Brasil!C380="","",Brasil!A380)</f>
        <v/>
      </c>
      <c r="D380" s="1" t="str">
        <f aca="false">IF(Brasil!C380="","",Brasil!E380)</f>
        <v/>
      </c>
      <c r="E380" s="1" t="str">
        <f aca="false">IF(Brasil!C380="","",Brasil!F380)</f>
        <v/>
      </c>
      <c r="F380" s="1" t="str">
        <f aca="false">IF(Brasil!C380="","",Brasil!D380)</f>
        <v/>
      </c>
      <c r="I380" s="1" t="str">
        <f aca="false">IF(Brasil!C380="","",Brasil!H380)</f>
        <v/>
      </c>
      <c r="J380" s="1" t="str">
        <f aca="false">IF(Brasil!C380="","",Brasil!D380*Brasil!H380)</f>
        <v/>
      </c>
      <c r="K380" s="1" t="str">
        <f aca="false">IF(Brasil!C380="","","BR")</f>
        <v/>
      </c>
      <c r="L380" s="1" t="str">
        <f aca="false">IF(Brasil!C380="","",IFERROR(INDEX(Gamma_Catalogo!$D$3:$D$1451,MATCH(Brasil!E380,Gamma_Catalogo!$A$3:$A$1451,0)),"Revisar Ip Code"))</f>
        <v/>
      </c>
      <c r="M380" s="1" t="str">
        <f aca="false">IF(Brasil!C380="","",IFERROR(INDEX(Gamma_Catalogo!$C$3:$C$1451,MATCH(Brasil!E380,Gamma_Catalogo!$A$3:$A$1451,0)),"Revisar Ip Code"))</f>
        <v/>
      </c>
      <c r="N380" s="1" t="str">
        <f aca="false">IF(Brasil!C380="","",IFERROR(INDEX(Gamma_Catalogo!$E$3:$E$1451,MATCH(Brasil!E380,Gamma_Catalogo!$A$3:$A$1451,0)),"Revisar Ip Code"))</f>
        <v/>
      </c>
      <c r="O380" s="1" t="str">
        <f aca="false">IF(Brasil!C380="","","Brasil")</f>
        <v/>
      </c>
    </row>
    <row r="381" customFormat="false" ht="15" hidden="false" customHeight="true" outlineLevel="0" collapsed="false">
      <c r="A381" s="1" t="str">
        <f aca="false">IF(Brasil!C381="","",IFERROR(INDEX(Mercados!$C$2:$C$32,MATCH(Brasil!B381,Mercados!$A$2:$A$32,0)),"Revisar Tscode"))</f>
        <v/>
      </c>
      <c r="B381" s="1" t="str">
        <f aca="false">IF(Brasil!C381="","",Brasil!C381)</f>
        <v/>
      </c>
      <c r="C381" s="1" t="str">
        <f aca="false">IF(Brasil!C381="","",Brasil!A381)</f>
        <v/>
      </c>
      <c r="D381" s="1" t="str">
        <f aca="false">IF(Brasil!C381="","",Brasil!E381)</f>
        <v/>
      </c>
      <c r="E381" s="1" t="str">
        <f aca="false">IF(Brasil!C381="","",Brasil!F381)</f>
        <v/>
      </c>
      <c r="F381" s="1" t="str">
        <f aca="false">IF(Brasil!C381="","",Brasil!D381)</f>
        <v/>
      </c>
      <c r="I381" s="1" t="str">
        <f aca="false">IF(Brasil!C381="","",Brasil!H381)</f>
        <v/>
      </c>
      <c r="J381" s="1" t="str">
        <f aca="false">IF(Brasil!C381="","",Brasil!D381*Brasil!H381)</f>
        <v/>
      </c>
      <c r="K381" s="1" t="str">
        <f aca="false">IF(Brasil!C381="","","BR")</f>
        <v/>
      </c>
      <c r="L381" s="1" t="str">
        <f aca="false">IF(Brasil!C381="","",IFERROR(INDEX(Gamma_Catalogo!$D$3:$D$1451,MATCH(Brasil!E381,Gamma_Catalogo!$A$3:$A$1451,0)),"Revisar Ip Code"))</f>
        <v/>
      </c>
      <c r="M381" s="1" t="str">
        <f aca="false">IF(Brasil!C381="","",IFERROR(INDEX(Gamma_Catalogo!$C$3:$C$1451,MATCH(Brasil!E381,Gamma_Catalogo!$A$3:$A$1451,0)),"Revisar Ip Code"))</f>
        <v/>
      </c>
      <c r="N381" s="1" t="str">
        <f aca="false">IF(Brasil!C381="","",IFERROR(INDEX(Gamma_Catalogo!$E$3:$E$1451,MATCH(Brasil!E381,Gamma_Catalogo!$A$3:$A$1451,0)),"Revisar Ip Code"))</f>
        <v/>
      </c>
      <c r="O381" s="1" t="str">
        <f aca="false">IF(Brasil!C381="","","Brasil")</f>
        <v/>
      </c>
    </row>
    <row r="382" customFormat="false" ht="15" hidden="false" customHeight="true" outlineLevel="0" collapsed="false">
      <c r="A382" s="1" t="str">
        <f aca="false">IF(Brasil!C382="","",IFERROR(INDEX(Mercados!$C$2:$C$32,MATCH(Brasil!B382,Mercados!$A$2:$A$32,0)),"Revisar Tscode"))</f>
        <v/>
      </c>
      <c r="B382" s="1" t="str">
        <f aca="false">IF(Brasil!C382="","",Brasil!C382)</f>
        <v/>
      </c>
      <c r="C382" s="1" t="str">
        <f aca="false">IF(Brasil!C382="","",Brasil!A382)</f>
        <v/>
      </c>
      <c r="D382" s="1" t="str">
        <f aca="false">IF(Brasil!C382="","",Brasil!E382)</f>
        <v/>
      </c>
      <c r="E382" s="1" t="str">
        <f aca="false">IF(Brasil!C382="","",Brasil!F382)</f>
        <v/>
      </c>
      <c r="F382" s="1" t="str">
        <f aca="false">IF(Brasil!C382="","",Brasil!D382)</f>
        <v/>
      </c>
      <c r="I382" s="1" t="str">
        <f aca="false">IF(Brasil!C382="","",Brasil!H382)</f>
        <v/>
      </c>
      <c r="J382" s="1" t="str">
        <f aca="false">IF(Brasil!C382="","",Brasil!D382*Brasil!H382)</f>
        <v/>
      </c>
      <c r="K382" s="1" t="str">
        <f aca="false">IF(Brasil!C382="","","BR")</f>
        <v/>
      </c>
      <c r="L382" s="1" t="str">
        <f aca="false">IF(Brasil!C382="","",IFERROR(INDEX(Gamma_Catalogo!$D$3:$D$1451,MATCH(Brasil!E382,Gamma_Catalogo!$A$3:$A$1451,0)),"Revisar Ip Code"))</f>
        <v/>
      </c>
      <c r="M382" s="1" t="str">
        <f aca="false">IF(Brasil!C382="","",IFERROR(INDEX(Gamma_Catalogo!$C$3:$C$1451,MATCH(Brasil!E382,Gamma_Catalogo!$A$3:$A$1451,0)),"Revisar Ip Code"))</f>
        <v/>
      </c>
      <c r="N382" s="1" t="str">
        <f aca="false">IF(Brasil!C382="","",IFERROR(INDEX(Gamma_Catalogo!$E$3:$E$1451,MATCH(Brasil!E382,Gamma_Catalogo!$A$3:$A$1451,0)),"Revisar Ip Code"))</f>
        <v/>
      </c>
      <c r="O382" s="1" t="str">
        <f aca="false">IF(Brasil!C382="","","Brasil")</f>
        <v/>
      </c>
    </row>
    <row r="383" customFormat="false" ht="15" hidden="false" customHeight="true" outlineLevel="0" collapsed="false">
      <c r="A383" s="1" t="str">
        <f aca="false">IF(Brasil!C383="","",IFERROR(INDEX(Mercados!$C$2:$C$32,MATCH(Brasil!B383,Mercados!$A$2:$A$32,0)),"Revisar Tscode"))</f>
        <v/>
      </c>
      <c r="B383" s="1" t="str">
        <f aca="false">IF(Brasil!C383="","",Brasil!C383)</f>
        <v/>
      </c>
      <c r="C383" s="1" t="str">
        <f aca="false">IF(Brasil!C383="","",Brasil!A383)</f>
        <v/>
      </c>
      <c r="D383" s="1" t="str">
        <f aca="false">IF(Brasil!C383="","",Brasil!E383)</f>
        <v/>
      </c>
      <c r="E383" s="1" t="str">
        <f aca="false">IF(Brasil!C383="","",Brasil!F383)</f>
        <v/>
      </c>
      <c r="F383" s="1" t="str">
        <f aca="false">IF(Brasil!C383="","",Brasil!D383)</f>
        <v/>
      </c>
      <c r="I383" s="1" t="str">
        <f aca="false">IF(Brasil!C383="","",Brasil!H383)</f>
        <v/>
      </c>
      <c r="J383" s="1" t="str">
        <f aca="false">IF(Brasil!C383="","",Brasil!D383*Brasil!H383)</f>
        <v/>
      </c>
      <c r="K383" s="1" t="str">
        <f aca="false">IF(Brasil!C383="","","BR")</f>
        <v/>
      </c>
      <c r="L383" s="1" t="str">
        <f aca="false">IF(Brasil!C383="","",IFERROR(INDEX(Gamma_Catalogo!$D$3:$D$1451,MATCH(Brasil!E383,Gamma_Catalogo!$A$3:$A$1451,0)),"Revisar Ip Code"))</f>
        <v/>
      </c>
      <c r="M383" s="1" t="str">
        <f aca="false">IF(Brasil!C383="","",IFERROR(INDEX(Gamma_Catalogo!$C$3:$C$1451,MATCH(Brasil!E383,Gamma_Catalogo!$A$3:$A$1451,0)),"Revisar Ip Code"))</f>
        <v/>
      </c>
      <c r="N383" s="1" t="str">
        <f aca="false">IF(Brasil!C383="","",IFERROR(INDEX(Gamma_Catalogo!$E$3:$E$1451,MATCH(Brasil!E383,Gamma_Catalogo!$A$3:$A$1451,0)),"Revisar Ip Code"))</f>
        <v/>
      </c>
      <c r="O383" s="1" t="str">
        <f aca="false">IF(Brasil!C383="","","Brasil")</f>
        <v/>
      </c>
    </row>
    <row r="384" customFormat="false" ht="15" hidden="false" customHeight="true" outlineLevel="0" collapsed="false">
      <c r="A384" s="1" t="str">
        <f aca="false">IF(Brasil!C384="","",IFERROR(INDEX(Mercados!$C$2:$C$32,MATCH(Brasil!B384,Mercados!$A$2:$A$32,0)),"Revisar Tscode"))</f>
        <v/>
      </c>
      <c r="B384" s="1" t="str">
        <f aca="false">IF(Brasil!C384="","",Brasil!C384)</f>
        <v/>
      </c>
      <c r="C384" s="1" t="str">
        <f aca="false">IF(Brasil!C384="","",Brasil!A384)</f>
        <v/>
      </c>
      <c r="D384" s="1" t="str">
        <f aca="false">IF(Brasil!C384="","",Brasil!E384)</f>
        <v/>
      </c>
      <c r="E384" s="1" t="str">
        <f aca="false">IF(Brasil!C384="","",Brasil!F384)</f>
        <v/>
      </c>
      <c r="F384" s="1" t="str">
        <f aca="false">IF(Brasil!C384="","",Brasil!D384)</f>
        <v/>
      </c>
      <c r="I384" s="1" t="str">
        <f aca="false">IF(Brasil!C384="","",Brasil!H384)</f>
        <v/>
      </c>
      <c r="J384" s="1" t="str">
        <f aca="false">IF(Brasil!C384="","",Brasil!D384*Brasil!H384)</f>
        <v/>
      </c>
      <c r="K384" s="1" t="str">
        <f aca="false">IF(Brasil!C384="","","BR")</f>
        <v/>
      </c>
      <c r="L384" s="1" t="str">
        <f aca="false">IF(Brasil!C384="","",IFERROR(INDEX(Gamma_Catalogo!$D$3:$D$1451,MATCH(Brasil!E384,Gamma_Catalogo!$A$3:$A$1451,0)),"Revisar Ip Code"))</f>
        <v/>
      </c>
      <c r="M384" s="1" t="str">
        <f aca="false">IF(Brasil!C384="","",IFERROR(INDEX(Gamma_Catalogo!$C$3:$C$1451,MATCH(Brasil!E384,Gamma_Catalogo!$A$3:$A$1451,0)),"Revisar Ip Code"))</f>
        <v/>
      </c>
      <c r="N384" s="1" t="str">
        <f aca="false">IF(Brasil!C384="","",IFERROR(INDEX(Gamma_Catalogo!$E$3:$E$1451,MATCH(Brasil!E384,Gamma_Catalogo!$A$3:$A$1451,0)),"Revisar Ip Code"))</f>
        <v/>
      </c>
      <c r="O384" s="1" t="str">
        <f aca="false">IF(Brasil!C384="","","Brasil")</f>
        <v/>
      </c>
    </row>
    <row r="385" customFormat="false" ht="15" hidden="false" customHeight="true" outlineLevel="0" collapsed="false">
      <c r="A385" s="1" t="str">
        <f aca="false">IF(Brasil!C385="","",IFERROR(INDEX(Mercados!$C$2:$C$32,MATCH(Brasil!B385,Mercados!$A$2:$A$32,0)),"Revisar Tscode"))</f>
        <v/>
      </c>
      <c r="B385" s="1" t="str">
        <f aca="false">IF(Brasil!C385="","",Brasil!C385)</f>
        <v/>
      </c>
      <c r="C385" s="1" t="str">
        <f aca="false">IF(Brasil!C385="","",Brasil!A385)</f>
        <v/>
      </c>
      <c r="D385" s="1" t="str">
        <f aca="false">IF(Brasil!C385="","",Brasil!E385)</f>
        <v/>
      </c>
      <c r="E385" s="1" t="str">
        <f aca="false">IF(Brasil!C385="","",Brasil!F385)</f>
        <v/>
      </c>
      <c r="F385" s="1" t="str">
        <f aca="false">IF(Brasil!C385="","",Brasil!D385)</f>
        <v/>
      </c>
      <c r="I385" s="1" t="str">
        <f aca="false">IF(Brasil!C385="","",Brasil!H385)</f>
        <v/>
      </c>
      <c r="J385" s="1" t="str">
        <f aca="false">IF(Brasil!C385="","",Brasil!D385*Brasil!H385)</f>
        <v/>
      </c>
      <c r="K385" s="1" t="str">
        <f aca="false">IF(Brasil!C385="","","BR")</f>
        <v/>
      </c>
      <c r="L385" s="1" t="str">
        <f aca="false">IF(Brasil!C385="","",IFERROR(INDEX(Gamma_Catalogo!$D$3:$D$1451,MATCH(Brasil!E385,Gamma_Catalogo!$A$3:$A$1451,0)),"Revisar Ip Code"))</f>
        <v/>
      </c>
      <c r="M385" s="1" t="str">
        <f aca="false">IF(Brasil!C385="","",IFERROR(INDEX(Gamma_Catalogo!$C$3:$C$1451,MATCH(Brasil!E385,Gamma_Catalogo!$A$3:$A$1451,0)),"Revisar Ip Code"))</f>
        <v/>
      </c>
      <c r="N385" s="1" t="str">
        <f aca="false">IF(Brasil!C385="","",IFERROR(INDEX(Gamma_Catalogo!$E$3:$E$1451,MATCH(Brasil!E385,Gamma_Catalogo!$A$3:$A$1451,0)),"Revisar Ip Code"))</f>
        <v/>
      </c>
      <c r="O385" s="1" t="str">
        <f aca="false">IF(Brasil!C385="","","Brasil")</f>
        <v/>
      </c>
    </row>
    <row r="386" customFormat="false" ht="15" hidden="false" customHeight="true" outlineLevel="0" collapsed="false">
      <c r="A386" s="1" t="str">
        <f aca="false">IF(Brasil!C386="","",IFERROR(INDEX(Mercados!$C$2:$C$32,MATCH(Brasil!B386,Mercados!$A$2:$A$32,0)),"Revisar Tscode"))</f>
        <v/>
      </c>
      <c r="B386" s="1" t="str">
        <f aca="false">IF(Brasil!C386="","",Brasil!C386)</f>
        <v/>
      </c>
      <c r="C386" s="1" t="str">
        <f aca="false">IF(Brasil!C386="","",Brasil!A386)</f>
        <v/>
      </c>
      <c r="D386" s="1" t="str">
        <f aca="false">IF(Brasil!C386="","",Brasil!E386)</f>
        <v/>
      </c>
      <c r="E386" s="1" t="str">
        <f aca="false">IF(Brasil!C386="","",Brasil!F386)</f>
        <v/>
      </c>
      <c r="F386" s="1" t="str">
        <f aca="false">IF(Brasil!C386="","",Brasil!D386)</f>
        <v/>
      </c>
      <c r="I386" s="1" t="str">
        <f aca="false">IF(Brasil!C386="","",Brasil!H386)</f>
        <v/>
      </c>
      <c r="J386" s="1" t="str">
        <f aca="false">IF(Brasil!C386="","",Brasil!D386*Brasil!H386)</f>
        <v/>
      </c>
      <c r="K386" s="1" t="str">
        <f aca="false">IF(Brasil!C386="","","BR")</f>
        <v/>
      </c>
      <c r="L386" s="1" t="str">
        <f aca="false">IF(Brasil!C386="","",IFERROR(INDEX(Gamma_Catalogo!$D$3:$D$1451,MATCH(Brasil!E386,Gamma_Catalogo!$A$3:$A$1451,0)),"Revisar Ip Code"))</f>
        <v/>
      </c>
      <c r="M386" s="1" t="str">
        <f aca="false">IF(Brasil!C386="","",IFERROR(INDEX(Gamma_Catalogo!$C$3:$C$1451,MATCH(Brasil!E386,Gamma_Catalogo!$A$3:$A$1451,0)),"Revisar Ip Code"))</f>
        <v/>
      </c>
      <c r="N386" s="1" t="str">
        <f aca="false">IF(Brasil!C386="","",IFERROR(INDEX(Gamma_Catalogo!$E$3:$E$1451,MATCH(Brasil!E386,Gamma_Catalogo!$A$3:$A$1451,0)),"Revisar Ip Code"))</f>
        <v/>
      </c>
      <c r="O386" s="1" t="str">
        <f aca="false">IF(Brasil!C386="","","Brasil")</f>
        <v/>
      </c>
    </row>
    <row r="387" customFormat="false" ht="15" hidden="false" customHeight="true" outlineLevel="0" collapsed="false">
      <c r="A387" s="1" t="str">
        <f aca="false">IF(Brasil!C387="","",IFERROR(INDEX(Mercados!$C$2:$C$32,MATCH(Brasil!B387,Mercados!$A$2:$A$32,0)),"Revisar Tscode"))</f>
        <v/>
      </c>
      <c r="B387" s="1" t="str">
        <f aca="false">IF(Brasil!C387="","",Brasil!C387)</f>
        <v/>
      </c>
      <c r="C387" s="1" t="str">
        <f aca="false">IF(Brasil!C387="","",Brasil!A387)</f>
        <v/>
      </c>
      <c r="D387" s="1" t="str">
        <f aca="false">IF(Brasil!C387="","",Brasil!E387)</f>
        <v/>
      </c>
      <c r="E387" s="1" t="str">
        <f aca="false">IF(Brasil!C387="","",Brasil!F387)</f>
        <v/>
      </c>
      <c r="F387" s="1" t="str">
        <f aca="false">IF(Brasil!C387="","",Brasil!D387)</f>
        <v/>
      </c>
      <c r="I387" s="1" t="str">
        <f aca="false">IF(Brasil!C387="","",Brasil!H387)</f>
        <v/>
      </c>
      <c r="J387" s="1" t="str">
        <f aca="false">IF(Brasil!C387="","",Brasil!D387*Brasil!H387)</f>
        <v/>
      </c>
      <c r="K387" s="1" t="str">
        <f aca="false">IF(Brasil!C387="","","BR")</f>
        <v/>
      </c>
      <c r="L387" s="1" t="str">
        <f aca="false">IF(Brasil!C387="","",IFERROR(INDEX(Gamma_Catalogo!$D$3:$D$1451,MATCH(Brasil!E387,Gamma_Catalogo!$A$3:$A$1451,0)),"Revisar Ip Code"))</f>
        <v/>
      </c>
      <c r="M387" s="1" t="str">
        <f aca="false">IF(Brasil!C387="","",IFERROR(INDEX(Gamma_Catalogo!$C$3:$C$1451,MATCH(Brasil!E387,Gamma_Catalogo!$A$3:$A$1451,0)),"Revisar Ip Code"))</f>
        <v/>
      </c>
      <c r="N387" s="1" t="str">
        <f aca="false">IF(Brasil!C387="","",IFERROR(INDEX(Gamma_Catalogo!$E$3:$E$1451,MATCH(Brasil!E387,Gamma_Catalogo!$A$3:$A$1451,0)),"Revisar Ip Code"))</f>
        <v/>
      </c>
      <c r="O387" s="1" t="str">
        <f aca="false">IF(Brasil!C387="","","Brasil")</f>
        <v/>
      </c>
    </row>
    <row r="388" customFormat="false" ht="15" hidden="false" customHeight="true" outlineLevel="0" collapsed="false">
      <c r="A388" s="1" t="str">
        <f aca="false">IF(Brasil!C388="","",IFERROR(INDEX(Mercados!$C$2:$C$32,MATCH(Brasil!B388,Mercados!$A$2:$A$32,0)),"Revisar Tscode"))</f>
        <v/>
      </c>
      <c r="B388" s="1" t="str">
        <f aca="false">IF(Brasil!C388="","",Brasil!C388)</f>
        <v/>
      </c>
      <c r="C388" s="1" t="str">
        <f aca="false">IF(Brasil!C388="","",Brasil!A388)</f>
        <v/>
      </c>
      <c r="D388" s="1" t="str">
        <f aca="false">IF(Brasil!C388="","",Brasil!E388)</f>
        <v/>
      </c>
      <c r="E388" s="1" t="str">
        <f aca="false">IF(Brasil!C388="","",Brasil!F388)</f>
        <v/>
      </c>
      <c r="F388" s="1" t="str">
        <f aca="false">IF(Brasil!C388="","",Brasil!D388)</f>
        <v/>
      </c>
      <c r="I388" s="1" t="str">
        <f aca="false">IF(Brasil!C388="","",Brasil!H388)</f>
        <v/>
      </c>
      <c r="J388" s="1" t="str">
        <f aca="false">IF(Brasil!C388="","",Brasil!D388*Brasil!H388)</f>
        <v/>
      </c>
      <c r="K388" s="1" t="str">
        <f aca="false">IF(Brasil!C388="","","BR")</f>
        <v/>
      </c>
      <c r="L388" s="1" t="str">
        <f aca="false">IF(Brasil!C388="","",IFERROR(INDEX(Gamma_Catalogo!$D$3:$D$1451,MATCH(Brasil!E388,Gamma_Catalogo!$A$3:$A$1451,0)),"Revisar Ip Code"))</f>
        <v/>
      </c>
      <c r="M388" s="1" t="str">
        <f aca="false">IF(Brasil!C388="","",IFERROR(INDEX(Gamma_Catalogo!$C$3:$C$1451,MATCH(Brasil!E388,Gamma_Catalogo!$A$3:$A$1451,0)),"Revisar Ip Code"))</f>
        <v/>
      </c>
      <c r="N388" s="1" t="str">
        <f aca="false">IF(Brasil!C388="","",IFERROR(INDEX(Gamma_Catalogo!$E$3:$E$1451,MATCH(Brasil!E388,Gamma_Catalogo!$A$3:$A$1451,0)),"Revisar Ip Code"))</f>
        <v/>
      </c>
      <c r="O388" s="1" t="str">
        <f aca="false">IF(Brasil!C388="","","Brasil")</f>
        <v/>
      </c>
    </row>
    <row r="389" customFormat="false" ht="15" hidden="false" customHeight="true" outlineLevel="0" collapsed="false">
      <c r="A389" s="1" t="str">
        <f aca="false">IF(Brasil!C389="","",IFERROR(INDEX(Mercados!$C$2:$C$32,MATCH(Brasil!B389,Mercados!$A$2:$A$32,0)),"Revisar Tscode"))</f>
        <v/>
      </c>
      <c r="B389" s="1" t="str">
        <f aca="false">IF(Brasil!C389="","",Brasil!C389)</f>
        <v/>
      </c>
      <c r="C389" s="1" t="str">
        <f aca="false">IF(Brasil!C389="","",Brasil!A389)</f>
        <v/>
      </c>
      <c r="D389" s="1" t="str">
        <f aca="false">IF(Brasil!C389="","",Brasil!E389)</f>
        <v/>
      </c>
      <c r="E389" s="1" t="str">
        <f aca="false">IF(Brasil!C389="","",Brasil!F389)</f>
        <v/>
      </c>
      <c r="F389" s="1" t="str">
        <f aca="false">IF(Brasil!C389="","",Brasil!D389)</f>
        <v/>
      </c>
      <c r="I389" s="1" t="str">
        <f aca="false">IF(Brasil!C389="","",Brasil!H389)</f>
        <v/>
      </c>
      <c r="J389" s="1" t="str">
        <f aca="false">IF(Brasil!C389="","",Brasil!D389*Brasil!H389)</f>
        <v/>
      </c>
      <c r="K389" s="1" t="str">
        <f aca="false">IF(Brasil!C389="","","BR")</f>
        <v/>
      </c>
      <c r="L389" s="1" t="str">
        <f aca="false">IF(Brasil!C389="","",IFERROR(INDEX(Gamma_Catalogo!$D$3:$D$1451,MATCH(Brasil!E389,Gamma_Catalogo!$A$3:$A$1451,0)),"Revisar Ip Code"))</f>
        <v/>
      </c>
      <c r="M389" s="1" t="str">
        <f aca="false">IF(Brasil!C389="","",IFERROR(INDEX(Gamma_Catalogo!$C$3:$C$1451,MATCH(Brasil!E389,Gamma_Catalogo!$A$3:$A$1451,0)),"Revisar Ip Code"))</f>
        <v/>
      </c>
      <c r="N389" s="1" t="str">
        <f aca="false">IF(Brasil!C389="","",IFERROR(INDEX(Gamma_Catalogo!$E$3:$E$1451,MATCH(Brasil!E389,Gamma_Catalogo!$A$3:$A$1451,0)),"Revisar Ip Code"))</f>
        <v/>
      </c>
      <c r="O389" s="1" t="str">
        <f aca="false">IF(Brasil!C389="","","Brasil")</f>
        <v/>
      </c>
    </row>
    <row r="390" customFormat="false" ht="15" hidden="false" customHeight="true" outlineLevel="0" collapsed="false">
      <c r="A390" s="1" t="str">
        <f aca="false">IF(Brasil!C390="","",IFERROR(INDEX(Mercados!$C$2:$C$32,MATCH(Brasil!B390,Mercados!$A$2:$A$32,0)),"Revisar Tscode"))</f>
        <v/>
      </c>
      <c r="B390" s="1" t="str">
        <f aca="false">IF(Brasil!C390="","",Brasil!C390)</f>
        <v/>
      </c>
      <c r="C390" s="1" t="str">
        <f aca="false">IF(Brasil!C390="","",Brasil!A390)</f>
        <v/>
      </c>
      <c r="D390" s="1" t="str">
        <f aca="false">IF(Brasil!C390="","",Brasil!E390)</f>
        <v/>
      </c>
      <c r="E390" s="1" t="str">
        <f aca="false">IF(Brasil!C390="","",Brasil!F390)</f>
        <v/>
      </c>
      <c r="F390" s="1" t="str">
        <f aca="false">IF(Brasil!C390="","",Brasil!D390)</f>
        <v/>
      </c>
      <c r="I390" s="1" t="str">
        <f aca="false">IF(Brasil!C390="","",Brasil!H390)</f>
        <v/>
      </c>
      <c r="J390" s="1" t="str">
        <f aca="false">IF(Brasil!C390="","",Brasil!D390*Brasil!H390)</f>
        <v/>
      </c>
      <c r="K390" s="1" t="str">
        <f aca="false">IF(Brasil!C390="","","BR")</f>
        <v/>
      </c>
      <c r="L390" s="1" t="str">
        <f aca="false">IF(Brasil!C390="","",IFERROR(INDEX(Gamma_Catalogo!$D$3:$D$1451,MATCH(Brasil!E390,Gamma_Catalogo!$A$3:$A$1451,0)),"Revisar Ip Code"))</f>
        <v/>
      </c>
      <c r="M390" s="1" t="str">
        <f aca="false">IF(Brasil!C390="","",IFERROR(INDEX(Gamma_Catalogo!$C$3:$C$1451,MATCH(Brasil!E390,Gamma_Catalogo!$A$3:$A$1451,0)),"Revisar Ip Code"))</f>
        <v/>
      </c>
      <c r="N390" s="1" t="str">
        <f aca="false">IF(Brasil!C390="","",IFERROR(INDEX(Gamma_Catalogo!$E$3:$E$1451,MATCH(Brasil!E390,Gamma_Catalogo!$A$3:$A$1451,0)),"Revisar Ip Code"))</f>
        <v/>
      </c>
      <c r="O390" s="1" t="str">
        <f aca="false">IF(Brasil!C390="","","Brasil")</f>
        <v/>
      </c>
    </row>
    <row r="391" customFormat="false" ht="15" hidden="false" customHeight="true" outlineLevel="0" collapsed="false">
      <c r="A391" s="1" t="str">
        <f aca="false">IF(Brasil!C391="","",IFERROR(INDEX(Mercados!$C$2:$C$32,MATCH(Brasil!B391,Mercados!$A$2:$A$32,0)),"Revisar Tscode"))</f>
        <v/>
      </c>
      <c r="B391" s="1" t="str">
        <f aca="false">IF(Brasil!C391="","",Brasil!C391)</f>
        <v/>
      </c>
      <c r="C391" s="1" t="str">
        <f aca="false">IF(Brasil!C391="","",Brasil!A391)</f>
        <v/>
      </c>
      <c r="D391" s="1" t="str">
        <f aca="false">IF(Brasil!C391="","",Brasil!E391)</f>
        <v/>
      </c>
      <c r="E391" s="1" t="str">
        <f aca="false">IF(Brasil!C391="","",Brasil!F391)</f>
        <v/>
      </c>
      <c r="F391" s="1" t="str">
        <f aca="false">IF(Brasil!C391="","",Brasil!D391)</f>
        <v/>
      </c>
      <c r="I391" s="1" t="str">
        <f aca="false">IF(Brasil!C391="","",Brasil!H391)</f>
        <v/>
      </c>
      <c r="J391" s="1" t="str">
        <f aca="false">IF(Brasil!C391="","",Brasil!D391*Brasil!H391)</f>
        <v/>
      </c>
      <c r="K391" s="1" t="str">
        <f aca="false">IF(Brasil!C391="","","BR")</f>
        <v/>
      </c>
      <c r="L391" s="1" t="str">
        <f aca="false">IF(Brasil!C391="","",IFERROR(INDEX(Gamma_Catalogo!$D$3:$D$1451,MATCH(Brasil!E391,Gamma_Catalogo!$A$3:$A$1451,0)),"Revisar Ip Code"))</f>
        <v/>
      </c>
      <c r="M391" s="1" t="str">
        <f aca="false">IF(Brasil!C391="","",IFERROR(INDEX(Gamma_Catalogo!$C$3:$C$1451,MATCH(Brasil!E391,Gamma_Catalogo!$A$3:$A$1451,0)),"Revisar Ip Code"))</f>
        <v/>
      </c>
      <c r="N391" s="1" t="str">
        <f aca="false">IF(Brasil!C391="","",IFERROR(INDEX(Gamma_Catalogo!$E$3:$E$1451,MATCH(Brasil!E391,Gamma_Catalogo!$A$3:$A$1451,0)),"Revisar Ip Code"))</f>
        <v/>
      </c>
      <c r="O391" s="1" t="str">
        <f aca="false">IF(Brasil!C391="","","Brasil")</f>
        <v/>
      </c>
    </row>
    <row r="392" customFormat="false" ht="15" hidden="false" customHeight="true" outlineLevel="0" collapsed="false">
      <c r="A392" s="1" t="str">
        <f aca="false">IF(Brasil!C392="","",IFERROR(INDEX(Mercados!$C$2:$C$32,MATCH(Brasil!B392,Mercados!$A$2:$A$32,0)),"Revisar Tscode"))</f>
        <v/>
      </c>
      <c r="B392" s="1" t="str">
        <f aca="false">IF(Brasil!C392="","",Brasil!C392)</f>
        <v/>
      </c>
      <c r="C392" s="1" t="str">
        <f aca="false">IF(Brasil!C392="","",Brasil!A392)</f>
        <v/>
      </c>
      <c r="D392" s="1" t="str">
        <f aca="false">IF(Brasil!C392="","",Brasil!E392)</f>
        <v/>
      </c>
      <c r="E392" s="1" t="str">
        <f aca="false">IF(Brasil!C392="","",Brasil!F392)</f>
        <v/>
      </c>
      <c r="F392" s="1" t="str">
        <f aca="false">IF(Brasil!C392="","",Brasil!D392)</f>
        <v/>
      </c>
      <c r="I392" s="1" t="str">
        <f aca="false">IF(Brasil!C392="","",Brasil!H392)</f>
        <v/>
      </c>
      <c r="J392" s="1" t="str">
        <f aca="false">IF(Brasil!C392="","",Brasil!D392*Brasil!H392)</f>
        <v/>
      </c>
      <c r="K392" s="1" t="str">
        <f aca="false">IF(Brasil!C392="","","BR")</f>
        <v/>
      </c>
      <c r="L392" s="1" t="str">
        <f aca="false">IF(Brasil!C392="","",IFERROR(INDEX(Gamma_Catalogo!$D$3:$D$1451,MATCH(Brasil!E392,Gamma_Catalogo!$A$3:$A$1451,0)),"Revisar Ip Code"))</f>
        <v/>
      </c>
      <c r="M392" s="1" t="str">
        <f aca="false">IF(Brasil!C392="","",IFERROR(INDEX(Gamma_Catalogo!$C$3:$C$1451,MATCH(Brasil!E392,Gamma_Catalogo!$A$3:$A$1451,0)),"Revisar Ip Code"))</f>
        <v/>
      </c>
      <c r="N392" s="1" t="str">
        <f aca="false">IF(Brasil!C392="","",IFERROR(INDEX(Gamma_Catalogo!$E$3:$E$1451,MATCH(Brasil!E392,Gamma_Catalogo!$A$3:$A$1451,0)),"Revisar Ip Code"))</f>
        <v/>
      </c>
      <c r="O392" s="1" t="str">
        <f aca="false">IF(Brasil!C392="","","Brasil")</f>
        <v/>
      </c>
    </row>
    <row r="393" customFormat="false" ht="15" hidden="false" customHeight="true" outlineLevel="0" collapsed="false">
      <c r="A393" s="1" t="str">
        <f aca="false">IF(Brasil!C393="","",IFERROR(INDEX(Mercados!$C$2:$C$32,MATCH(Brasil!B393,Mercados!$A$2:$A$32,0)),"Revisar Tscode"))</f>
        <v/>
      </c>
      <c r="B393" s="1" t="str">
        <f aca="false">IF(Brasil!C393="","",Brasil!C393)</f>
        <v/>
      </c>
      <c r="C393" s="1" t="str">
        <f aca="false">IF(Brasil!C393="","",Brasil!A393)</f>
        <v/>
      </c>
      <c r="D393" s="1" t="str">
        <f aca="false">IF(Brasil!C393="","",Brasil!E393)</f>
        <v/>
      </c>
      <c r="E393" s="1" t="str">
        <f aca="false">IF(Brasil!C393="","",Brasil!F393)</f>
        <v/>
      </c>
      <c r="F393" s="1" t="str">
        <f aca="false">IF(Brasil!C393="","",Brasil!D393)</f>
        <v/>
      </c>
      <c r="I393" s="1" t="str">
        <f aca="false">IF(Brasil!C393="","",Brasil!H393)</f>
        <v/>
      </c>
      <c r="J393" s="1" t="str">
        <f aca="false">IF(Brasil!C393="","",Brasil!D393*Brasil!H393)</f>
        <v/>
      </c>
      <c r="K393" s="1" t="str">
        <f aca="false">IF(Brasil!C393="","","BR")</f>
        <v/>
      </c>
      <c r="L393" s="1" t="str">
        <f aca="false">IF(Brasil!C393="","",IFERROR(INDEX(Gamma_Catalogo!$D$3:$D$1451,MATCH(Brasil!E393,Gamma_Catalogo!$A$3:$A$1451,0)),"Revisar Ip Code"))</f>
        <v/>
      </c>
      <c r="M393" s="1" t="str">
        <f aca="false">IF(Brasil!C393="","",IFERROR(INDEX(Gamma_Catalogo!$C$3:$C$1451,MATCH(Brasil!E393,Gamma_Catalogo!$A$3:$A$1451,0)),"Revisar Ip Code"))</f>
        <v/>
      </c>
      <c r="N393" s="1" t="str">
        <f aca="false">IF(Brasil!C393="","",IFERROR(INDEX(Gamma_Catalogo!$E$3:$E$1451,MATCH(Brasil!E393,Gamma_Catalogo!$A$3:$A$1451,0)),"Revisar Ip Code"))</f>
        <v/>
      </c>
      <c r="O393" s="1" t="str">
        <f aca="false">IF(Brasil!C393="","","Brasil")</f>
        <v/>
      </c>
    </row>
    <row r="394" customFormat="false" ht="15" hidden="false" customHeight="true" outlineLevel="0" collapsed="false">
      <c r="A394" s="1" t="str">
        <f aca="false">IF(Brasil!C394="","",IFERROR(INDEX(Mercados!$C$2:$C$32,MATCH(Brasil!B394,Mercados!$A$2:$A$32,0)),"Revisar Tscode"))</f>
        <v/>
      </c>
      <c r="B394" s="1" t="str">
        <f aca="false">IF(Brasil!C394="","",Brasil!C394)</f>
        <v/>
      </c>
      <c r="C394" s="1" t="str">
        <f aca="false">IF(Brasil!C394="","",Brasil!A394)</f>
        <v/>
      </c>
      <c r="D394" s="1" t="str">
        <f aca="false">IF(Brasil!C394="","",Brasil!E394)</f>
        <v/>
      </c>
      <c r="E394" s="1" t="str">
        <f aca="false">IF(Brasil!C394="","",Brasil!F394)</f>
        <v/>
      </c>
      <c r="F394" s="1" t="str">
        <f aca="false">IF(Brasil!C394="","",Brasil!D394)</f>
        <v/>
      </c>
      <c r="I394" s="1" t="str">
        <f aca="false">IF(Brasil!C394="","",Brasil!H394)</f>
        <v/>
      </c>
      <c r="J394" s="1" t="str">
        <f aca="false">IF(Brasil!C394="","",Brasil!D394*Brasil!H394)</f>
        <v/>
      </c>
      <c r="K394" s="1" t="str">
        <f aca="false">IF(Brasil!C394="","","BR")</f>
        <v/>
      </c>
      <c r="L394" s="1" t="str">
        <f aca="false">IF(Brasil!C394="","",IFERROR(INDEX(Gamma_Catalogo!$D$3:$D$1451,MATCH(Brasil!E394,Gamma_Catalogo!$A$3:$A$1451,0)),"Revisar Ip Code"))</f>
        <v/>
      </c>
      <c r="M394" s="1" t="str">
        <f aca="false">IF(Brasil!C394="","",IFERROR(INDEX(Gamma_Catalogo!$C$3:$C$1451,MATCH(Brasil!E394,Gamma_Catalogo!$A$3:$A$1451,0)),"Revisar Ip Code"))</f>
        <v/>
      </c>
      <c r="N394" s="1" t="str">
        <f aca="false">IF(Brasil!C394="","",IFERROR(INDEX(Gamma_Catalogo!$E$3:$E$1451,MATCH(Brasil!E394,Gamma_Catalogo!$A$3:$A$1451,0)),"Revisar Ip Code"))</f>
        <v/>
      </c>
      <c r="O394" s="1" t="str">
        <f aca="false">IF(Brasil!C394="","","Brasil")</f>
        <v/>
      </c>
    </row>
    <row r="395" customFormat="false" ht="15" hidden="false" customHeight="true" outlineLevel="0" collapsed="false">
      <c r="A395" s="1" t="str">
        <f aca="false">IF(Brasil!C395="","",IFERROR(INDEX(Mercados!$C$2:$C$32,MATCH(Brasil!B395,Mercados!$A$2:$A$32,0)),"Revisar Tscode"))</f>
        <v/>
      </c>
      <c r="B395" s="1" t="str">
        <f aca="false">IF(Brasil!C395="","",Brasil!C395)</f>
        <v/>
      </c>
      <c r="C395" s="1" t="str">
        <f aca="false">IF(Brasil!C395="","",Brasil!A395)</f>
        <v/>
      </c>
      <c r="D395" s="1" t="str">
        <f aca="false">IF(Brasil!C395="","",Brasil!E395)</f>
        <v/>
      </c>
      <c r="E395" s="1" t="str">
        <f aca="false">IF(Brasil!C395="","",Brasil!F395)</f>
        <v/>
      </c>
      <c r="F395" s="1" t="str">
        <f aca="false">IF(Brasil!C395="","",Brasil!D395)</f>
        <v/>
      </c>
      <c r="I395" s="1" t="str">
        <f aca="false">IF(Brasil!C395="","",Brasil!H395)</f>
        <v/>
      </c>
      <c r="J395" s="1" t="str">
        <f aca="false">IF(Brasil!C395="","",Brasil!D395*Brasil!H395)</f>
        <v/>
      </c>
      <c r="K395" s="1" t="str">
        <f aca="false">IF(Brasil!C395="","","BR")</f>
        <v/>
      </c>
      <c r="L395" s="1" t="str">
        <f aca="false">IF(Brasil!C395="","",IFERROR(INDEX(Gamma_Catalogo!$D$3:$D$1451,MATCH(Brasil!E395,Gamma_Catalogo!$A$3:$A$1451,0)),"Revisar Ip Code"))</f>
        <v/>
      </c>
      <c r="M395" s="1" t="str">
        <f aca="false">IF(Brasil!C395="","",IFERROR(INDEX(Gamma_Catalogo!$C$3:$C$1451,MATCH(Brasil!E395,Gamma_Catalogo!$A$3:$A$1451,0)),"Revisar Ip Code"))</f>
        <v/>
      </c>
      <c r="N395" s="1" t="str">
        <f aca="false">IF(Brasil!C395="","",IFERROR(INDEX(Gamma_Catalogo!$E$3:$E$1451,MATCH(Brasil!E395,Gamma_Catalogo!$A$3:$A$1451,0)),"Revisar Ip Code"))</f>
        <v/>
      </c>
      <c r="O395" s="1" t="str">
        <f aca="false">IF(Brasil!C395="","","Brasil")</f>
        <v/>
      </c>
    </row>
    <row r="396" customFormat="false" ht="15" hidden="false" customHeight="true" outlineLevel="0" collapsed="false">
      <c r="A396" s="1" t="str">
        <f aca="false">IF(Brasil!C396="","",IFERROR(INDEX(Mercados!$C$2:$C$32,MATCH(Brasil!B396,Mercados!$A$2:$A$32,0)),"Revisar Tscode"))</f>
        <v/>
      </c>
      <c r="B396" s="1" t="str">
        <f aca="false">IF(Brasil!C396="","",Brasil!C396)</f>
        <v/>
      </c>
      <c r="C396" s="1" t="str">
        <f aca="false">IF(Brasil!C396="","",Brasil!A396)</f>
        <v/>
      </c>
      <c r="D396" s="1" t="str">
        <f aca="false">IF(Brasil!C396="","",Brasil!E396)</f>
        <v/>
      </c>
      <c r="E396" s="1" t="str">
        <f aca="false">IF(Brasil!C396="","",Brasil!F396)</f>
        <v/>
      </c>
      <c r="F396" s="1" t="str">
        <f aca="false">IF(Brasil!C396="","",Brasil!D396)</f>
        <v/>
      </c>
      <c r="I396" s="1" t="str">
        <f aca="false">IF(Brasil!C396="","",Brasil!H396)</f>
        <v/>
      </c>
      <c r="J396" s="1" t="str">
        <f aca="false">IF(Brasil!C396="","",Brasil!D396*Brasil!H396)</f>
        <v/>
      </c>
      <c r="K396" s="1" t="str">
        <f aca="false">IF(Brasil!C396="","","BR")</f>
        <v/>
      </c>
      <c r="L396" s="1" t="str">
        <f aca="false">IF(Brasil!C396="","",IFERROR(INDEX(Gamma_Catalogo!$D$3:$D$1451,MATCH(Brasil!E396,Gamma_Catalogo!$A$3:$A$1451,0)),"Revisar Ip Code"))</f>
        <v/>
      </c>
      <c r="M396" s="1" t="str">
        <f aca="false">IF(Brasil!C396="","",IFERROR(INDEX(Gamma_Catalogo!$C$3:$C$1451,MATCH(Brasil!E396,Gamma_Catalogo!$A$3:$A$1451,0)),"Revisar Ip Code"))</f>
        <v/>
      </c>
      <c r="N396" s="1" t="str">
        <f aca="false">IF(Brasil!C396="","",IFERROR(INDEX(Gamma_Catalogo!$E$3:$E$1451,MATCH(Brasil!E396,Gamma_Catalogo!$A$3:$A$1451,0)),"Revisar Ip Code"))</f>
        <v/>
      </c>
      <c r="O396" s="1" t="str">
        <f aca="false">IF(Brasil!C396="","","Brasil")</f>
        <v/>
      </c>
    </row>
    <row r="397" customFormat="false" ht="15" hidden="false" customHeight="true" outlineLevel="0" collapsed="false">
      <c r="A397" s="1" t="str">
        <f aca="false">IF(Brasil!C397="","",IFERROR(INDEX(Mercados!$C$2:$C$32,MATCH(Brasil!B397,Mercados!$A$2:$A$32,0)),"Revisar Tscode"))</f>
        <v/>
      </c>
      <c r="B397" s="1" t="str">
        <f aca="false">IF(Brasil!C397="","",Brasil!C397)</f>
        <v/>
      </c>
      <c r="C397" s="1" t="str">
        <f aca="false">IF(Brasil!C397="","",Brasil!A397)</f>
        <v/>
      </c>
      <c r="D397" s="1" t="str">
        <f aca="false">IF(Brasil!C397="","",Brasil!E397)</f>
        <v/>
      </c>
      <c r="E397" s="1" t="str">
        <f aca="false">IF(Brasil!C397="","",Brasil!F397)</f>
        <v/>
      </c>
      <c r="F397" s="1" t="str">
        <f aca="false">IF(Brasil!C397="","",Brasil!D397)</f>
        <v/>
      </c>
      <c r="I397" s="1" t="str">
        <f aca="false">IF(Brasil!C397="","",Brasil!H397)</f>
        <v/>
      </c>
      <c r="J397" s="1" t="str">
        <f aca="false">IF(Brasil!C397="","",Brasil!D397*Brasil!H397)</f>
        <v/>
      </c>
      <c r="K397" s="1" t="str">
        <f aca="false">IF(Brasil!C397="","","BR")</f>
        <v/>
      </c>
      <c r="L397" s="1" t="str">
        <f aca="false">IF(Brasil!C397="","",IFERROR(INDEX(Gamma_Catalogo!$D$3:$D$1451,MATCH(Brasil!E397,Gamma_Catalogo!$A$3:$A$1451,0)),"Revisar Ip Code"))</f>
        <v/>
      </c>
      <c r="M397" s="1" t="str">
        <f aca="false">IF(Brasil!C397="","",IFERROR(INDEX(Gamma_Catalogo!$C$3:$C$1451,MATCH(Brasil!E397,Gamma_Catalogo!$A$3:$A$1451,0)),"Revisar Ip Code"))</f>
        <v/>
      </c>
      <c r="N397" s="1" t="str">
        <f aca="false">IF(Brasil!C397="","",IFERROR(INDEX(Gamma_Catalogo!$E$3:$E$1451,MATCH(Brasil!E397,Gamma_Catalogo!$A$3:$A$1451,0)),"Revisar Ip Code"))</f>
        <v/>
      </c>
      <c r="O397" s="1" t="str">
        <f aca="false">IF(Brasil!C397="","","Brasil")</f>
        <v/>
      </c>
    </row>
    <row r="398" customFormat="false" ht="15" hidden="false" customHeight="true" outlineLevel="0" collapsed="false">
      <c r="A398" s="1" t="str">
        <f aca="false">IF(Brasil!C398="","",IFERROR(INDEX(Mercados!$C$2:$C$32,MATCH(Brasil!B398,Mercados!$A$2:$A$32,0)),"Revisar Tscode"))</f>
        <v/>
      </c>
      <c r="B398" s="1" t="str">
        <f aca="false">IF(Brasil!C398="","",Brasil!C398)</f>
        <v/>
      </c>
      <c r="C398" s="1" t="str">
        <f aca="false">IF(Brasil!C398="","",Brasil!A398)</f>
        <v/>
      </c>
      <c r="D398" s="1" t="str">
        <f aca="false">IF(Brasil!C398="","",Brasil!E398)</f>
        <v/>
      </c>
      <c r="E398" s="1" t="str">
        <f aca="false">IF(Brasil!C398="","",Brasil!F398)</f>
        <v/>
      </c>
      <c r="F398" s="1" t="str">
        <f aca="false">IF(Brasil!C398="","",Brasil!D398)</f>
        <v/>
      </c>
      <c r="I398" s="1" t="str">
        <f aca="false">IF(Brasil!C398="","",Brasil!H398)</f>
        <v/>
      </c>
      <c r="J398" s="1" t="str">
        <f aca="false">IF(Brasil!C398="","",Brasil!D398*Brasil!H398)</f>
        <v/>
      </c>
      <c r="K398" s="1" t="str">
        <f aca="false">IF(Brasil!C398="","","BR")</f>
        <v/>
      </c>
      <c r="L398" s="1" t="str">
        <f aca="false">IF(Brasil!C398="","",IFERROR(INDEX(Gamma_Catalogo!$D$3:$D$1451,MATCH(Brasil!E398,Gamma_Catalogo!$A$3:$A$1451,0)),"Revisar Ip Code"))</f>
        <v/>
      </c>
      <c r="M398" s="1" t="str">
        <f aca="false">IF(Brasil!C398="","",IFERROR(INDEX(Gamma_Catalogo!$C$3:$C$1451,MATCH(Brasil!E398,Gamma_Catalogo!$A$3:$A$1451,0)),"Revisar Ip Code"))</f>
        <v/>
      </c>
      <c r="N398" s="1" t="str">
        <f aca="false">IF(Brasil!C398="","",IFERROR(INDEX(Gamma_Catalogo!$E$3:$E$1451,MATCH(Brasil!E398,Gamma_Catalogo!$A$3:$A$1451,0)),"Revisar Ip Code"))</f>
        <v/>
      </c>
      <c r="O398" s="1" t="str">
        <f aca="false">IF(Brasil!C398="","","Brasil")</f>
        <v/>
      </c>
    </row>
    <row r="399" customFormat="false" ht="15" hidden="false" customHeight="true" outlineLevel="0" collapsed="false">
      <c r="A399" s="1" t="str">
        <f aca="false">IF(Brasil!C399="","",IFERROR(INDEX(Mercados!$C$2:$C$32,MATCH(Brasil!B399,Mercados!$A$2:$A$32,0)),"Revisar Tscode"))</f>
        <v/>
      </c>
      <c r="B399" s="1" t="str">
        <f aca="false">IF(Brasil!C399="","",Brasil!C399)</f>
        <v/>
      </c>
      <c r="C399" s="1" t="str">
        <f aca="false">IF(Brasil!C399="","",Brasil!A399)</f>
        <v/>
      </c>
      <c r="D399" s="1" t="str">
        <f aca="false">IF(Brasil!C399="","",Brasil!E399)</f>
        <v/>
      </c>
      <c r="E399" s="1" t="str">
        <f aca="false">IF(Brasil!C399="","",Brasil!F399)</f>
        <v/>
      </c>
      <c r="F399" s="1" t="str">
        <f aca="false">IF(Brasil!C399="","",Brasil!D399)</f>
        <v/>
      </c>
      <c r="I399" s="1" t="str">
        <f aca="false">IF(Brasil!C399="","",Brasil!H399)</f>
        <v/>
      </c>
      <c r="J399" s="1" t="str">
        <f aca="false">IF(Brasil!C399="","",Brasil!D399*Brasil!H399)</f>
        <v/>
      </c>
      <c r="K399" s="1" t="str">
        <f aca="false">IF(Brasil!C399="","","BR")</f>
        <v/>
      </c>
      <c r="L399" s="1" t="str">
        <f aca="false">IF(Brasil!C399="","",IFERROR(INDEX(Gamma_Catalogo!$D$3:$D$1451,MATCH(Brasil!E399,Gamma_Catalogo!$A$3:$A$1451,0)),"Revisar Ip Code"))</f>
        <v/>
      </c>
      <c r="M399" s="1" t="str">
        <f aca="false">IF(Brasil!C399="","",IFERROR(INDEX(Gamma_Catalogo!$C$3:$C$1451,MATCH(Brasil!E399,Gamma_Catalogo!$A$3:$A$1451,0)),"Revisar Ip Code"))</f>
        <v/>
      </c>
      <c r="N399" s="1" t="str">
        <f aca="false">IF(Brasil!C399="","",IFERROR(INDEX(Gamma_Catalogo!$E$3:$E$1451,MATCH(Brasil!E399,Gamma_Catalogo!$A$3:$A$1451,0)),"Revisar Ip Code"))</f>
        <v/>
      </c>
      <c r="O399" s="1" t="str">
        <f aca="false">IF(Brasil!C399="","","Brasil")</f>
        <v/>
      </c>
    </row>
    <row r="400" customFormat="false" ht="15" hidden="false" customHeight="true" outlineLevel="0" collapsed="false">
      <c r="A400" s="1" t="str">
        <f aca="false">IF(Brasil!C400="","",IFERROR(INDEX(Mercados!$C$2:$C$32,MATCH(Brasil!B400,Mercados!$A$2:$A$32,0)),"Revisar Tscode"))</f>
        <v/>
      </c>
      <c r="B400" s="1" t="str">
        <f aca="false">IF(Brasil!C400="","",Brasil!C400)</f>
        <v/>
      </c>
      <c r="C400" s="1" t="str">
        <f aca="false">IF(Brasil!C400="","",Brasil!A400)</f>
        <v/>
      </c>
      <c r="D400" s="1" t="str">
        <f aca="false">IF(Brasil!C400="","",Brasil!E400)</f>
        <v/>
      </c>
      <c r="E400" s="1" t="str">
        <f aca="false">IF(Brasil!C400="","",Brasil!F400)</f>
        <v/>
      </c>
      <c r="F400" s="1" t="str">
        <f aca="false">IF(Brasil!C400="","",Brasil!D400)</f>
        <v/>
      </c>
      <c r="I400" s="1" t="str">
        <f aca="false">IF(Brasil!C400="","",Brasil!H400)</f>
        <v/>
      </c>
      <c r="J400" s="1" t="str">
        <f aca="false">IF(Brasil!C400="","",Brasil!D400*Brasil!H400)</f>
        <v/>
      </c>
      <c r="K400" s="1" t="str">
        <f aca="false">IF(Brasil!C400="","","BR")</f>
        <v/>
      </c>
      <c r="L400" s="1" t="str">
        <f aca="false">IF(Brasil!C400="","",IFERROR(INDEX(Gamma_Catalogo!$D$3:$D$1451,MATCH(Brasil!E400,Gamma_Catalogo!$A$3:$A$1451,0)),"Revisar Ip Code"))</f>
        <v/>
      </c>
      <c r="M400" s="1" t="str">
        <f aca="false">IF(Brasil!C400="","",IFERROR(INDEX(Gamma_Catalogo!$C$3:$C$1451,MATCH(Brasil!E400,Gamma_Catalogo!$A$3:$A$1451,0)),"Revisar Ip Code"))</f>
        <v/>
      </c>
      <c r="N400" s="1" t="str">
        <f aca="false">IF(Brasil!C400="","",IFERROR(INDEX(Gamma_Catalogo!$E$3:$E$1451,MATCH(Brasil!E400,Gamma_Catalogo!$A$3:$A$1451,0)),"Revisar Ip Code"))</f>
        <v/>
      </c>
      <c r="O400" s="1" t="str">
        <f aca="false">IF(Brasil!C400="","","Brasil")</f>
        <v/>
      </c>
    </row>
    <row r="401" customFormat="false" ht="15" hidden="false" customHeight="true" outlineLevel="0" collapsed="false">
      <c r="A401" s="1" t="str">
        <f aca="false">IF(Brasil!C401="","",IFERROR(INDEX(Mercados!$C$2:$C$32,MATCH(Brasil!B401,Mercados!$A$2:$A$32,0)),"Revisar Tscode"))</f>
        <v/>
      </c>
      <c r="B401" s="1" t="str">
        <f aca="false">IF(Brasil!C401="","",Brasil!C401)</f>
        <v/>
      </c>
      <c r="C401" s="1" t="str">
        <f aca="false">IF(Brasil!C401="","",Brasil!A401)</f>
        <v/>
      </c>
      <c r="D401" s="1" t="str">
        <f aca="false">IF(Brasil!C401="","",Brasil!E401)</f>
        <v/>
      </c>
      <c r="E401" s="1" t="str">
        <f aca="false">IF(Brasil!C401="","",Brasil!F401)</f>
        <v/>
      </c>
      <c r="F401" s="1" t="str">
        <f aca="false">IF(Brasil!C401="","",Brasil!D401)</f>
        <v/>
      </c>
      <c r="I401" s="1" t="str">
        <f aca="false">IF(Brasil!C401="","",Brasil!H401)</f>
        <v/>
      </c>
      <c r="J401" s="1" t="str">
        <f aca="false">IF(Brasil!C401="","",Brasil!D401*Brasil!H401)</f>
        <v/>
      </c>
      <c r="K401" s="1" t="str">
        <f aca="false">IF(Brasil!C401="","","BR")</f>
        <v/>
      </c>
      <c r="L401" s="1" t="str">
        <f aca="false">IF(Brasil!C401="","",IFERROR(INDEX(Gamma_Catalogo!$D$3:$D$1451,MATCH(Brasil!E401,Gamma_Catalogo!$A$3:$A$1451,0)),"Revisar Ip Code"))</f>
        <v/>
      </c>
      <c r="M401" s="1" t="str">
        <f aca="false">IF(Brasil!C401="","",IFERROR(INDEX(Gamma_Catalogo!$C$3:$C$1451,MATCH(Brasil!E401,Gamma_Catalogo!$A$3:$A$1451,0)),"Revisar Ip Code"))</f>
        <v/>
      </c>
      <c r="N401" s="1" t="str">
        <f aca="false">IF(Brasil!C401="","",IFERROR(INDEX(Gamma_Catalogo!$E$3:$E$1451,MATCH(Brasil!E401,Gamma_Catalogo!$A$3:$A$1451,0)),"Revisar Ip Code"))</f>
        <v/>
      </c>
      <c r="O401" s="1" t="str">
        <f aca="false">IF(Brasil!C401="","","Brasil")</f>
        <v/>
      </c>
    </row>
    <row r="402" customFormat="false" ht="15" hidden="false" customHeight="true" outlineLevel="0" collapsed="false">
      <c r="A402" s="1" t="str">
        <f aca="false">IF(Brasil!C402="","",IFERROR(INDEX(Mercados!$C$2:$C$32,MATCH(Brasil!B402,Mercados!$A$2:$A$32,0)),"Revisar Tscode"))</f>
        <v/>
      </c>
      <c r="B402" s="1" t="str">
        <f aca="false">IF(Brasil!C402="","",Brasil!C402)</f>
        <v/>
      </c>
      <c r="C402" s="1" t="str">
        <f aca="false">IF(Brasil!C402="","",Brasil!A402)</f>
        <v/>
      </c>
      <c r="D402" s="1" t="str">
        <f aca="false">IF(Brasil!C402="","",Brasil!E402)</f>
        <v/>
      </c>
      <c r="E402" s="1" t="str">
        <f aca="false">IF(Brasil!C402="","",Brasil!F402)</f>
        <v/>
      </c>
      <c r="F402" s="1" t="str">
        <f aca="false">IF(Brasil!C402="","",Brasil!D402)</f>
        <v/>
      </c>
      <c r="I402" s="1" t="str">
        <f aca="false">IF(Brasil!C402="","",Brasil!H402)</f>
        <v/>
      </c>
      <c r="J402" s="1" t="str">
        <f aca="false">IF(Brasil!C402="","",Brasil!D402*Brasil!H402)</f>
        <v/>
      </c>
      <c r="K402" s="1" t="str">
        <f aca="false">IF(Brasil!C402="","","BR")</f>
        <v/>
      </c>
      <c r="L402" s="1" t="str">
        <f aca="false">IF(Brasil!C402="","",IFERROR(INDEX(Gamma_Catalogo!$D$3:$D$1451,MATCH(Brasil!E402,Gamma_Catalogo!$A$3:$A$1451,0)),"Revisar Ip Code"))</f>
        <v/>
      </c>
      <c r="M402" s="1" t="str">
        <f aca="false">IF(Brasil!C402="","",IFERROR(INDEX(Gamma_Catalogo!$C$3:$C$1451,MATCH(Brasil!E402,Gamma_Catalogo!$A$3:$A$1451,0)),"Revisar Ip Code"))</f>
        <v/>
      </c>
      <c r="N402" s="1" t="str">
        <f aca="false">IF(Brasil!C402="","",IFERROR(INDEX(Gamma_Catalogo!$E$3:$E$1451,MATCH(Brasil!E402,Gamma_Catalogo!$A$3:$A$1451,0)),"Revisar Ip Code"))</f>
        <v/>
      </c>
      <c r="O402" s="1" t="str">
        <f aca="false">IF(Brasil!C402="","","Brasil")</f>
        <v/>
      </c>
    </row>
    <row r="403" customFormat="false" ht="15" hidden="false" customHeight="true" outlineLevel="0" collapsed="false">
      <c r="A403" s="1" t="str">
        <f aca="false">IF(Brasil!C403="","",IFERROR(INDEX(Mercados!$C$2:$C$32,MATCH(Brasil!B403,Mercados!$A$2:$A$32,0)),"Revisar Tscode"))</f>
        <v/>
      </c>
      <c r="B403" s="1" t="str">
        <f aca="false">IF(Brasil!C403="","",Brasil!C403)</f>
        <v/>
      </c>
      <c r="C403" s="1" t="str">
        <f aca="false">IF(Brasil!C403="","",Brasil!A403)</f>
        <v/>
      </c>
      <c r="D403" s="1" t="str">
        <f aca="false">IF(Brasil!C403="","",Brasil!E403)</f>
        <v/>
      </c>
      <c r="E403" s="1" t="str">
        <f aca="false">IF(Brasil!C403="","",Brasil!F403)</f>
        <v/>
      </c>
      <c r="F403" s="1" t="str">
        <f aca="false">IF(Brasil!C403="","",Brasil!D403)</f>
        <v/>
      </c>
      <c r="I403" s="1" t="str">
        <f aca="false">IF(Brasil!C403="","",Brasil!H403)</f>
        <v/>
      </c>
      <c r="J403" s="1" t="str">
        <f aca="false">IF(Brasil!C403="","",Brasil!D403*Brasil!H403)</f>
        <v/>
      </c>
      <c r="K403" s="1" t="str">
        <f aca="false">IF(Brasil!C403="","","BR")</f>
        <v/>
      </c>
      <c r="L403" s="1" t="str">
        <f aca="false">IF(Brasil!C403="","",IFERROR(INDEX(Gamma_Catalogo!$D$3:$D$1451,MATCH(Brasil!E403,Gamma_Catalogo!$A$3:$A$1451,0)),"Revisar Ip Code"))</f>
        <v/>
      </c>
      <c r="M403" s="1" t="str">
        <f aca="false">IF(Brasil!C403="","",IFERROR(INDEX(Gamma_Catalogo!$C$3:$C$1451,MATCH(Brasil!E403,Gamma_Catalogo!$A$3:$A$1451,0)),"Revisar Ip Code"))</f>
        <v/>
      </c>
      <c r="N403" s="1" t="str">
        <f aca="false">IF(Brasil!C403="","",IFERROR(INDEX(Gamma_Catalogo!$E$3:$E$1451,MATCH(Brasil!E403,Gamma_Catalogo!$A$3:$A$1451,0)),"Revisar Ip Code"))</f>
        <v/>
      </c>
      <c r="O403" s="1" t="str">
        <f aca="false">IF(Brasil!C403="","","Brasil")</f>
        <v/>
      </c>
    </row>
    <row r="404" customFormat="false" ht="15" hidden="false" customHeight="true" outlineLevel="0" collapsed="false">
      <c r="A404" s="1" t="str">
        <f aca="false">IF(Brasil!C404="","",IFERROR(INDEX(Mercados!$C$2:$C$32,MATCH(Brasil!B404,Mercados!$A$2:$A$32,0)),"Revisar Tscode"))</f>
        <v/>
      </c>
      <c r="B404" s="1" t="str">
        <f aca="false">IF(Brasil!C404="","",Brasil!C404)</f>
        <v/>
      </c>
      <c r="C404" s="1" t="str">
        <f aca="false">IF(Brasil!C404="","",Brasil!A404)</f>
        <v/>
      </c>
      <c r="D404" s="1" t="str">
        <f aca="false">IF(Brasil!C404="","",Brasil!E404)</f>
        <v/>
      </c>
      <c r="E404" s="1" t="str">
        <f aca="false">IF(Brasil!C404="","",Brasil!F404)</f>
        <v/>
      </c>
      <c r="F404" s="1" t="str">
        <f aca="false">IF(Brasil!C404="","",Brasil!D404)</f>
        <v/>
      </c>
      <c r="I404" s="1" t="str">
        <f aca="false">IF(Brasil!C404="","",Brasil!H404)</f>
        <v/>
      </c>
      <c r="J404" s="1" t="str">
        <f aca="false">IF(Brasil!C404="","",Brasil!D404*Brasil!H404)</f>
        <v/>
      </c>
      <c r="K404" s="1" t="str">
        <f aca="false">IF(Brasil!C404="","","BR")</f>
        <v/>
      </c>
      <c r="L404" s="1" t="str">
        <f aca="false">IF(Brasil!C404="","",IFERROR(INDEX(Gamma_Catalogo!$D$3:$D$1451,MATCH(Brasil!E404,Gamma_Catalogo!$A$3:$A$1451,0)),"Revisar Ip Code"))</f>
        <v/>
      </c>
      <c r="M404" s="1" t="str">
        <f aca="false">IF(Brasil!C404="","",IFERROR(INDEX(Gamma_Catalogo!$C$3:$C$1451,MATCH(Brasil!E404,Gamma_Catalogo!$A$3:$A$1451,0)),"Revisar Ip Code"))</f>
        <v/>
      </c>
      <c r="N404" s="1" t="str">
        <f aca="false">IF(Brasil!C404="","",IFERROR(INDEX(Gamma_Catalogo!$E$3:$E$1451,MATCH(Brasil!E404,Gamma_Catalogo!$A$3:$A$1451,0)),"Revisar Ip Code"))</f>
        <v/>
      </c>
      <c r="O404" s="1" t="str">
        <f aca="false">IF(Brasil!C404="","","Brasil")</f>
        <v/>
      </c>
    </row>
    <row r="405" customFormat="false" ht="15" hidden="false" customHeight="true" outlineLevel="0" collapsed="false">
      <c r="A405" s="1" t="str">
        <f aca="false">IF(Brasil!C405="","",IFERROR(INDEX(Mercados!$C$2:$C$32,MATCH(Brasil!B405,Mercados!$A$2:$A$32,0)),"Revisar Tscode"))</f>
        <v/>
      </c>
      <c r="B405" s="1" t="str">
        <f aca="false">IF(Brasil!C405="","",Brasil!C405)</f>
        <v/>
      </c>
      <c r="C405" s="1" t="str">
        <f aca="false">IF(Brasil!C405="","",Brasil!A405)</f>
        <v/>
      </c>
      <c r="D405" s="1" t="str">
        <f aca="false">IF(Brasil!C405="","",Brasil!E405)</f>
        <v/>
      </c>
      <c r="E405" s="1" t="str">
        <f aca="false">IF(Brasil!C405="","",Brasil!F405)</f>
        <v/>
      </c>
      <c r="F405" s="1" t="str">
        <f aca="false">IF(Brasil!C405="","",Brasil!D405)</f>
        <v/>
      </c>
      <c r="I405" s="1" t="str">
        <f aca="false">IF(Brasil!C405="","",Brasil!H405)</f>
        <v/>
      </c>
      <c r="J405" s="1" t="str">
        <f aca="false">IF(Brasil!C405="","",Brasil!D405*Brasil!H405)</f>
        <v/>
      </c>
      <c r="K405" s="1" t="str">
        <f aca="false">IF(Brasil!C405="","","BR")</f>
        <v/>
      </c>
      <c r="L405" s="1" t="str">
        <f aca="false">IF(Brasil!C405="","",IFERROR(INDEX(Gamma_Catalogo!$D$3:$D$1451,MATCH(Brasil!E405,Gamma_Catalogo!$A$3:$A$1451,0)),"Revisar Ip Code"))</f>
        <v/>
      </c>
      <c r="M405" s="1" t="str">
        <f aca="false">IF(Brasil!C405="","",IFERROR(INDEX(Gamma_Catalogo!$C$3:$C$1451,MATCH(Brasil!E405,Gamma_Catalogo!$A$3:$A$1451,0)),"Revisar Ip Code"))</f>
        <v/>
      </c>
      <c r="N405" s="1" t="str">
        <f aca="false">IF(Brasil!C405="","",IFERROR(INDEX(Gamma_Catalogo!$E$3:$E$1451,MATCH(Brasil!E405,Gamma_Catalogo!$A$3:$A$1451,0)),"Revisar Ip Code"))</f>
        <v/>
      </c>
      <c r="O405" s="1" t="str">
        <f aca="false">IF(Brasil!C405="","","Brasil")</f>
        <v/>
      </c>
    </row>
    <row r="406" customFormat="false" ht="15" hidden="false" customHeight="true" outlineLevel="0" collapsed="false">
      <c r="A406" s="1" t="str">
        <f aca="false">IF(Brasil!C406="","",IFERROR(INDEX(Mercados!$C$2:$C$32,MATCH(Brasil!B406,Mercados!$A$2:$A$32,0)),"Revisar Tscode"))</f>
        <v/>
      </c>
      <c r="B406" s="1" t="str">
        <f aca="false">IF(Brasil!C406="","",Brasil!C406)</f>
        <v/>
      </c>
      <c r="C406" s="1" t="str">
        <f aca="false">IF(Brasil!C406="","",Brasil!A406)</f>
        <v/>
      </c>
      <c r="D406" s="1" t="str">
        <f aca="false">IF(Brasil!C406="","",Brasil!E406)</f>
        <v/>
      </c>
      <c r="E406" s="1" t="str">
        <f aca="false">IF(Brasil!C406="","",Brasil!F406)</f>
        <v/>
      </c>
      <c r="F406" s="1" t="str">
        <f aca="false">IF(Brasil!C406="","",Brasil!D406)</f>
        <v/>
      </c>
      <c r="I406" s="1" t="str">
        <f aca="false">IF(Brasil!C406="","",Brasil!H406)</f>
        <v/>
      </c>
      <c r="J406" s="1" t="str">
        <f aca="false">IF(Brasil!C406="","",Brasil!D406*Brasil!H406)</f>
        <v/>
      </c>
      <c r="K406" s="1" t="str">
        <f aca="false">IF(Brasil!C406="","","BR")</f>
        <v/>
      </c>
      <c r="L406" s="1" t="str">
        <f aca="false">IF(Brasil!C406="","",IFERROR(INDEX(Gamma_Catalogo!$D$3:$D$1451,MATCH(Brasil!E406,Gamma_Catalogo!$A$3:$A$1451,0)),"Revisar Ip Code"))</f>
        <v/>
      </c>
      <c r="M406" s="1" t="str">
        <f aca="false">IF(Brasil!C406="","",IFERROR(INDEX(Gamma_Catalogo!$C$3:$C$1451,MATCH(Brasil!E406,Gamma_Catalogo!$A$3:$A$1451,0)),"Revisar Ip Code"))</f>
        <v/>
      </c>
      <c r="N406" s="1" t="str">
        <f aca="false">IF(Brasil!C406="","",IFERROR(INDEX(Gamma_Catalogo!$E$3:$E$1451,MATCH(Brasil!E406,Gamma_Catalogo!$A$3:$A$1451,0)),"Revisar Ip Code"))</f>
        <v/>
      </c>
      <c r="O406" s="1" t="str">
        <f aca="false">IF(Brasil!C406="","","Brasil")</f>
        <v/>
      </c>
    </row>
    <row r="407" customFormat="false" ht="15" hidden="false" customHeight="true" outlineLevel="0" collapsed="false">
      <c r="A407" s="1" t="str">
        <f aca="false">IF(Brasil!C407="","",IFERROR(INDEX(Mercados!$C$2:$C$32,MATCH(Brasil!B407,Mercados!$A$2:$A$32,0)),"Revisar Tscode"))</f>
        <v/>
      </c>
      <c r="B407" s="1" t="str">
        <f aca="false">IF(Brasil!C407="","",Brasil!C407)</f>
        <v/>
      </c>
      <c r="C407" s="1" t="str">
        <f aca="false">IF(Brasil!C407="","",Brasil!A407)</f>
        <v/>
      </c>
      <c r="D407" s="1" t="str">
        <f aca="false">IF(Brasil!C407="","",Brasil!E407)</f>
        <v/>
      </c>
      <c r="E407" s="1" t="str">
        <f aca="false">IF(Brasil!C407="","",Brasil!F407)</f>
        <v/>
      </c>
      <c r="F407" s="1" t="str">
        <f aca="false">IF(Brasil!C407="","",Brasil!D407)</f>
        <v/>
      </c>
      <c r="I407" s="1" t="str">
        <f aca="false">IF(Brasil!C407="","",Brasil!H407)</f>
        <v/>
      </c>
      <c r="J407" s="1" t="str">
        <f aca="false">IF(Brasil!C407="","",Brasil!D407*Brasil!H407)</f>
        <v/>
      </c>
      <c r="K407" s="1" t="str">
        <f aca="false">IF(Brasil!C407="","","BR")</f>
        <v/>
      </c>
      <c r="L407" s="1" t="str">
        <f aca="false">IF(Brasil!C407="","",IFERROR(INDEX(Gamma_Catalogo!$D$3:$D$1451,MATCH(Brasil!E407,Gamma_Catalogo!$A$3:$A$1451,0)),"Revisar Ip Code"))</f>
        <v/>
      </c>
      <c r="M407" s="1" t="str">
        <f aca="false">IF(Brasil!C407="","",IFERROR(INDEX(Gamma_Catalogo!$C$3:$C$1451,MATCH(Brasil!E407,Gamma_Catalogo!$A$3:$A$1451,0)),"Revisar Ip Code"))</f>
        <v/>
      </c>
      <c r="N407" s="1" t="str">
        <f aca="false">IF(Brasil!C407="","",IFERROR(INDEX(Gamma_Catalogo!$E$3:$E$1451,MATCH(Brasil!E407,Gamma_Catalogo!$A$3:$A$1451,0)),"Revisar Ip Code"))</f>
        <v/>
      </c>
      <c r="O407" s="1" t="str">
        <f aca="false">IF(Brasil!C407="","","Brasil")</f>
        <v/>
      </c>
    </row>
    <row r="408" customFormat="false" ht="15" hidden="false" customHeight="true" outlineLevel="0" collapsed="false">
      <c r="A408" s="1" t="str">
        <f aca="false">IF(Brasil!C408="","",IFERROR(INDEX(Mercados!$C$2:$C$32,MATCH(Brasil!B408,Mercados!$A$2:$A$32,0)),"Revisar Tscode"))</f>
        <v/>
      </c>
      <c r="B408" s="1" t="str">
        <f aca="false">IF(Brasil!C408="","",Brasil!C408)</f>
        <v/>
      </c>
      <c r="C408" s="1" t="str">
        <f aca="false">IF(Brasil!C408="","",Brasil!A408)</f>
        <v/>
      </c>
      <c r="D408" s="1" t="str">
        <f aca="false">IF(Brasil!C408="","",Brasil!E408)</f>
        <v/>
      </c>
      <c r="E408" s="1" t="str">
        <f aca="false">IF(Brasil!C408="","",Brasil!F408)</f>
        <v/>
      </c>
      <c r="F408" s="1" t="str">
        <f aca="false">IF(Brasil!C408="","",Brasil!D408)</f>
        <v/>
      </c>
      <c r="I408" s="1" t="str">
        <f aca="false">IF(Brasil!C408="","",Brasil!H408)</f>
        <v/>
      </c>
      <c r="J408" s="1" t="str">
        <f aca="false">IF(Brasil!C408="","",Brasil!D408*Brasil!H408)</f>
        <v/>
      </c>
      <c r="K408" s="1" t="str">
        <f aca="false">IF(Brasil!C408="","","BR")</f>
        <v/>
      </c>
      <c r="L408" s="1" t="str">
        <f aca="false">IF(Brasil!C408="","",IFERROR(INDEX(Gamma_Catalogo!$D$3:$D$1451,MATCH(Brasil!E408,Gamma_Catalogo!$A$3:$A$1451,0)),"Revisar Ip Code"))</f>
        <v/>
      </c>
      <c r="M408" s="1" t="str">
        <f aca="false">IF(Brasil!C408="","",IFERROR(INDEX(Gamma_Catalogo!$C$3:$C$1451,MATCH(Brasil!E408,Gamma_Catalogo!$A$3:$A$1451,0)),"Revisar Ip Code"))</f>
        <v/>
      </c>
      <c r="N408" s="1" t="str">
        <f aca="false">IF(Brasil!C408="","",IFERROR(INDEX(Gamma_Catalogo!$E$3:$E$1451,MATCH(Brasil!E408,Gamma_Catalogo!$A$3:$A$1451,0)),"Revisar Ip Code"))</f>
        <v/>
      </c>
      <c r="O408" s="1" t="str">
        <f aca="false">IF(Brasil!C408="","","Brasil")</f>
        <v/>
      </c>
    </row>
    <row r="409" customFormat="false" ht="15" hidden="false" customHeight="true" outlineLevel="0" collapsed="false">
      <c r="A409" s="1" t="str">
        <f aca="false">IF(Brasil!C409="","",IFERROR(INDEX(Mercados!$C$2:$C$32,MATCH(Brasil!B409,Mercados!$A$2:$A$32,0)),"Revisar Tscode"))</f>
        <v/>
      </c>
      <c r="B409" s="1" t="str">
        <f aca="false">IF(Brasil!C409="","",Brasil!C409)</f>
        <v/>
      </c>
      <c r="C409" s="1" t="str">
        <f aca="false">IF(Brasil!C409="","",Brasil!A409)</f>
        <v/>
      </c>
      <c r="D409" s="1" t="str">
        <f aca="false">IF(Brasil!C409="","",Brasil!E409)</f>
        <v/>
      </c>
      <c r="E409" s="1" t="str">
        <f aca="false">IF(Brasil!C409="","",Brasil!F409)</f>
        <v/>
      </c>
      <c r="F409" s="1" t="str">
        <f aca="false">IF(Brasil!C409="","",Brasil!D409)</f>
        <v/>
      </c>
      <c r="I409" s="1" t="str">
        <f aca="false">IF(Brasil!C409="","",Brasil!H409)</f>
        <v/>
      </c>
      <c r="J409" s="1" t="str">
        <f aca="false">IF(Brasil!C409="","",Brasil!D409*Brasil!H409)</f>
        <v/>
      </c>
      <c r="K409" s="1" t="str">
        <f aca="false">IF(Brasil!C409="","","BR")</f>
        <v/>
      </c>
      <c r="L409" s="1" t="str">
        <f aca="false">IF(Brasil!C409="","",IFERROR(INDEX(Gamma_Catalogo!$D$3:$D$1451,MATCH(Brasil!E409,Gamma_Catalogo!$A$3:$A$1451,0)),"Revisar Ip Code"))</f>
        <v/>
      </c>
      <c r="M409" s="1" t="str">
        <f aca="false">IF(Brasil!C409="","",IFERROR(INDEX(Gamma_Catalogo!$C$3:$C$1451,MATCH(Brasil!E409,Gamma_Catalogo!$A$3:$A$1451,0)),"Revisar Ip Code"))</f>
        <v/>
      </c>
      <c r="N409" s="1" t="str">
        <f aca="false">IF(Brasil!C409="","",IFERROR(INDEX(Gamma_Catalogo!$E$3:$E$1451,MATCH(Brasil!E409,Gamma_Catalogo!$A$3:$A$1451,0)),"Revisar Ip Code"))</f>
        <v/>
      </c>
      <c r="O409" s="1" t="str">
        <f aca="false">IF(Brasil!C409="","","Brasil")</f>
        <v/>
      </c>
    </row>
    <row r="410" customFormat="false" ht="15" hidden="false" customHeight="true" outlineLevel="0" collapsed="false">
      <c r="A410" s="1" t="str">
        <f aca="false">IF(Brasil!C410="","",IFERROR(INDEX(Mercados!$C$2:$C$32,MATCH(Brasil!B410,Mercados!$A$2:$A$32,0)),"Revisar Tscode"))</f>
        <v/>
      </c>
      <c r="B410" s="1" t="str">
        <f aca="false">IF(Brasil!C410="","",Brasil!C410)</f>
        <v/>
      </c>
      <c r="C410" s="1" t="str">
        <f aca="false">IF(Brasil!C410="","",Brasil!A410)</f>
        <v/>
      </c>
      <c r="D410" s="1" t="str">
        <f aca="false">IF(Brasil!C410="","",Brasil!E410)</f>
        <v/>
      </c>
      <c r="E410" s="1" t="str">
        <f aca="false">IF(Brasil!C410="","",Brasil!F410)</f>
        <v/>
      </c>
      <c r="F410" s="1" t="str">
        <f aca="false">IF(Brasil!C410="","",Brasil!D410)</f>
        <v/>
      </c>
      <c r="I410" s="1" t="str">
        <f aca="false">IF(Brasil!C410="","",Brasil!H410)</f>
        <v/>
      </c>
      <c r="J410" s="1" t="str">
        <f aca="false">IF(Brasil!C410="","",Brasil!D410*Brasil!H410)</f>
        <v/>
      </c>
      <c r="K410" s="1" t="str">
        <f aca="false">IF(Brasil!C410="","","BR")</f>
        <v/>
      </c>
      <c r="L410" s="1" t="str">
        <f aca="false">IF(Brasil!C410="","",IFERROR(INDEX(Gamma_Catalogo!$D$3:$D$1451,MATCH(Brasil!E410,Gamma_Catalogo!$A$3:$A$1451,0)),"Revisar Ip Code"))</f>
        <v/>
      </c>
      <c r="M410" s="1" t="str">
        <f aca="false">IF(Brasil!C410="","",IFERROR(INDEX(Gamma_Catalogo!$C$3:$C$1451,MATCH(Brasil!E410,Gamma_Catalogo!$A$3:$A$1451,0)),"Revisar Ip Code"))</f>
        <v/>
      </c>
      <c r="N410" s="1" t="str">
        <f aca="false">IF(Brasil!C410="","",IFERROR(INDEX(Gamma_Catalogo!$E$3:$E$1451,MATCH(Brasil!E410,Gamma_Catalogo!$A$3:$A$1451,0)),"Revisar Ip Code"))</f>
        <v/>
      </c>
      <c r="O410" s="1" t="str">
        <f aca="false">IF(Brasil!C410="","","Brasil")</f>
        <v/>
      </c>
    </row>
    <row r="411" customFormat="false" ht="15" hidden="false" customHeight="true" outlineLevel="0" collapsed="false">
      <c r="A411" s="1" t="str">
        <f aca="false">IF(Brasil!C411="","",IFERROR(INDEX(Mercados!$C$2:$C$32,MATCH(Brasil!B411,Mercados!$A$2:$A$32,0)),"Revisar Tscode"))</f>
        <v/>
      </c>
      <c r="B411" s="1" t="str">
        <f aca="false">IF(Brasil!C411="","",Brasil!C411)</f>
        <v/>
      </c>
      <c r="C411" s="1" t="str">
        <f aca="false">IF(Brasil!C411="","",Brasil!A411)</f>
        <v/>
      </c>
      <c r="D411" s="1" t="str">
        <f aca="false">IF(Brasil!C411="","",Brasil!E411)</f>
        <v/>
      </c>
      <c r="E411" s="1" t="str">
        <f aca="false">IF(Brasil!C411="","",Brasil!F411)</f>
        <v/>
      </c>
      <c r="F411" s="1" t="str">
        <f aca="false">IF(Brasil!C411="","",Brasil!D411)</f>
        <v/>
      </c>
      <c r="I411" s="1" t="str">
        <f aca="false">IF(Brasil!C411="","",Brasil!H411)</f>
        <v/>
      </c>
      <c r="J411" s="1" t="str">
        <f aca="false">IF(Brasil!C411="","",Brasil!D411*Brasil!H411)</f>
        <v/>
      </c>
      <c r="K411" s="1" t="str">
        <f aca="false">IF(Brasil!C411="","","BR")</f>
        <v/>
      </c>
      <c r="L411" s="1" t="str">
        <f aca="false">IF(Brasil!C411="","",IFERROR(INDEX(Gamma_Catalogo!$D$3:$D$1451,MATCH(Brasil!E411,Gamma_Catalogo!$A$3:$A$1451,0)),"Revisar Ip Code"))</f>
        <v/>
      </c>
      <c r="M411" s="1" t="str">
        <f aca="false">IF(Brasil!C411="","",IFERROR(INDEX(Gamma_Catalogo!$C$3:$C$1451,MATCH(Brasil!E411,Gamma_Catalogo!$A$3:$A$1451,0)),"Revisar Ip Code"))</f>
        <v/>
      </c>
      <c r="N411" s="1" t="str">
        <f aca="false">IF(Brasil!C411="","",IFERROR(INDEX(Gamma_Catalogo!$E$3:$E$1451,MATCH(Brasil!E411,Gamma_Catalogo!$A$3:$A$1451,0)),"Revisar Ip Code"))</f>
        <v/>
      </c>
      <c r="O411" s="1" t="str">
        <f aca="false">IF(Brasil!C411="","","Brasil")</f>
        <v/>
      </c>
    </row>
    <row r="412" customFormat="false" ht="15" hidden="false" customHeight="true" outlineLevel="0" collapsed="false">
      <c r="A412" s="1" t="str">
        <f aca="false">IF(Brasil!C412="","",IFERROR(INDEX(Mercados!$C$2:$C$32,MATCH(Brasil!B412,Mercados!$A$2:$A$32,0)),"Revisar Tscode"))</f>
        <v/>
      </c>
      <c r="B412" s="1" t="str">
        <f aca="false">IF(Brasil!C412="","",Brasil!C412)</f>
        <v/>
      </c>
      <c r="C412" s="1" t="str">
        <f aca="false">IF(Brasil!C412="","",Brasil!A412)</f>
        <v/>
      </c>
      <c r="D412" s="1" t="str">
        <f aca="false">IF(Brasil!C412="","",Brasil!E412)</f>
        <v/>
      </c>
      <c r="E412" s="1" t="str">
        <f aca="false">IF(Brasil!C412="","",Brasil!F412)</f>
        <v/>
      </c>
      <c r="F412" s="1" t="str">
        <f aca="false">IF(Brasil!C412="","",Brasil!D412)</f>
        <v/>
      </c>
      <c r="I412" s="1" t="str">
        <f aca="false">IF(Brasil!C412="","",Brasil!H412)</f>
        <v/>
      </c>
      <c r="J412" s="1" t="str">
        <f aca="false">IF(Brasil!C412="","",Brasil!D412*Brasil!H412)</f>
        <v/>
      </c>
      <c r="K412" s="1" t="str">
        <f aca="false">IF(Brasil!C412="","","BR")</f>
        <v/>
      </c>
      <c r="L412" s="1" t="str">
        <f aca="false">IF(Brasil!C412="","",IFERROR(INDEX(Gamma_Catalogo!$D$3:$D$1451,MATCH(Brasil!E412,Gamma_Catalogo!$A$3:$A$1451,0)),"Revisar Ip Code"))</f>
        <v/>
      </c>
      <c r="M412" s="1" t="str">
        <f aca="false">IF(Brasil!C412="","",IFERROR(INDEX(Gamma_Catalogo!$C$3:$C$1451,MATCH(Brasil!E412,Gamma_Catalogo!$A$3:$A$1451,0)),"Revisar Ip Code"))</f>
        <v/>
      </c>
      <c r="N412" s="1" t="str">
        <f aca="false">IF(Brasil!C412="","",IFERROR(INDEX(Gamma_Catalogo!$E$3:$E$1451,MATCH(Brasil!E412,Gamma_Catalogo!$A$3:$A$1451,0)),"Revisar Ip Code"))</f>
        <v/>
      </c>
      <c r="O412" s="1" t="str">
        <f aca="false">IF(Brasil!C412="","","Brasil")</f>
        <v/>
      </c>
    </row>
    <row r="413" customFormat="false" ht="15" hidden="false" customHeight="true" outlineLevel="0" collapsed="false">
      <c r="A413" s="1" t="str">
        <f aca="false">IF(Brasil!C413="","",IFERROR(INDEX(Mercados!$C$2:$C$32,MATCH(Brasil!B413,Mercados!$A$2:$A$32,0)),"Revisar Tscode"))</f>
        <v/>
      </c>
      <c r="B413" s="1" t="str">
        <f aca="false">IF(Brasil!C413="","",Brasil!C413)</f>
        <v/>
      </c>
      <c r="C413" s="1" t="str">
        <f aca="false">IF(Brasil!C413="","",Brasil!A413)</f>
        <v/>
      </c>
      <c r="D413" s="1" t="str">
        <f aca="false">IF(Brasil!C413="","",Brasil!E413)</f>
        <v/>
      </c>
      <c r="E413" s="1" t="str">
        <f aca="false">IF(Brasil!C413="","",Brasil!F413)</f>
        <v/>
      </c>
      <c r="F413" s="1" t="str">
        <f aca="false">IF(Brasil!C413="","",Brasil!D413)</f>
        <v/>
      </c>
      <c r="I413" s="1" t="str">
        <f aca="false">IF(Brasil!C413="","",Brasil!H413)</f>
        <v/>
      </c>
      <c r="J413" s="1" t="str">
        <f aca="false">IF(Brasil!C413="","",Brasil!D413*Brasil!H413)</f>
        <v/>
      </c>
      <c r="K413" s="1" t="str">
        <f aca="false">IF(Brasil!C413="","","BR")</f>
        <v/>
      </c>
      <c r="L413" s="1" t="str">
        <f aca="false">IF(Brasil!C413="","",IFERROR(INDEX(Gamma_Catalogo!$D$3:$D$1451,MATCH(Brasil!E413,Gamma_Catalogo!$A$3:$A$1451,0)),"Revisar Ip Code"))</f>
        <v/>
      </c>
      <c r="M413" s="1" t="str">
        <f aca="false">IF(Brasil!C413="","",IFERROR(INDEX(Gamma_Catalogo!$C$3:$C$1451,MATCH(Brasil!E413,Gamma_Catalogo!$A$3:$A$1451,0)),"Revisar Ip Code"))</f>
        <v/>
      </c>
      <c r="N413" s="1" t="str">
        <f aca="false">IF(Brasil!C413="","",IFERROR(INDEX(Gamma_Catalogo!$E$3:$E$1451,MATCH(Brasil!E413,Gamma_Catalogo!$A$3:$A$1451,0)),"Revisar Ip Code"))</f>
        <v/>
      </c>
      <c r="O413" s="1" t="str">
        <f aca="false">IF(Brasil!C413="","","Brasil")</f>
        <v/>
      </c>
    </row>
    <row r="414" customFormat="false" ht="15" hidden="false" customHeight="true" outlineLevel="0" collapsed="false">
      <c r="A414" s="1" t="str">
        <f aca="false">IF(Brasil!C414="","",IFERROR(INDEX(Mercados!$C$2:$C$32,MATCH(Brasil!B414,Mercados!$A$2:$A$32,0)),"Revisar Tscode"))</f>
        <v/>
      </c>
      <c r="B414" s="1" t="str">
        <f aca="false">IF(Brasil!C414="","",Brasil!C414)</f>
        <v/>
      </c>
      <c r="C414" s="1" t="str">
        <f aca="false">IF(Brasil!C414="","",Brasil!A414)</f>
        <v/>
      </c>
      <c r="D414" s="1" t="str">
        <f aca="false">IF(Brasil!C414="","",Brasil!E414)</f>
        <v/>
      </c>
      <c r="E414" s="1" t="str">
        <f aca="false">IF(Brasil!C414="","",Brasil!F414)</f>
        <v/>
      </c>
      <c r="F414" s="1" t="str">
        <f aca="false">IF(Brasil!C414="","",Brasil!D414)</f>
        <v/>
      </c>
      <c r="I414" s="1" t="str">
        <f aca="false">IF(Brasil!C414="","",Brasil!H414)</f>
        <v/>
      </c>
      <c r="J414" s="1" t="str">
        <f aca="false">IF(Brasil!C414="","",Brasil!D414*Brasil!H414)</f>
        <v/>
      </c>
      <c r="K414" s="1" t="str">
        <f aca="false">IF(Brasil!C414="","","BR")</f>
        <v/>
      </c>
      <c r="L414" s="1" t="str">
        <f aca="false">IF(Brasil!C414="","",IFERROR(INDEX(Gamma_Catalogo!$D$3:$D$1451,MATCH(Brasil!E414,Gamma_Catalogo!$A$3:$A$1451,0)),"Revisar Ip Code"))</f>
        <v/>
      </c>
      <c r="M414" s="1" t="str">
        <f aca="false">IF(Brasil!C414="","",IFERROR(INDEX(Gamma_Catalogo!$C$3:$C$1451,MATCH(Brasil!E414,Gamma_Catalogo!$A$3:$A$1451,0)),"Revisar Ip Code"))</f>
        <v/>
      </c>
      <c r="N414" s="1" t="str">
        <f aca="false">IF(Brasil!C414="","",IFERROR(INDEX(Gamma_Catalogo!$E$3:$E$1451,MATCH(Brasil!E414,Gamma_Catalogo!$A$3:$A$1451,0)),"Revisar Ip Code"))</f>
        <v/>
      </c>
      <c r="O414" s="1" t="str">
        <f aca="false">IF(Brasil!C414="","","Brasil")</f>
        <v/>
      </c>
    </row>
    <row r="415" customFormat="false" ht="15" hidden="false" customHeight="true" outlineLevel="0" collapsed="false">
      <c r="A415" s="1" t="str">
        <f aca="false">IF(Brasil!C415="","",IFERROR(INDEX(Mercados!$C$2:$C$32,MATCH(Brasil!B415,Mercados!$A$2:$A$32,0)),"Revisar Tscode"))</f>
        <v/>
      </c>
      <c r="B415" s="1" t="str">
        <f aca="false">IF(Brasil!C415="","",Brasil!C415)</f>
        <v/>
      </c>
      <c r="C415" s="1" t="str">
        <f aca="false">IF(Brasil!C415="","",Brasil!A415)</f>
        <v/>
      </c>
      <c r="D415" s="1" t="str">
        <f aca="false">IF(Brasil!C415="","",Brasil!E415)</f>
        <v/>
      </c>
      <c r="E415" s="1" t="str">
        <f aca="false">IF(Brasil!C415="","",Brasil!F415)</f>
        <v/>
      </c>
      <c r="F415" s="1" t="str">
        <f aca="false">IF(Brasil!C415="","",Brasil!D415)</f>
        <v/>
      </c>
      <c r="I415" s="1" t="str">
        <f aca="false">IF(Brasil!C415="","",Brasil!H415)</f>
        <v/>
      </c>
      <c r="J415" s="1" t="str">
        <f aca="false">IF(Brasil!C415="","",Brasil!D415*Brasil!H415)</f>
        <v/>
      </c>
      <c r="K415" s="1" t="str">
        <f aca="false">IF(Brasil!C415="","","BR")</f>
        <v/>
      </c>
      <c r="L415" s="1" t="str">
        <f aca="false">IF(Brasil!C415="","",IFERROR(INDEX(Gamma_Catalogo!$D$3:$D$1451,MATCH(Brasil!E415,Gamma_Catalogo!$A$3:$A$1451,0)),"Revisar Ip Code"))</f>
        <v/>
      </c>
      <c r="M415" s="1" t="str">
        <f aca="false">IF(Brasil!C415="","",IFERROR(INDEX(Gamma_Catalogo!$C$3:$C$1451,MATCH(Brasil!E415,Gamma_Catalogo!$A$3:$A$1451,0)),"Revisar Ip Code"))</f>
        <v/>
      </c>
      <c r="N415" s="1" t="str">
        <f aca="false">IF(Brasil!C415="","",IFERROR(INDEX(Gamma_Catalogo!$E$3:$E$1451,MATCH(Brasil!E415,Gamma_Catalogo!$A$3:$A$1451,0)),"Revisar Ip Code"))</f>
        <v/>
      </c>
      <c r="O415" s="1" t="str">
        <f aca="false">IF(Brasil!C415="","","Brasil")</f>
        <v/>
      </c>
    </row>
    <row r="416" customFormat="false" ht="15" hidden="false" customHeight="true" outlineLevel="0" collapsed="false">
      <c r="A416" s="1" t="str">
        <f aca="false">IF(Brasil!C416="","",IFERROR(INDEX(Mercados!$C$2:$C$32,MATCH(Brasil!B416,Mercados!$A$2:$A$32,0)),"Revisar Tscode"))</f>
        <v/>
      </c>
      <c r="B416" s="1" t="str">
        <f aca="false">IF(Brasil!C416="","",Brasil!C416)</f>
        <v/>
      </c>
      <c r="C416" s="1" t="str">
        <f aca="false">IF(Brasil!C416="","",Brasil!A416)</f>
        <v/>
      </c>
      <c r="D416" s="1" t="str">
        <f aca="false">IF(Brasil!C416="","",Brasil!E416)</f>
        <v/>
      </c>
      <c r="E416" s="1" t="str">
        <f aca="false">IF(Brasil!C416="","",Brasil!F416)</f>
        <v/>
      </c>
      <c r="F416" s="1" t="str">
        <f aca="false">IF(Brasil!C416="","",Brasil!D416)</f>
        <v/>
      </c>
      <c r="I416" s="1" t="str">
        <f aca="false">IF(Brasil!C416="","",Brasil!H416)</f>
        <v/>
      </c>
      <c r="J416" s="1" t="str">
        <f aca="false">IF(Brasil!C416="","",Brasil!D416*Brasil!H416)</f>
        <v/>
      </c>
      <c r="K416" s="1" t="str">
        <f aca="false">IF(Brasil!C416="","","BR")</f>
        <v/>
      </c>
      <c r="L416" s="1" t="str">
        <f aca="false">IF(Brasil!C416="","",IFERROR(INDEX(Gamma_Catalogo!$D$3:$D$1451,MATCH(Brasil!E416,Gamma_Catalogo!$A$3:$A$1451,0)),"Revisar Ip Code"))</f>
        <v/>
      </c>
      <c r="M416" s="1" t="str">
        <f aca="false">IF(Brasil!C416="","",IFERROR(INDEX(Gamma_Catalogo!$C$3:$C$1451,MATCH(Brasil!E416,Gamma_Catalogo!$A$3:$A$1451,0)),"Revisar Ip Code"))</f>
        <v/>
      </c>
      <c r="N416" s="1" t="str">
        <f aca="false">IF(Brasil!C416="","",IFERROR(INDEX(Gamma_Catalogo!$E$3:$E$1451,MATCH(Brasil!E416,Gamma_Catalogo!$A$3:$A$1451,0)),"Revisar Ip Code"))</f>
        <v/>
      </c>
      <c r="O416" s="1" t="str">
        <f aca="false">IF(Brasil!C416="","","Brasil")</f>
        <v/>
      </c>
    </row>
    <row r="417" customFormat="false" ht="15" hidden="false" customHeight="true" outlineLevel="0" collapsed="false">
      <c r="A417" s="1" t="str">
        <f aca="false">IF(Brasil!C417="","",IFERROR(INDEX(Mercados!$C$2:$C$32,MATCH(Brasil!B417,Mercados!$A$2:$A$32,0)),"Revisar Tscode"))</f>
        <v/>
      </c>
      <c r="B417" s="1" t="str">
        <f aca="false">IF(Brasil!C417="","",Brasil!C417)</f>
        <v/>
      </c>
      <c r="C417" s="1" t="str">
        <f aca="false">IF(Brasil!C417="","",Brasil!A417)</f>
        <v/>
      </c>
      <c r="D417" s="1" t="str">
        <f aca="false">IF(Brasil!C417="","",Brasil!E417)</f>
        <v/>
      </c>
      <c r="E417" s="1" t="str">
        <f aca="false">IF(Brasil!C417="","",Brasil!F417)</f>
        <v/>
      </c>
      <c r="F417" s="1" t="str">
        <f aca="false">IF(Brasil!C417="","",Brasil!D417)</f>
        <v/>
      </c>
      <c r="I417" s="1" t="str">
        <f aca="false">IF(Brasil!C417="","",Brasil!H417)</f>
        <v/>
      </c>
      <c r="J417" s="1" t="str">
        <f aca="false">IF(Brasil!C417="","",Brasil!D417*Brasil!H417)</f>
        <v/>
      </c>
      <c r="K417" s="1" t="str">
        <f aca="false">IF(Brasil!C417="","","BR")</f>
        <v/>
      </c>
      <c r="L417" s="1" t="str">
        <f aca="false">IF(Brasil!C417="","",IFERROR(INDEX(Gamma_Catalogo!$D$3:$D$1451,MATCH(Brasil!E417,Gamma_Catalogo!$A$3:$A$1451,0)),"Revisar Ip Code"))</f>
        <v/>
      </c>
      <c r="M417" s="1" t="str">
        <f aca="false">IF(Brasil!C417="","",IFERROR(INDEX(Gamma_Catalogo!$C$3:$C$1451,MATCH(Brasil!E417,Gamma_Catalogo!$A$3:$A$1451,0)),"Revisar Ip Code"))</f>
        <v/>
      </c>
      <c r="N417" s="1" t="str">
        <f aca="false">IF(Brasil!C417="","",IFERROR(INDEX(Gamma_Catalogo!$E$3:$E$1451,MATCH(Brasil!E417,Gamma_Catalogo!$A$3:$A$1451,0)),"Revisar Ip Code"))</f>
        <v/>
      </c>
      <c r="O417" s="1" t="str">
        <f aca="false">IF(Brasil!C417="","","Brasil")</f>
        <v/>
      </c>
    </row>
    <row r="418" customFormat="false" ht="15" hidden="false" customHeight="true" outlineLevel="0" collapsed="false">
      <c r="A418" s="1" t="str">
        <f aca="false">IF(Brasil!C418="","",IFERROR(INDEX(Mercados!$C$2:$C$32,MATCH(Brasil!B418,Mercados!$A$2:$A$32,0)),"Revisar Tscode"))</f>
        <v/>
      </c>
      <c r="B418" s="1" t="str">
        <f aca="false">IF(Brasil!C418="","",Brasil!C418)</f>
        <v/>
      </c>
      <c r="C418" s="1" t="str">
        <f aca="false">IF(Brasil!C418="","",Brasil!A418)</f>
        <v/>
      </c>
      <c r="D418" s="1" t="str">
        <f aca="false">IF(Brasil!C418="","",Brasil!E418)</f>
        <v/>
      </c>
      <c r="E418" s="1" t="str">
        <f aca="false">IF(Brasil!C418="","",Brasil!F418)</f>
        <v/>
      </c>
      <c r="F418" s="1" t="str">
        <f aca="false">IF(Brasil!C418="","",Brasil!D418)</f>
        <v/>
      </c>
      <c r="I418" s="1" t="str">
        <f aca="false">IF(Brasil!C418="","",Brasil!H418)</f>
        <v/>
      </c>
      <c r="J418" s="1" t="str">
        <f aca="false">IF(Brasil!C418="","",Brasil!D418*Brasil!H418)</f>
        <v/>
      </c>
      <c r="K418" s="1" t="str">
        <f aca="false">IF(Brasil!C418="","","BR")</f>
        <v/>
      </c>
      <c r="L418" s="1" t="str">
        <f aca="false">IF(Brasil!C418="","",IFERROR(INDEX(Gamma_Catalogo!$D$3:$D$1451,MATCH(Brasil!E418,Gamma_Catalogo!$A$3:$A$1451,0)),"Revisar Ip Code"))</f>
        <v/>
      </c>
      <c r="M418" s="1" t="str">
        <f aca="false">IF(Brasil!C418="","",IFERROR(INDEX(Gamma_Catalogo!$C$3:$C$1451,MATCH(Brasil!E418,Gamma_Catalogo!$A$3:$A$1451,0)),"Revisar Ip Code"))</f>
        <v/>
      </c>
      <c r="N418" s="1" t="str">
        <f aca="false">IF(Brasil!C418="","",IFERROR(INDEX(Gamma_Catalogo!$E$3:$E$1451,MATCH(Brasil!E418,Gamma_Catalogo!$A$3:$A$1451,0)),"Revisar Ip Code"))</f>
        <v/>
      </c>
      <c r="O418" s="1" t="str">
        <f aca="false">IF(Brasil!C418="","","Brasil")</f>
        <v/>
      </c>
    </row>
    <row r="419" customFormat="false" ht="15" hidden="false" customHeight="true" outlineLevel="0" collapsed="false">
      <c r="A419" s="1" t="str">
        <f aca="false">IF(Brasil!C419="","",IFERROR(INDEX(Mercados!$C$2:$C$32,MATCH(Brasil!B419,Mercados!$A$2:$A$32,0)),"Revisar Tscode"))</f>
        <v/>
      </c>
      <c r="B419" s="1" t="str">
        <f aca="false">IF(Brasil!C419="","",Brasil!C419)</f>
        <v/>
      </c>
      <c r="C419" s="1" t="str">
        <f aca="false">IF(Brasil!C419="","",Brasil!A419)</f>
        <v/>
      </c>
      <c r="D419" s="1" t="str">
        <f aca="false">IF(Brasil!C419="","",Brasil!E419)</f>
        <v/>
      </c>
      <c r="E419" s="1" t="str">
        <f aca="false">IF(Brasil!C419="","",Brasil!F419)</f>
        <v/>
      </c>
      <c r="F419" s="1" t="str">
        <f aca="false">IF(Brasil!C419="","",Brasil!D419)</f>
        <v/>
      </c>
      <c r="I419" s="1" t="str">
        <f aca="false">IF(Brasil!C419="","",Brasil!H419)</f>
        <v/>
      </c>
      <c r="J419" s="1" t="str">
        <f aca="false">IF(Brasil!C419="","",Brasil!D419*Brasil!H419)</f>
        <v/>
      </c>
      <c r="K419" s="1" t="str">
        <f aca="false">IF(Brasil!C419="","","BR")</f>
        <v/>
      </c>
      <c r="L419" s="1" t="str">
        <f aca="false">IF(Brasil!C419="","",IFERROR(INDEX(Gamma_Catalogo!$D$3:$D$1451,MATCH(Brasil!E419,Gamma_Catalogo!$A$3:$A$1451,0)),"Revisar Ip Code"))</f>
        <v/>
      </c>
      <c r="M419" s="1" t="str">
        <f aca="false">IF(Brasil!C419="","",IFERROR(INDEX(Gamma_Catalogo!$C$3:$C$1451,MATCH(Brasil!E419,Gamma_Catalogo!$A$3:$A$1451,0)),"Revisar Ip Code"))</f>
        <v/>
      </c>
      <c r="N419" s="1" t="str">
        <f aca="false">IF(Brasil!C419="","",IFERROR(INDEX(Gamma_Catalogo!$E$3:$E$1451,MATCH(Brasil!E419,Gamma_Catalogo!$A$3:$A$1451,0)),"Revisar Ip Code"))</f>
        <v/>
      </c>
      <c r="O419" s="1" t="str">
        <f aca="false">IF(Brasil!C419="","","Brasil")</f>
        <v/>
      </c>
    </row>
    <row r="420" customFormat="false" ht="15" hidden="false" customHeight="true" outlineLevel="0" collapsed="false">
      <c r="A420" s="1" t="str">
        <f aca="false">IF(Brasil!C420="","",IFERROR(INDEX(Mercados!$C$2:$C$32,MATCH(Brasil!B420,Mercados!$A$2:$A$32,0)),"Revisar Tscode"))</f>
        <v/>
      </c>
      <c r="B420" s="1" t="str">
        <f aca="false">IF(Brasil!C420="","",Brasil!C420)</f>
        <v/>
      </c>
      <c r="C420" s="1" t="str">
        <f aca="false">IF(Brasil!C420="","",Brasil!A420)</f>
        <v/>
      </c>
      <c r="D420" s="1" t="str">
        <f aca="false">IF(Brasil!C420="","",Brasil!E420)</f>
        <v/>
      </c>
      <c r="E420" s="1" t="str">
        <f aca="false">IF(Brasil!C420="","",Brasil!F420)</f>
        <v/>
      </c>
      <c r="F420" s="1" t="str">
        <f aca="false">IF(Brasil!C420="","",Brasil!D420)</f>
        <v/>
      </c>
      <c r="I420" s="1" t="str">
        <f aca="false">IF(Brasil!C420="","",Brasil!H420)</f>
        <v/>
      </c>
      <c r="J420" s="1" t="str">
        <f aca="false">IF(Brasil!C420="","",Brasil!D420*Brasil!H420)</f>
        <v/>
      </c>
      <c r="K420" s="1" t="str">
        <f aca="false">IF(Brasil!C420="","","BR")</f>
        <v/>
      </c>
      <c r="L420" s="1" t="str">
        <f aca="false">IF(Brasil!C420="","",IFERROR(INDEX(Gamma_Catalogo!$D$3:$D$1451,MATCH(Brasil!E420,Gamma_Catalogo!$A$3:$A$1451,0)),"Revisar Ip Code"))</f>
        <v/>
      </c>
      <c r="M420" s="1" t="str">
        <f aca="false">IF(Brasil!C420="","",IFERROR(INDEX(Gamma_Catalogo!$C$3:$C$1451,MATCH(Brasil!E420,Gamma_Catalogo!$A$3:$A$1451,0)),"Revisar Ip Code"))</f>
        <v/>
      </c>
      <c r="N420" s="1" t="str">
        <f aca="false">IF(Brasil!C420="","",IFERROR(INDEX(Gamma_Catalogo!$E$3:$E$1451,MATCH(Brasil!E420,Gamma_Catalogo!$A$3:$A$1451,0)),"Revisar Ip Code"))</f>
        <v/>
      </c>
      <c r="O420" s="1" t="str">
        <f aca="false">IF(Brasil!C420="","","Brasil")</f>
        <v/>
      </c>
    </row>
    <row r="421" customFormat="false" ht="15" hidden="false" customHeight="true" outlineLevel="0" collapsed="false">
      <c r="A421" s="1" t="str">
        <f aca="false">IF(Brasil!C421="","",IFERROR(INDEX(Mercados!$C$2:$C$32,MATCH(Brasil!B421,Mercados!$A$2:$A$32,0)),"Revisar Tscode"))</f>
        <v/>
      </c>
      <c r="B421" s="1" t="str">
        <f aca="false">IF(Brasil!C421="","",Brasil!C421)</f>
        <v/>
      </c>
      <c r="C421" s="1" t="str">
        <f aca="false">IF(Brasil!C421="","",Brasil!A421)</f>
        <v/>
      </c>
      <c r="D421" s="1" t="str">
        <f aca="false">IF(Brasil!C421="","",Brasil!E421)</f>
        <v/>
      </c>
      <c r="E421" s="1" t="str">
        <f aca="false">IF(Brasil!C421="","",Brasil!F421)</f>
        <v/>
      </c>
      <c r="F421" s="1" t="str">
        <f aca="false">IF(Brasil!C421="","",Brasil!D421)</f>
        <v/>
      </c>
      <c r="I421" s="1" t="str">
        <f aca="false">IF(Brasil!C421="","",Brasil!H421)</f>
        <v/>
      </c>
      <c r="J421" s="1" t="str">
        <f aca="false">IF(Brasil!C421="","",Brasil!D421*Brasil!H421)</f>
        <v/>
      </c>
      <c r="K421" s="1" t="str">
        <f aca="false">IF(Brasil!C421="","","BR")</f>
        <v/>
      </c>
      <c r="L421" s="1" t="str">
        <f aca="false">IF(Brasil!C421="","",IFERROR(INDEX(Gamma_Catalogo!$D$3:$D$1451,MATCH(Brasil!E421,Gamma_Catalogo!$A$3:$A$1451,0)),"Revisar Ip Code"))</f>
        <v/>
      </c>
      <c r="M421" s="1" t="str">
        <f aca="false">IF(Brasil!C421="","",IFERROR(INDEX(Gamma_Catalogo!$C$3:$C$1451,MATCH(Brasil!E421,Gamma_Catalogo!$A$3:$A$1451,0)),"Revisar Ip Code"))</f>
        <v/>
      </c>
      <c r="N421" s="1" t="str">
        <f aca="false">IF(Brasil!C421="","",IFERROR(INDEX(Gamma_Catalogo!$E$3:$E$1451,MATCH(Brasil!E421,Gamma_Catalogo!$A$3:$A$1451,0)),"Revisar Ip Code"))</f>
        <v/>
      </c>
      <c r="O421" s="1" t="str">
        <f aca="false">IF(Brasil!C421="","","Brasil")</f>
        <v/>
      </c>
    </row>
    <row r="422" customFormat="false" ht="15" hidden="false" customHeight="true" outlineLevel="0" collapsed="false">
      <c r="A422" s="1" t="str">
        <f aca="false">IF(Brasil!C422="","",IFERROR(INDEX(Mercados!$C$2:$C$32,MATCH(Brasil!B422,Mercados!$A$2:$A$32,0)),"Revisar Tscode"))</f>
        <v/>
      </c>
      <c r="B422" s="1" t="str">
        <f aca="false">IF(Brasil!C422="","",Brasil!C422)</f>
        <v/>
      </c>
      <c r="C422" s="1" t="str">
        <f aca="false">IF(Brasil!C422="","",Brasil!A422)</f>
        <v/>
      </c>
      <c r="D422" s="1" t="str">
        <f aca="false">IF(Brasil!C422="","",Brasil!E422)</f>
        <v/>
      </c>
      <c r="E422" s="1" t="str">
        <f aca="false">IF(Brasil!C422="","",Brasil!F422)</f>
        <v/>
      </c>
      <c r="F422" s="1" t="str">
        <f aca="false">IF(Brasil!C422="","",Brasil!D422)</f>
        <v/>
      </c>
      <c r="I422" s="1" t="str">
        <f aca="false">IF(Brasil!C422="","",Brasil!H422)</f>
        <v/>
      </c>
      <c r="J422" s="1" t="str">
        <f aca="false">IF(Brasil!C422="","",Brasil!D422*Brasil!H422)</f>
        <v/>
      </c>
      <c r="K422" s="1" t="str">
        <f aca="false">IF(Brasil!C422="","","BR")</f>
        <v/>
      </c>
      <c r="L422" s="1" t="str">
        <f aca="false">IF(Brasil!C422="","",IFERROR(INDEX(Gamma_Catalogo!$D$3:$D$1451,MATCH(Brasil!E422,Gamma_Catalogo!$A$3:$A$1451,0)),"Revisar Ip Code"))</f>
        <v/>
      </c>
      <c r="M422" s="1" t="str">
        <f aca="false">IF(Brasil!C422="","",IFERROR(INDEX(Gamma_Catalogo!$C$3:$C$1451,MATCH(Brasil!E422,Gamma_Catalogo!$A$3:$A$1451,0)),"Revisar Ip Code"))</f>
        <v/>
      </c>
      <c r="N422" s="1" t="str">
        <f aca="false">IF(Brasil!C422="","",IFERROR(INDEX(Gamma_Catalogo!$E$3:$E$1451,MATCH(Brasil!E422,Gamma_Catalogo!$A$3:$A$1451,0)),"Revisar Ip Code"))</f>
        <v/>
      </c>
      <c r="O422" s="1" t="str">
        <f aca="false">IF(Brasil!C422="","","Brasil")</f>
        <v/>
      </c>
    </row>
    <row r="423" customFormat="false" ht="15" hidden="false" customHeight="true" outlineLevel="0" collapsed="false">
      <c r="A423" s="1" t="str">
        <f aca="false">IF(Brasil!C423="","",IFERROR(INDEX(Mercados!$C$2:$C$32,MATCH(Brasil!B423,Mercados!$A$2:$A$32,0)),"Revisar Tscode"))</f>
        <v/>
      </c>
      <c r="B423" s="1" t="str">
        <f aca="false">IF(Brasil!C423="","",Brasil!C423)</f>
        <v/>
      </c>
      <c r="C423" s="1" t="str">
        <f aca="false">IF(Brasil!C423="","",Brasil!A423)</f>
        <v/>
      </c>
      <c r="D423" s="1" t="str">
        <f aca="false">IF(Brasil!C423="","",Brasil!E423)</f>
        <v/>
      </c>
      <c r="E423" s="1" t="str">
        <f aca="false">IF(Brasil!C423="","",Brasil!F423)</f>
        <v/>
      </c>
      <c r="F423" s="1" t="str">
        <f aca="false">IF(Brasil!C423="","",Brasil!D423)</f>
        <v/>
      </c>
      <c r="I423" s="1" t="str">
        <f aca="false">IF(Brasil!C423="","",Brasil!H423)</f>
        <v/>
      </c>
      <c r="J423" s="1" t="str">
        <f aca="false">IF(Brasil!C423="","",Brasil!D423*Brasil!H423)</f>
        <v/>
      </c>
      <c r="K423" s="1" t="str">
        <f aca="false">IF(Brasil!C423="","","BR")</f>
        <v/>
      </c>
      <c r="L423" s="1" t="str">
        <f aca="false">IF(Brasil!C423="","",IFERROR(INDEX(Gamma_Catalogo!$D$3:$D$1451,MATCH(Brasil!E423,Gamma_Catalogo!$A$3:$A$1451,0)),"Revisar Ip Code"))</f>
        <v/>
      </c>
      <c r="M423" s="1" t="str">
        <f aca="false">IF(Brasil!C423="","",IFERROR(INDEX(Gamma_Catalogo!$C$3:$C$1451,MATCH(Brasil!E423,Gamma_Catalogo!$A$3:$A$1451,0)),"Revisar Ip Code"))</f>
        <v/>
      </c>
      <c r="N423" s="1" t="str">
        <f aca="false">IF(Brasil!C423="","",IFERROR(INDEX(Gamma_Catalogo!$E$3:$E$1451,MATCH(Brasil!E423,Gamma_Catalogo!$A$3:$A$1451,0)),"Revisar Ip Code"))</f>
        <v/>
      </c>
      <c r="O423" s="1" t="str">
        <f aca="false">IF(Brasil!C423="","","Brasil")</f>
        <v/>
      </c>
    </row>
    <row r="424" customFormat="false" ht="15" hidden="false" customHeight="true" outlineLevel="0" collapsed="false">
      <c r="A424" s="1" t="str">
        <f aca="false">IF(Brasil!C424="","",IFERROR(INDEX(Mercados!$C$2:$C$32,MATCH(Brasil!B424,Mercados!$A$2:$A$32,0)),"Revisar Tscode"))</f>
        <v/>
      </c>
      <c r="B424" s="1" t="str">
        <f aca="false">IF(Brasil!C424="","",Brasil!C424)</f>
        <v/>
      </c>
      <c r="C424" s="1" t="str">
        <f aca="false">IF(Brasil!C424="","",Brasil!A424)</f>
        <v/>
      </c>
      <c r="D424" s="1" t="str">
        <f aca="false">IF(Brasil!C424="","",Brasil!E424)</f>
        <v/>
      </c>
      <c r="E424" s="1" t="str">
        <f aca="false">IF(Brasil!C424="","",Brasil!F424)</f>
        <v/>
      </c>
      <c r="F424" s="1" t="str">
        <f aca="false">IF(Brasil!C424="","",Brasil!D424)</f>
        <v/>
      </c>
      <c r="I424" s="1" t="str">
        <f aca="false">IF(Brasil!C424="","",Brasil!H424)</f>
        <v/>
      </c>
      <c r="J424" s="1" t="str">
        <f aca="false">IF(Brasil!C424="","",Brasil!D424*Brasil!H424)</f>
        <v/>
      </c>
      <c r="K424" s="1" t="str">
        <f aca="false">IF(Brasil!C424="","","BR")</f>
        <v/>
      </c>
      <c r="L424" s="1" t="str">
        <f aca="false">IF(Brasil!C424="","",IFERROR(INDEX(Gamma_Catalogo!$D$3:$D$1451,MATCH(Brasil!E424,Gamma_Catalogo!$A$3:$A$1451,0)),"Revisar Ip Code"))</f>
        <v/>
      </c>
      <c r="M424" s="1" t="str">
        <f aca="false">IF(Brasil!C424="","",IFERROR(INDEX(Gamma_Catalogo!$C$3:$C$1451,MATCH(Brasil!E424,Gamma_Catalogo!$A$3:$A$1451,0)),"Revisar Ip Code"))</f>
        <v/>
      </c>
      <c r="N424" s="1" t="str">
        <f aca="false">IF(Brasil!C424="","",IFERROR(INDEX(Gamma_Catalogo!$E$3:$E$1451,MATCH(Brasil!E424,Gamma_Catalogo!$A$3:$A$1451,0)),"Revisar Ip Code"))</f>
        <v/>
      </c>
      <c r="O424" s="1" t="str">
        <f aca="false">IF(Brasil!C424="","","Brasil")</f>
        <v/>
      </c>
    </row>
    <row r="425" customFormat="false" ht="15" hidden="false" customHeight="true" outlineLevel="0" collapsed="false">
      <c r="A425" s="1" t="str">
        <f aca="false">IF(Brasil!C425="","",IFERROR(INDEX(Mercados!$C$2:$C$32,MATCH(Brasil!B425,Mercados!$A$2:$A$32,0)),"Revisar Tscode"))</f>
        <v/>
      </c>
      <c r="B425" s="1" t="str">
        <f aca="false">IF(Brasil!C425="","",Brasil!C425)</f>
        <v/>
      </c>
      <c r="C425" s="1" t="str">
        <f aca="false">IF(Brasil!C425="","",Brasil!A425)</f>
        <v/>
      </c>
      <c r="D425" s="1" t="str">
        <f aca="false">IF(Brasil!C425="","",Brasil!E425)</f>
        <v/>
      </c>
      <c r="E425" s="1" t="str">
        <f aca="false">IF(Brasil!C425="","",Brasil!F425)</f>
        <v/>
      </c>
      <c r="F425" s="1" t="str">
        <f aca="false">IF(Brasil!C425="","",Brasil!D425)</f>
        <v/>
      </c>
      <c r="I425" s="1" t="str">
        <f aca="false">IF(Brasil!C425="","",Brasil!H425)</f>
        <v/>
      </c>
      <c r="J425" s="1" t="str">
        <f aca="false">IF(Brasil!C425="","",Brasil!D425*Brasil!H425)</f>
        <v/>
      </c>
      <c r="K425" s="1" t="str">
        <f aca="false">IF(Brasil!C425="","","BR")</f>
        <v/>
      </c>
      <c r="L425" s="1" t="str">
        <f aca="false">IF(Brasil!C425="","",IFERROR(INDEX(Gamma_Catalogo!$D$3:$D$1451,MATCH(Brasil!E425,Gamma_Catalogo!$A$3:$A$1451,0)),"Revisar Ip Code"))</f>
        <v/>
      </c>
      <c r="M425" s="1" t="str">
        <f aca="false">IF(Brasil!C425="","",IFERROR(INDEX(Gamma_Catalogo!$C$3:$C$1451,MATCH(Brasil!E425,Gamma_Catalogo!$A$3:$A$1451,0)),"Revisar Ip Code"))</f>
        <v/>
      </c>
      <c r="N425" s="1" t="str">
        <f aca="false">IF(Brasil!C425="","",IFERROR(INDEX(Gamma_Catalogo!$E$3:$E$1451,MATCH(Brasil!E425,Gamma_Catalogo!$A$3:$A$1451,0)),"Revisar Ip Code"))</f>
        <v/>
      </c>
      <c r="O425" s="1" t="str">
        <f aca="false">IF(Brasil!C425="","","Brasil")</f>
        <v/>
      </c>
    </row>
    <row r="426" customFormat="false" ht="15" hidden="false" customHeight="true" outlineLevel="0" collapsed="false">
      <c r="A426" s="1" t="str">
        <f aca="false">IF(Brasil!C426="","",IFERROR(INDEX(Mercados!$C$2:$C$32,MATCH(Brasil!B426,Mercados!$A$2:$A$32,0)),"Revisar Tscode"))</f>
        <v/>
      </c>
      <c r="B426" s="1" t="str">
        <f aca="false">IF(Brasil!C426="","",Brasil!C426)</f>
        <v/>
      </c>
      <c r="C426" s="1" t="str">
        <f aca="false">IF(Brasil!C426="","",Brasil!A426)</f>
        <v/>
      </c>
      <c r="D426" s="1" t="str">
        <f aca="false">IF(Brasil!C426="","",Brasil!E426)</f>
        <v/>
      </c>
      <c r="E426" s="1" t="str">
        <f aca="false">IF(Brasil!C426="","",Brasil!F426)</f>
        <v/>
      </c>
      <c r="F426" s="1" t="str">
        <f aca="false">IF(Brasil!C426="","",Brasil!D426)</f>
        <v/>
      </c>
      <c r="I426" s="1" t="str">
        <f aca="false">IF(Brasil!C426="","",Brasil!H426)</f>
        <v/>
      </c>
      <c r="J426" s="1" t="str">
        <f aca="false">IF(Brasil!C426="","",Brasil!D426*Brasil!H426)</f>
        <v/>
      </c>
      <c r="K426" s="1" t="str">
        <f aca="false">IF(Brasil!C426="","","BR")</f>
        <v/>
      </c>
      <c r="L426" s="1" t="str">
        <f aca="false">IF(Brasil!C426="","",IFERROR(INDEX(Gamma_Catalogo!$D$3:$D$1451,MATCH(Brasil!E426,Gamma_Catalogo!$A$3:$A$1451,0)),"Revisar Ip Code"))</f>
        <v/>
      </c>
      <c r="M426" s="1" t="str">
        <f aca="false">IF(Brasil!C426="","",IFERROR(INDEX(Gamma_Catalogo!$C$3:$C$1451,MATCH(Brasil!E426,Gamma_Catalogo!$A$3:$A$1451,0)),"Revisar Ip Code"))</f>
        <v/>
      </c>
      <c r="N426" s="1" t="str">
        <f aca="false">IF(Brasil!C426="","",IFERROR(INDEX(Gamma_Catalogo!$E$3:$E$1451,MATCH(Brasil!E426,Gamma_Catalogo!$A$3:$A$1451,0)),"Revisar Ip Code"))</f>
        <v/>
      </c>
      <c r="O426" s="1" t="str">
        <f aca="false">IF(Brasil!C426="","","Brasil")</f>
        <v/>
      </c>
    </row>
    <row r="427" customFormat="false" ht="15" hidden="false" customHeight="true" outlineLevel="0" collapsed="false">
      <c r="A427" s="1" t="str">
        <f aca="false">IF(Brasil!C427="","",IFERROR(INDEX(Mercados!$C$2:$C$32,MATCH(Brasil!B427,Mercados!$A$2:$A$32,0)),"Revisar Tscode"))</f>
        <v/>
      </c>
      <c r="B427" s="1" t="str">
        <f aca="false">IF(Brasil!C427="","",Brasil!C427)</f>
        <v/>
      </c>
      <c r="C427" s="1" t="str">
        <f aca="false">IF(Brasil!C427="","",Brasil!A427)</f>
        <v/>
      </c>
      <c r="D427" s="1" t="str">
        <f aca="false">IF(Brasil!C427="","",Brasil!E427)</f>
        <v/>
      </c>
      <c r="E427" s="1" t="str">
        <f aca="false">IF(Brasil!C427="","",Brasil!F427)</f>
        <v/>
      </c>
      <c r="F427" s="1" t="str">
        <f aca="false">IF(Brasil!C427="","",Brasil!D427)</f>
        <v/>
      </c>
      <c r="I427" s="1" t="str">
        <f aca="false">IF(Brasil!C427="","",Brasil!H427)</f>
        <v/>
      </c>
      <c r="J427" s="1" t="str">
        <f aca="false">IF(Brasil!C427="","",Brasil!D427*Brasil!H427)</f>
        <v/>
      </c>
      <c r="K427" s="1" t="str">
        <f aca="false">IF(Brasil!C427="","","BR")</f>
        <v/>
      </c>
      <c r="L427" s="1" t="str">
        <f aca="false">IF(Brasil!C427="","",IFERROR(INDEX(Gamma_Catalogo!$D$3:$D$1451,MATCH(Brasil!E427,Gamma_Catalogo!$A$3:$A$1451,0)),"Revisar Ip Code"))</f>
        <v/>
      </c>
      <c r="M427" s="1" t="str">
        <f aca="false">IF(Brasil!C427="","",IFERROR(INDEX(Gamma_Catalogo!$C$3:$C$1451,MATCH(Brasil!E427,Gamma_Catalogo!$A$3:$A$1451,0)),"Revisar Ip Code"))</f>
        <v/>
      </c>
      <c r="N427" s="1" t="str">
        <f aca="false">IF(Brasil!C427="","",IFERROR(INDEX(Gamma_Catalogo!$E$3:$E$1451,MATCH(Brasil!E427,Gamma_Catalogo!$A$3:$A$1451,0)),"Revisar Ip Code"))</f>
        <v/>
      </c>
      <c r="O427" s="1" t="str">
        <f aca="false">IF(Brasil!C427="","","Brasil")</f>
        <v/>
      </c>
    </row>
    <row r="428" customFormat="false" ht="15" hidden="false" customHeight="true" outlineLevel="0" collapsed="false">
      <c r="A428" s="1" t="str">
        <f aca="false">IF(Brasil!C428="","",IFERROR(INDEX(Mercados!$C$2:$C$32,MATCH(Brasil!B428,Mercados!$A$2:$A$32,0)),"Revisar Tscode"))</f>
        <v/>
      </c>
      <c r="B428" s="1" t="str">
        <f aca="false">IF(Brasil!C428="","",Brasil!C428)</f>
        <v/>
      </c>
      <c r="C428" s="1" t="str">
        <f aca="false">IF(Brasil!C428="","",Brasil!A428)</f>
        <v/>
      </c>
      <c r="D428" s="1" t="str">
        <f aca="false">IF(Brasil!C428="","",Brasil!E428)</f>
        <v/>
      </c>
      <c r="E428" s="1" t="str">
        <f aca="false">IF(Brasil!C428="","",Brasil!F428)</f>
        <v/>
      </c>
      <c r="F428" s="1" t="str">
        <f aca="false">IF(Brasil!C428="","",Brasil!D428)</f>
        <v/>
      </c>
      <c r="I428" s="1" t="str">
        <f aca="false">IF(Brasil!C428="","",Brasil!H428)</f>
        <v/>
      </c>
      <c r="J428" s="1" t="str">
        <f aca="false">IF(Brasil!C428="","",Brasil!D428*Brasil!H428)</f>
        <v/>
      </c>
      <c r="K428" s="1" t="str">
        <f aca="false">IF(Brasil!C428="","","BR")</f>
        <v/>
      </c>
      <c r="L428" s="1" t="str">
        <f aca="false">IF(Brasil!C428="","",IFERROR(INDEX(Gamma_Catalogo!$D$3:$D$1451,MATCH(Brasil!E428,Gamma_Catalogo!$A$3:$A$1451,0)),"Revisar Ip Code"))</f>
        <v/>
      </c>
      <c r="M428" s="1" t="str">
        <f aca="false">IF(Brasil!C428="","",IFERROR(INDEX(Gamma_Catalogo!$C$3:$C$1451,MATCH(Brasil!E428,Gamma_Catalogo!$A$3:$A$1451,0)),"Revisar Ip Code"))</f>
        <v/>
      </c>
      <c r="N428" s="1" t="str">
        <f aca="false">IF(Brasil!C428="","",IFERROR(INDEX(Gamma_Catalogo!$E$3:$E$1451,MATCH(Brasil!E428,Gamma_Catalogo!$A$3:$A$1451,0)),"Revisar Ip Code"))</f>
        <v/>
      </c>
      <c r="O428" s="1" t="str">
        <f aca="false">IF(Brasil!C428="","","Brasil")</f>
        <v/>
      </c>
    </row>
    <row r="429" customFormat="false" ht="15" hidden="false" customHeight="true" outlineLevel="0" collapsed="false">
      <c r="A429" s="1" t="str">
        <f aca="false">IF(Brasil!C429="","",IFERROR(INDEX(Mercados!$C$2:$C$32,MATCH(Brasil!B429,Mercados!$A$2:$A$32,0)),"Revisar Tscode"))</f>
        <v/>
      </c>
      <c r="B429" s="1" t="str">
        <f aca="false">IF(Brasil!C429="","",Brasil!C429)</f>
        <v/>
      </c>
      <c r="C429" s="1" t="str">
        <f aca="false">IF(Brasil!C429="","",Brasil!A429)</f>
        <v/>
      </c>
      <c r="D429" s="1" t="str">
        <f aca="false">IF(Brasil!C429="","",Brasil!E429)</f>
        <v/>
      </c>
      <c r="E429" s="1" t="str">
        <f aca="false">IF(Brasil!C429="","",Brasil!F429)</f>
        <v/>
      </c>
      <c r="F429" s="1" t="str">
        <f aca="false">IF(Brasil!C429="","",Brasil!D429)</f>
        <v/>
      </c>
      <c r="I429" s="1" t="str">
        <f aca="false">IF(Brasil!C429="","",Brasil!H429)</f>
        <v/>
      </c>
      <c r="J429" s="1" t="str">
        <f aca="false">IF(Brasil!C429="","",Brasil!D429*Brasil!H429)</f>
        <v/>
      </c>
      <c r="K429" s="1" t="str">
        <f aca="false">IF(Brasil!C429="","","BR")</f>
        <v/>
      </c>
      <c r="L429" s="1" t="str">
        <f aca="false">IF(Brasil!C429="","",IFERROR(INDEX(Gamma_Catalogo!$D$3:$D$1451,MATCH(Brasil!E429,Gamma_Catalogo!$A$3:$A$1451,0)),"Revisar Ip Code"))</f>
        <v/>
      </c>
      <c r="M429" s="1" t="str">
        <f aca="false">IF(Brasil!C429="","",IFERROR(INDEX(Gamma_Catalogo!$C$3:$C$1451,MATCH(Brasil!E429,Gamma_Catalogo!$A$3:$A$1451,0)),"Revisar Ip Code"))</f>
        <v/>
      </c>
      <c r="N429" s="1" t="str">
        <f aca="false">IF(Brasil!C429="","",IFERROR(INDEX(Gamma_Catalogo!$E$3:$E$1451,MATCH(Brasil!E429,Gamma_Catalogo!$A$3:$A$1451,0)),"Revisar Ip Code"))</f>
        <v/>
      </c>
      <c r="O429" s="1" t="str">
        <f aca="false">IF(Brasil!C429="","","Brasil")</f>
        <v/>
      </c>
    </row>
    <row r="430" customFormat="false" ht="15" hidden="false" customHeight="true" outlineLevel="0" collapsed="false">
      <c r="A430" s="1" t="str">
        <f aca="false">IF(Brasil!C430="","",IFERROR(INDEX(Mercados!$C$2:$C$32,MATCH(Brasil!B430,Mercados!$A$2:$A$32,0)),"Revisar Tscode"))</f>
        <v/>
      </c>
      <c r="B430" s="1" t="str">
        <f aca="false">IF(Brasil!C430="","",Brasil!C430)</f>
        <v/>
      </c>
      <c r="C430" s="1" t="str">
        <f aca="false">IF(Brasil!C430="","",Brasil!A430)</f>
        <v/>
      </c>
      <c r="D430" s="1" t="str">
        <f aca="false">IF(Brasil!C430="","",Brasil!E430)</f>
        <v/>
      </c>
      <c r="E430" s="1" t="str">
        <f aca="false">IF(Brasil!C430="","",Brasil!F430)</f>
        <v/>
      </c>
      <c r="F430" s="1" t="str">
        <f aca="false">IF(Brasil!C430="","",Brasil!D430)</f>
        <v/>
      </c>
      <c r="I430" s="1" t="str">
        <f aca="false">IF(Brasil!C430="","",Brasil!H430)</f>
        <v/>
      </c>
      <c r="J430" s="1" t="str">
        <f aca="false">IF(Brasil!C430="","",Brasil!D430*Brasil!H430)</f>
        <v/>
      </c>
      <c r="K430" s="1" t="str">
        <f aca="false">IF(Brasil!C430="","","BR")</f>
        <v/>
      </c>
      <c r="L430" s="1" t="str">
        <f aca="false">IF(Brasil!C430="","",IFERROR(INDEX(Gamma_Catalogo!$D$3:$D$1451,MATCH(Brasil!E430,Gamma_Catalogo!$A$3:$A$1451,0)),"Revisar Ip Code"))</f>
        <v/>
      </c>
      <c r="M430" s="1" t="str">
        <f aca="false">IF(Brasil!C430="","",IFERROR(INDEX(Gamma_Catalogo!$C$3:$C$1451,MATCH(Brasil!E430,Gamma_Catalogo!$A$3:$A$1451,0)),"Revisar Ip Code"))</f>
        <v/>
      </c>
      <c r="N430" s="1" t="str">
        <f aca="false">IF(Brasil!C430="","",IFERROR(INDEX(Gamma_Catalogo!$E$3:$E$1451,MATCH(Brasil!E430,Gamma_Catalogo!$A$3:$A$1451,0)),"Revisar Ip Code"))</f>
        <v/>
      </c>
      <c r="O430" s="1" t="str">
        <f aca="false">IF(Brasil!C430="","","Brasil")</f>
        <v/>
      </c>
    </row>
    <row r="431" customFormat="false" ht="15" hidden="false" customHeight="true" outlineLevel="0" collapsed="false">
      <c r="A431" s="1" t="str">
        <f aca="false">IF(Brasil!C431="","",IFERROR(INDEX(Mercados!$C$2:$C$32,MATCH(Brasil!B431,Mercados!$A$2:$A$32,0)),"Revisar Tscode"))</f>
        <v/>
      </c>
      <c r="B431" s="1" t="str">
        <f aca="false">IF(Brasil!C431="","",Brasil!C431)</f>
        <v/>
      </c>
      <c r="C431" s="1" t="str">
        <f aca="false">IF(Brasil!C431="","",Brasil!A431)</f>
        <v/>
      </c>
      <c r="D431" s="1" t="str">
        <f aca="false">IF(Brasil!C431="","",Brasil!E431)</f>
        <v/>
      </c>
      <c r="E431" s="1" t="str">
        <f aca="false">IF(Brasil!C431="","",Brasil!F431)</f>
        <v/>
      </c>
      <c r="F431" s="1" t="str">
        <f aca="false">IF(Brasil!C431="","",Brasil!D431)</f>
        <v/>
      </c>
      <c r="I431" s="1" t="str">
        <f aca="false">IF(Brasil!C431="","",Brasil!H431)</f>
        <v/>
      </c>
      <c r="J431" s="1" t="str">
        <f aca="false">IF(Brasil!C431="","",Brasil!D431*Brasil!H431)</f>
        <v/>
      </c>
      <c r="K431" s="1" t="str">
        <f aca="false">IF(Brasil!C431="","","BR")</f>
        <v/>
      </c>
      <c r="L431" s="1" t="str">
        <f aca="false">IF(Brasil!C431="","",IFERROR(INDEX(Gamma_Catalogo!$D$3:$D$1451,MATCH(Brasil!E431,Gamma_Catalogo!$A$3:$A$1451,0)),"Revisar Ip Code"))</f>
        <v/>
      </c>
      <c r="M431" s="1" t="str">
        <f aca="false">IF(Brasil!C431="","",IFERROR(INDEX(Gamma_Catalogo!$C$3:$C$1451,MATCH(Brasil!E431,Gamma_Catalogo!$A$3:$A$1451,0)),"Revisar Ip Code"))</f>
        <v/>
      </c>
      <c r="N431" s="1" t="str">
        <f aca="false">IF(Brasil!C431="","",IFERROR(INDEX(Gamma_Catalogo!$E$3:$E$1451,MATCH(Brasil!E431,Gamma_Catalogo!$A$3:$A$1451,0)),"Revisar Ip Code"))</f>
        <v/>
      </c>
      <c r="O431" s="1" t="str">
        <f aca="false">IF(Brasil!C431="","","Brasil")</f>
        <v/>
      </c>
    </row>
    <row r="432" customFormat="false" ht="15" hidden="false" customHeight="true" outlineLevel="0" collapsed="false">
      <c r="A432" s="1" t="str">
        <f aca="false">IF(Brasil!C432="","",IFERROR(INDEX(Mercados!$C$2:$C$32,MATCH(Brasil!B432,Mercados!$A$2:$A$32,0)),"Revisar Tscode"))</f>
        <v/>
      </c>
      <c r="B432" s="1" t="str">
        <f aca="false">IF(Brasil!C432="","",Brasil!C432)</f>
        <v/>
      </c>
      <c r="C432" s="1" t="str">
        <f aca="false">IF(Brasil!C432="","",Brasil!A432)</f>
        <v/>
      </c>
      <c r="D432" s="1" t="str">
        <f aca="false">IF(Brasil!C432="","",Brasil!E432)</f>
        <v/>
      </c>
      <c r="E432" s="1" t="str">
        <f aca="false">IF(Brasil!C432="","",Brasil!F432)</f>
        <v/>
      </c>
      <c r="F432" s="1" t="str">
        <f aca="false">IF(Brasil!C432="","",Brasil!D432)</f>
        <v/>
      </c>
      <c r="I432" s="1" t="str">
        <f aca="false">IF(Brasil!C432="","",Brasil!H432)</f>
        <v/>
      </c>
      <c r="J432" s="1" t="str">
        <f aca="false">IF(Brasil!C432="","",Brasil!D432*Brasil!H432)</f>
        <v/>
      </c>
      <c r="K432" s="1" t="str">
        <f aca="false">IF(Brasil!C432="","","BR")</f>
        <v/>
      </c>
      <c r="L432" s="1" t="str">
        <f aca="false">IF(Brasil!C432="","",IFERROR(INDEX(Gamma_Catalogo!$D$3:$D$1451,MATCH(Brasil!E432,Gamma_Catalogo!$A$3:$A$1451,0)),"Revisar Ip Code"))</f>
        <v/>
      </c>
      <c r="M432" s="1" t="str">
        <f aca="false">IF(Brasil!C432="","",IFERROR(INDEX(Gamma_Catalogo!$C$3:$C$1451,MATCH(Brasil!E432,Gamma_Catalogo!$A$3:$A$1451,0)),"Revisar Ip Code"))</f>
        <v/>
      </c>
      <c r="N432" s="1" t="str">
        <f aca="false">IF(Brasil!C432="","",IFERROR(INDEX(Gamma_Catalogo!$E$3:$E$1451,MATCH(Brasil!E432,Gamma_Catalogo!$A$3:$A$1451,0)),"Revisar Ip Code"))</f>
        <v/>
      </c>
      <c r="O432" s="1" t="str">
        <f aca="false">IF(Brasil!C432="","","Brasil")</f>
        <v/>
      </c>
    </row>
    <row r="433" customFormat="false" ht="15" hidden="false" customHeight="true" outlineLevel="0" collapsed="false">
      <c r="A433" s="1" t="str">
        <f aca="false">IF(Brasil!C433="","",IFERROR(INDEX(Mercados!$C$2:$C$32,MATCH(Brasil!B433,Mercados!$A$2:$A$32,0)),"Revisar Tscode"))</f>
        <v/>
      </c>
      <c r="B433" s="1" t="str">
        <f aca="false">IF(Brasil!C433="","",Brasil!C433)</f>
        <v/>
      </c>
      <c r="C433" s="1" t="str">
        <f aca="false">IF(Brasil!C433="","",Brasil!A433)</f>
        <v/>
      </c>
      <c r="D433" s="1" t="str">
        <f aca="false">IF(Brasil!C433="","",Brasil!E433)</f>
        <v/>
      </c>
      <c r="E433" s="1" t="str">
        <f aca="false">IF(Brasil!C433="","",Brasil!F433)</f>
        <v/>
      </c>
      <c r="F433" s="1" t="str">
        <f aca="false">IF(Brasil!C433="","",Brasil!D433)</f>
        <v/>
      </c>
      <c r="I433" s="1" t="str">
        <f aca="false">IF(Brasil!C433="","",Brasil!H433)</f>
        <v/>
      </c>
      <c r="J433" s="1" t="str">
        <f aca="false">IF(Brasil!C433="","",Brasil!D433*Brasil!H433)</f>
        <v/>
      </c>
      <c r="K433" s="1" t="str">
        <f aca="false">IF(Brasil!C433="","","BR")</f>
        <v/>
      </c>
      <c r="L433" s="1" t="str">
        <f aca="false">IF(Brasil!C433="","",IFERROR(INDEX(Gamma_Catalogo!$D$3:$D$1451,MATCH(Brasil!E433,Gamma_Catalogo!$A$3:$A$1451,0)),"Revisar Ip Code"))</f>
        <v/>
      </c>
      <c r="M433" s="1" t="str">
        <f aca="false">IF(Brasil!C433="","",IFERROR(INDEX(Gamma_Catalogo!$C$3:$C$1451,MATCH(Brasil!E433,Gamma_Catalogo!$A$3:$A$1451,0)),"Revisar Ip Code"))</f>
        <v/>
      </c>
      <c r="N433" s="1" t="str">
        <f aca="false">IF(Brasil!C433="","",IFERROR(INDEX(Gamma_Catalogo!$E$3:$E$1451,MATCH(Brasil!E433,Gamma_Catalogo!$A$3:$A$1451,0)),"Revisar Ip Code"))</f>
        <v/>
      </c>
      <c r="O433" s="1" t="str">
        <f aca="false">IF(Brasil!C433="","","Brasil")</f>
        <v/>
      </c>
    </row>
    <row r="434" customFormat="false" ht="15" hidden="false" customHeight="true" outlineLevel="0" collapsed="false">
      <c r="A434" s="1" t="str">
        <f aca="false">IF(Brasil!C434="","",IFERROR(INDEX(Mercados!$C$2:$C$32,MATCH(Brasil!B434,Mercados!$A$2:$A$32,0)),"Revisar Tscode"))</f>
        <v/>
      </c>
      <c r="B434" s="1" t="str">
        <f aca="false">IF(Brasil!C434="","",Brasil!C434)</f>
        <v/>
      </c>
      <c r="C434" s="1" t="str">
        <f aca="false">IF(Brasil!C434="","",Brasil!A434)</f>
        <v/>
      </c>
      <c r="D434" s="1" t="str">
        <f aca="false">IF(Brasil!C434="","",Brasil!E434)</f>
        <v/>
      </c>
      <c r="E434" s="1" t="str">
        <f aca="false">IF(Brasil!C434="","",Brasil!F434)</f>
        <v/>
      </c>
      <c r="F434" s="1" t="str">
        <f aca="false">IF(Brasil!C434="","",Brasil!D434)</f>
        <v/>
      </c>
      <c r="I434" s="1" t="str">
        <f aca="false">IF(Brasil!C434="","",Brasil!H434)</f>
        <v/>
      </c>
      <c r="J434" s="1" t="str">
        <f aca="false">IF(Brasil!C434="","",Brasil!D434*Brasil!H434)</f>
        <v/>
      </c>
      <c r="K434" s="1" t="str">
        <f aca="false">IF(Brasil!C434="","","BR")</f>
        <v/>
      </c>
      <c r="L434" s="1" t="str">
        <f aca="false">IF(Brasil!C434="","",IFERROR(INDEX(Gamma_Catalogo!$D$3:$D$1451,MATCH(Brasil!E434,Gamma_Catalogo!$A$3:$A$1451,0)),"Revisar Ip Code"))</f>
        <v/>
      </c>
      <c r="M434" s="1" t="str">
        <f aca="false">IF(Brasil!C434="","",IFERROR(INDEX(Gamma_Catalogo!$C$3:$C$1451,MATCH(Brasil!E434,Gamma_Catalogo!$A$3:$A$1451,0)),"Revisar Ip Code"))</f>
        <v/>
      </c>
      <c r="N434" s="1" t="str">
        <f aca="false">IF(Brasil!C434="","",IFERROR(INDEX(Gamma_Catalogo!$E$3:$E$1451,MATCH(Brasil!E434,Gamma_Catalogo!$A$3:$A$1451,0)),"Revisar Ip Code"))</f>
        <v/>
      </c>
      <c r="O434" s="1" t="str">
        <f aca="false">IF(Brasil!C434="","","Brasil")</f>
        <v/>
      </c>
    </row>
    <row r="435" customFormat="false" ht="15" hidden="false" customHeight="true" outlineLevel="0" collapsed="false">
      <c r="A435" s="1" t="str">
        <f aca="false">IF(Brasil!C435="","",IFERROR(INDEX(Mercados!$C$2:$C$32,MATCH(Brasil!B435,Mercados!$A$2:$A$32,0)),"Revisar Tscode"))</f>
        <v/>
      </c>
      <c r="B435" s="1" t="str">
        <f aca="false">IF(Brasil!C435="","",Brasil!C435)</f>
        <v/>
      </c>
      <c r="C435" s="1" t="str">
        <f aca="false">IF(Brasil!C435="","",Brasil!A435)</f>
        <v/>
      </c>
      <c r="D435" s="1" t="str">
        <f aca="false">IF(Brasil!C435="","",Brasil!E435)</f>
        <v/>
      </c>
      <c r="E435" s="1" t="str">
        <f aca="false">IF(Brasil!C435="","",Brasil!F435)</f>
        <v/>
      </c>
      <c r="F435" s="1" t="str">
        <f aca="false">IF(Brasil!C435="","",Brasil!D435)</f>
        <v/>
      </c>
      <c r="I435" s="1" t="str">
        <f aca="false">IF(Brasil!C435="","",Brasil!H435)</f>
        <v/>
      </c>
      <c r="J435" s="1" t="str">
        <f aca="false">IF(Brasil!C435="","",Brasil!D435*Brasil!H435)</f>
        <v/>
      </c>
      <c r="K435" s="1" t="str">
        <f aca="false">IF(Brasil!C435="","","BR")</f>
        <v/>
      </c>
      <c r="L435" s="1" t="str">
        <f aca="false">IF(Brasil!C435="","",IFERROR(INDEX(Gamma_Catalogo!$D$3:$D$1451,MATCH(Brasil!E435,Gamma_Catalogo!$A$3:$A$1451,0)),"Revisar Ip Code"))</f>
        <v/>
      </c>
      <c r="M435" s="1" t="str">
        <f aca="false">IF(Brasil!C435="","",IFERROR(INDEX(Gamma_Catalogo!$C$3:$C$1451,MATCH(Brasil!E435,Gamma_Catalogo!$A$3:$A$1451,0)),"Revisar Ip Code"))</f>
        <v/>
      </c>
      <c r="N435" s="1" t="str">
        <f aca="false">IF(Brasil!C435="","",IFERROR(INDEX(Gamma_Catalogo!$E$3:$E$1451,MATCH(Brasil!E435,Gamma_Catalogo!$A$3:$A$1451,0)),"Revisar Ip Code"))</f>
        <v/>
      </c>
      <c r="O435" s="1" t="str">
        <f aca="false">IF(Brasil!C435="","","Brasil")</f>
        <v/>
      </c>
    </row>
    <row r="436" customFormat="false" ht="15" hidden="false" customHeight="true" outlineLevel="0" collapsed="false">
      <c r="A436" s="1" t="str">
        <f aca="false">IF(Brasil!C436="","",IFERROR(INDEX(Mercados!$C$2:$C$32,MATCH(Brasil!B436,Mercados!$A$2:$A$32,0)),"Revisar Tscode"))</f>
        <v/>
      </c>
      <c r="B436" s="1" t="str">
        <f aca="false">IF(Brasil!C436="","",Brasil!C436)</f>
        <v/>
      </c>
      <c r="C436" s="1" t="str">
        <f aca="false">IF(Brasil!C436="","",Brasil!A436)</f>
        <v/>
      </c>
      <c r="D436" s="1" t="str">
        <f aca="false">IF(Brasil!C436="","",Brasil!E436)</f>
        <v/>
      </c>
      <c r="E436" s="1" t="str">
        <f aca="false">IF(Brasil!C436="","",Brasil!F436)</f>
        <v/>
      </c>
      <c r="F436" s="1" t="str">
        <f aca="false">IF(Brasil!C436="","",Brasil!D436)</f>
        <v/>
      </c>
      <c r="I436" s="1" t="str">
        <f aca="false">IF(Brasil!C436="","",Brasil!H436)</f>
        <v/>
      </c>
      <c r="J436" s="1" t="str">
        <f aca="false">IF(Brasil!C436="","",Brasil!D436*Brasil!H436)</f>
        <v/>
      </c>
      <c r="K436" s="1" t="str">
        <f aca="false">IF(Brasil!C436="","","BR")</f>
        <v/>
      </c>
      <c r="L436" s="1" t="str">
        <f aca="false">IF(Brasil!C436="","",IFERROR(INDEX(Gamma_Catalogo!$D$3:$D$1451,MATCH(Brasil!E436,Gamma_Catalogo!$A$3:$A$1451,0)),"Revisar Ip Code"))</f>
        <v/>
      </c>
      <c r="M436" s="1" t="str">
        <f aca="false">IF(Brasil!C436="","",IFERROR(INDEX(Gamma_Catalogo!$C$3:$C$1451,MATCH(Brasil!E436,Gamma_Catalogo!$A$3:$A$1451,0)),"Revisar Ip Code"))</f>
        <v/>
      </c>
      <c r="N436" s="1" t="str">
        <f aca="false">IF(Brasil!C436="","",IFERROR(INDEX(Gamma_Catalogo!$E$3:$E$1451,MATCH(Brasil!E436,Gamma_Catalogo!$A$3:$A$1451,0)),"Revisar Ip Code"))</f>
        <v/>
      </c>
      <c r="O436" s="1" t="str">
        <f aca="false">IF(Brasil!C436="","","Brasil")</f>
        <v/>
      </c>
    </row>
    <row r="437" customFormat="false" ht="15" hidden="false" customHeight="true" outlineLevel="0" collapsed="false">
      <c r="A437" s="1" t="str">
        <f aca="false">IF(Brasil!C437="","",IFERROR(INDEX(Mercados!$C$2:$C$32,MATCH(Brasil!B437,Mercados!$A$2:$A$32,0)),"Revisar Tscode"))</f>
        <v/>
      </c>
      <c r="B437" s="1" t="str">
        <f aca="false">IF(Brasil!C437="","",Brasil!C437)</f>
        <v/>
      </c>
      <c r="C437" s="1" t="str">
        <f aca="false">IF(Brasil!C437="","",Brasil!A437)</f>
        <v/>
      </c>
      <c r="D437" s="1" t="str">
        <f aca="false">IF(Brasil!C437="","",Brasil!E437)</f>
        <v/>
      </c>
      <c r="E437" s="1" t="str">
        <f aca="false">IF(Brasil!C437="","",Brasil!F437)</f>
        <v/>
      </c>
      <c r="F437" s="1" t="str">
        <f aca="false">IF(Brasil!C437="","",Brasil!D437)</f>
        <v/>
      </c>
      <c r="I437" s="1" t="str">
        <f aca="false">IF(Brasil!C437="","",Brasil!H437)</f>
        <v/>
      </c>
      <c r="J437" s="1" t="str">
        <f aca="false">IF(Brasil!C437="","",Brasil!D437*Brasil!H437)</f>
        <v/>
      </c>
      <c r="K437" s="1" t="str">
        <f aca="false">IF(Brasil!C437="","","BR")</f>
        <v/>
      </c>
      <c r="L437" s="1" t="str">
        <f aca="false">IF(Brasil!C437="","",IFERROR(INDEX(Gamma_Catalogo!$D$3:$D$1451,MATCH(Brasil!E437,Gamma_Catalogo!$A$3:$A$1451,0)),"Revisar Ip Code"))</f>
        <v/>
      </c>
      <c r="M437" s="1" t="str">
        <f aca="false">IF(Brasil!C437="","",IFERROR(INDEX(Gamma_Catalogo!$C$3:$C$1451,MATCH(Brasil!E437,Gamma_Catalogo!$A$3:$A$1451,0)),"Revisar Ip Code"))</f>
        <v/>
      </c>
      <c r="N437" s="1" t="str">
        <f aca="false">IF(Brasil!C437="","",IFERROR(INDEX(Gamma_Catalogo!$E$3:$E$1451,MATCH(Brasil!E437,Gamma_Catalogo!$A$3:$A$1451,0)),"Revisar Ip Code"))</f>
        <v/>
      </c>
      <c r="O437" s="1" t="str">
        <f aca="false">IF(Brasil!C437="","","Brasil")</f>
        <v/>
      </c>
    </row>
    <row r="438" customFormat="false" ht="15" hidden="false" customHeight="true" outlineLevel="0" collapsed="false">
      <c r="A438" s="1" t="str">
        <f aca="false">IF(Brasil!C438="","",IFERROR(INDEX(Mercados!$C$2:$C$32,MATCH(Brasil!B438,Mercados!$A$2:$A$32,0)),"Revisar Tscode"))</f>
        <v/>
      </c>
      <c r="B438" s="1" t="str">
        <f aca="false">IF(Brasil!C438="","",Brasil!C438)</f>
        <v/>
      </c>
      <c r="C438" s="1" t="str">
        <f aca="false">IF(Brasil!C438="","",Brasil!A438)</f>
        <v/>
      </c>
      <c r="D438" s="1" t="str">
        <f aca="false">IF(Brasil!C438="","",Brasil!E438)</f>
        <v/>
      </c>
      <c r="E438" s="1" t="str">
        <f aca="false">IF(Brasil!C438="","",Brasil!F438)</f>
        <v/>
      </c>
      <c r="F438" s="1" t="str">
        <f aca="false">IF(Brasil!C438="","",Brasil!D438)</f>
        <v/>
      </c>
      <c r="I438" s="1" t="str">
        <f aca="false">IF(Brasil!C438="","",Brasil!H438)</f>
        <v/>
      </c>
      <c r="J438" s="1" t="str">
        <f aca="false">IF(Brasil!C438="","",Brasil!D438*Brasil!H438)</f>
        <v/>
      </c>
      <c r="K438" s="1" t="str">
        <f aca="false">IF(Brasil!C438="","","BR")</f>
        <v/>
      </c>
      <c r="L438" s="1" t="str">
        <f aca="false">IF(Brasil!C438="","",IFERROR(INDEX(Gamma_Catalogo!$D$3:$D$1451,MATCH(Brasil!E438,Gamma_Catalogo!$A$3:$A$1451,0)),"Revisar Ip Code"))</f>
        <v/>
      </c>
      <c r="M438" s="1" t="str">
        <f aca="false">IF(Brasil!C438="","",IFERROR(INDEX(Gamma_Catalogo!$C$3:$C$1451,MATCH(Brasil!E438,Gamma_Catalogo!$A$3:$A$1451,0)),"Revisar Ip Code"))</f>
        <v/>
      </c>
      <c r="N438" s="1" t="str">
        <f aca="false">IF(Brasil!C438="","",IFERROR(INDEX(Gamma_Catalogo!$E$3:$E$1451,MATCH(Brasil!E438,Gamma_Catalogo!$A$3:$A$1451,0)),"Revisar Ip Code"))</f>
        <v/>
      </c>
      <c r="O438" s="1" t="str">
        <f aca="false">IF(Brasil!C438="","","Brasil")</f>
        <v/>
      </c>
    </row>
    <row r="439" customFormat="false" ht="15" hidden="false" customHeight="true" outlineLevel="0" collapsed="false">
      <c r="A439" s="1" t="str">
        <f aca="false">IF(Brasil!C439="","",IFERROR(INDEX(Mercados!$C$2:$C$32,MATCH(Brasil!B439,Mercados!$A$2:$A$32,0)),"Revisar Tscode"))</f>
        <v/>
      </c>
      <c r="B439" s="1" t="str">
        <f aca="false">IF(Brasil!C439="","",Brasil!C439)</f>
        <v/>
      </c>
      <c r="C439" s="1" t="str">
        <f aca="false">IF(Brasil!C439="","",Brasil!A439)</f>
        <v/>
      </c>
      <c r="D439" s="1" t="str">
        <f aca="false">IF(Brasil!C439="","",Brasil!E439)</f>
        <v/>
      </c>
      <c r="E439" s="1" t="str">
        <f aca="false">IF(Brasil!C439="","",Brasil!F439)</f>
        <v/>
      </c>
      <c r="F439" s="1" t="str">
        <f aca="false">IF(Brasil!C439="","",Brasil!D439)</f>
        <v/>
      </c>
      <c r="I439" s="1" t="str">
        <f aca="false">IF(Brasil!C439="","",Brasil!H439)</f>
        <v/>
      </c>
      <c r="J439" s="1" t="str">
        <f aca="false">IF(Brasil!C439="","",Brasil!D439*Brasil!H439)</f>
        <v/>
      </c>
      <c r="K439" s="1" t="str">
        <f aca="false">IF(Brasil!C439="","","BR")</f>
        <v/>
      </c>
      <c r="L439" s="1" t="str">
        <f aca="false">IF(Brasil!C439="","",IFERROR(INDEX(Gamma_Catalogo!$D$3:$D$1451,MATCH(Brasil!E439,Gamma_Catalogo!$A$3:$A$1451,0)),"Revisar Ip Code"))</f>
        <v/>
      </c>
      <c r="M439" s="1" t="str">
        <f aca="false">IF(Brasil!C439="","",IFERROR(INDEX(Gamma_Catalogo!$C$3:$C$1451,MATCH(Brasil!E439,Gamma_Catalogo!$A$3:$A$1451,0)),"Revisar Ip Code"))</f>
        <v/>
      </c>
      <c r="N439" s="1" t="str">
        <f aca="false">IF(Brasil!C439="","",IFERROR(INDEX(Gamma_Catalogo!$E$3:$E$1451,MATCH(Brasil!E439,Gamma_Catalogo!$A$3:$A$1451,0)),"Revisar Ip Code"))</f>
        <v/>
      </c>
      <c r="O439" s="1" t="str">
        <f aca="false">IF(Brasil!C439="","","Brasil")</f>
        <v/>
      </c>
    </row>
    <row r="440" customFormat="false" ht="15" hidden="false" customHeight="true" outlineLevel="0" collapsed="false">
      <c r="A440" s="1" t="str">
        <f aca="false">IF(Brasil!C440="","",IFERROR(INDEX(Mercados!$C$2:$C$32,MATCH(Brasil!B440,Mercados!$A$2:$A$32,0)),"Revisar Tscode"))</f>
        <v/>
      </c>
      <c r="B440" s="1" t="str">
        <f aca="false">IF(Brasil!C440="","",Brasil!C440)</f>
        <v/>
      </c>
      <c r="C440" s="1" t="str">
        <f aca="false">IF(Brasil!C440="","",Brasil!A440)</f>
        <v/>
      </c>
      <c r="D440" s="1" t="str">
        <f aca="false">IF(Brasil!C440="","",Brasil!E440)</f>
        <v/>
      </c>
      <c r="E440" s="1" t="str">
        <f aca="false">IF(Brasil!C440="","",Brasil!F440)</f>
        <v/>
      </c>
      <c r="F440" s="1" t="str">
        <f aca="false">IF(Brasil!C440="","",Brasil!D440)</f>
        <v/>
      </c>
      <c r="I440" s="1" t="str">
        <f aca="false">IF(Brasil!C440="","",Brasil!H440)</f>
        <v/>
      </c>
      <c r="J440" s="1" t="str">
        <f aca="false">IF(Brasil!C440="","",Brasil!D440*Brasil!H440)</f>
        <v/>
      </c>
      <c r="K440" s="1" t="str">
        <f aca="false">IF(Brasil!C440="","","BR")</f>
        <v/>
      </c>
      <c r="L440" s="1" t="str">
        <f aca="false">IF(Brasil!C440="","",IFERROR(INDEX(Gamma_Catalogo!$D$3:$D$1451,MATCH(Brasil!E440,Gamma_Catalogo!$A$3:$A$1451,0)),"Revisar Ip Code"))</f>
        <v/>
      </c>
      <c r="M440" s="1" t="str">
        <f aca="false">IF(Brasil!C440="","",IFERROR(INDEX(Gamma_Catalogo!$C$3:$C$1451,MATCH(Brasil!E440,Gamma_Catalogo!$A$3:$A$1451,0)),"Revisar Ip Code"))</f>
        <v/>
      </c>
      <c r="N440" s="1" t="str">
        <f aca="false">IF(Brasil!C440="","",IFERROR(INDEX(Gamma_Catalogo!$E$3:$E$1451,MATCH(Brasil!E440,Gamma_Catalogo!$A$3:$A$1451,0)),"Revisar Ip Code"))</f>
        <v/>
      </c>
      <c r="O440" s="1" t="str">
        <f aca="false">IF(Brasil!C440="","","Brasil")</f>
        <v/>
      </c>
    </row>
    <row r="441" customFormat="false" ht="15" hidden="false" customHeight="true" outlineLevel="0" collapsed="false">
      <c r="A441" s="1" t="str">
        <f aca="false">IF(Brasil!C441="","",IFERROR(INDEX(Mercados!$C$2:$C$32,MATCH(Brasil!B441,Mercados!$A$2:$A$32,0)),"Revisar Tscode"))</f>
        <v/>
      </c>
      <c r="B441" s="1" t="str">
        <f aca="false">IF(Brasil!C441="","",Brasil!C441)</f>
        <v/>
      </c>
      <c r="C441" s="1" t="str">
        <f aca="false">IF(Brasil!C441="","",Brasil!A441)</f>
        <v/>
      </c>
      <c r="D441" s="1" t="str">
        <f aca="false">IF(Brasil!C441="","",Brasil!E441)</f>
        <v/>
      </c>
      <c r="E441" s="1" t="str">
        <f aca="false">IF(Brasil!C441="","",Brasil!F441)</f>
        <v/>
      </c>
      <c r="F441" s="1" t="str">
        <f aca="false">IF(Brasil!C441="","",Brasil!D441)</f>
        <v/>
      </c>
      <c r="I441" s="1" t="str">
        <f aca="false">IF(Brasil!C441="","",Brasil!H441)</f>
        <v/>
      </c>
      <c r="J441" s="1" t="str">
        <f aca="false">IF(Brasil!C441="","",Brasil!D441*Brasil!H441)</f>
        <v/>
      </c>
      <c r="K441" s="1" t="str">
        <f aca="false">IF(Brasil!C441="","","BR")</f>
        <v/>
      </c>
      <c r="L441" s="1" t="str">
        <f aca="false">IF(Brasil!C441="","",IFERROR(INDEX(Gamma_Catalogo!$D$3:$D$1451,MATCH(Brasil!E441,Gamma_Catalogo!$A$3:$A$1451,0)),"Revisar Ip Code"))</f>
        <v/>
      </c>
      <c r="M441" s="1" t="str">
        <f aca="false">IF(Brasil!C441="","",IFERROR(INDEX(Gamma_Catalogo!$C$3:$C$1451,MATCH(Brasil!E441,Gamma_Catalogo!$A$3:$A$1451,0)),"Revisar Ip Code"))</f>
        <v/>
      </c>
      <c r="N441" s="1" t="str">
        <f aca="false">IF(Brasil!C441="","",IFERROR(INDEX(Gamma_Catalogo!$E$3:$E$1451,MATCH(Brasil!E441,Gamma_Catalogo!$A$3:$A$1451,0)),"Revisar Ip Code"))</f>
        <v/>
      </c>
      <c r="O441" s="1" t="str">
        <f aca="false">IF(Brasil!C441="","","Brasil")</f>
        <v/>
      </c>
    </row>
    <row r="442" customFormat="false" ht="15" hidden="false" customHeight="true" outlineLevel="0" collapsed="false">
      <c r="A442" s="1" t="str">
        <f aca="false">IF(Brasil!C442="","",IFERROR(INDEX(Mercados!$C$2:$C$32,MATCH(Brasil!B442,Mercados!$A$2:$A$32,0)),"Revisar Tscode"))</f>
        <v/>
      </c>
      <c r="B442" s="1" t="str">
        <f aca="false">IF(Brasil!C442="","",Brasil!C442)</f>
        <v/>
      </c>
      <c r="C442" s="1" t="str">
        <f aca="false">IF(Brasil!C442="","",Brasil!A442)</f>
        <v/>
      </c>
      <c r="D442" s="1" t="str">
        <f aca="false">IF(Brasil!C442="","",Brasil!E442)</f>
        <v/>
      </c>
      <c r="E442" s="1" t="str">
        <f aca="false">IF(Brasil!C442="","",Brasil!F442)</f>
        <v/>
      </c>
      <c r="F442" s="1" t="str">
        <f aca="false">IF(Brasil!C442="","",Brasil!D442)</f>
        <v/>
      </c>
      <c r="I442" s="1" t="str">
        <f aca="false">IF(Brasil!C442="","",Brasil!H442)</f>
        <v/>
      </c>
      <c r="J442" s="1" t="str">
        <f aca="false">IF(Brasil!C442="","",Brasil!D442*Brasil!H442)</f>
        <v/>
      </c>
      <c r="K442" s="1" t="str">
        <f aca="false">IF(Brasil!C442="","","BR")</f>
        <v/>
      </c>
      <c r="L442" s="1" t="str">
        <f aca="false">IF(Brasil!C442="","",IFERROR(INDEX(Gamma_Catalogo!$D$3:$D$1451,MATCH(Brasil!E442,Gamma_Catalogo!$A$3:$A$1451,0)),"Revisar Ip Code"))</f>
        <v/>
      </c>
      <c r="M442" s="1" t="str">
        <f aca="false">IF(Brasil!C442="","",IFERROR(INDEX(Gamma_Catalogo!$C$3:$C$1451,MATCH(Brasil!E442,Gamma_Catalogo!$A$3:$A$1451,0)),"Revisar Ip Code"))</f>
        <v/>
      </c>
      <c r="N442" s="1" t="str">
        <f aca="false">IF(Brasil!C442="","",IFERROR(INDEX(Gamma_Catalogo!$E$3:$E$1451,MATCH(Brasil!E442,Gamma_Catalogo!$A$3:$A$1451,0)),"Revisar Ip Code"))</f>
        <v/>
      </c>
      <c r="O442" s="1" t="str">
        <f aca="false">IF(Brasil!C442="","","Brasil")</f>
        <v/>
      </c>
    </row>
    <row r="443" customFormat="false" ht="15" hidden="false" customHeight="true" outlineLevel="0" collapsed="false">
      <c r="A443" s="1" t="str">
        <f aca="false">IF(Brasil!C443="","",IFERROR(INDEX(Mercados!$C$2:$C$32,MATCH(Brasil!B443,Mercados!$A$2:$A$32,0)),"Revisar Tscode"))</f>
        <v/>
      </c>
      <c r="B443" s="1" t="str">
        <f aca="false">IF(Brasil!C443="","",Brasil!C443)</f>
        <v/>
      </c>
      <c r="C443" s="1" t="str">
        <f aca="false">IF(Brasil!C443="","",Brasil!A443)</f>
        <v/>
      </c>
      <c r="D443" s="1" t="str">
        <f aca="false">IF(Brasil!C443="","",Brasil!E443)</f>
        <v/>
      </c>
      <c r="E443" s="1" t="str">
        <f aca="false">IF(Brasil!C443="","",Brasil!F443)</f>
        <v/>
      </c>
      <c r="F443" s="1" t="str">
        <f aca="false">IF(Brasil!C443="","",Brasil!D443)</f>
        <v/>
      </c>
      <c r="I443" s="1" t="str">
        <f aca="false">IF(Brasil!C443="","",Brasil!H443)</f>
        <v/>
      </c>
      <c r="J443" s="1" t="str">
        <f aca="false">IF(Brasil!C443="","",Brasil!D443*Brasil!H443)</f>
        <v/>
      </c>
      <c r="K443" s="1" t="str">
        <f aca="false">IF(Brasil!C443="","","BR")</f>
        <v/>
      </c>
      <c r="L443" s="1" t="str">
        <f aca="false">IF(Brasil!C443="","",IFERROR(INDEX(Gamma_Catalogo!$D$3:$D$1451,MATCH(Brasil!E443,Gamma_Catalogo!$A$3:$A$1451,0)),"Revisar Ip Code"))</f>
        <v/>
      </c>
      <c r="M443" s="1" t="str">
        <f aca="false">IF(Brasil!C443="","",IFERROR(INDEX(Gamma_Catalogo!$C$3:$C$1451,MATCH(Brasil!E443,Gamma_Catalogo!$A$3:$A$1451,0)),"Revisar Ip Code"))</f>
        <v/>
      </c>
      <c r="N443" s="1" t="str">
        <f aca="false">IF(Brasil!C443="","",IFERROR(INDEX(Gamma_Catalogo!$E$3:$E$1451,MATCH(Brasil!E443,Gamma_Catalogo!$A$3:$A$1451,0)),"Revisar Ip Code"))</f>
        <v/>
      </c>
      <c r="O443" s="1" t="str">
        <f aca="false">IF(Brasil!C443="","","Brasil")</f>
        <v/>
      </c>
    </row>
    <row r="444" customFormat="false" ht="15" hidden="false" customHeight="true" outlineLevel="0" collapsed="false">
      <c r="A444" s="1" t="str">
        <f aca="false">IF(Brasil!C444="","",IFERROR(INDEX(Mercados!$C$2:$C$32,MATCH(Brasil!B444,Mercados!$A$2:$A$32,0)),"Revisar Tscode"))</f>
        <v/>
      </c>
      <c r="B444" s="1" t="str">
        <f aca="false">IF(Brasil!C444="","",Brasil!C444)</f>
        <v/>
      </c>
      <c r="C444" s="1" t="str">
        <f aca="false">IF(Brasil!C444="","",Brasil!A444)</f>
        <v/>
      </c>
      <c r="D444" s="1" t="str">
        <f aca="false">IF(Brasil!C444="","",Brasil!E444)</f>
        <v/>
      </c>
      <c r="E444" s="1" t="str">
        <f aca="false">IF(Brasil!C444="","",Brasil!F444)</f>
        <v/>
      </c>
      <c r="F444" s="1" t="str">
        <f aca="false">IF(Brasil!C444="","",Brasil!D444)</f>
        <v/>
      </c>
      <c r="I444" s="1" t="str">
        <f aca="false">IF(Brasil!C444="","",Brasil!H444)</f>
        <v/>
      </c>
      <c r="J444" s="1" t="str">
        <f aca="false">IF(Brasil!C444="","",Brasil!D444*Brasil!H444)</f>
        <v/>
      </c>
      <c r="K444" s="1" t="str">
        <f aca="false">IF(Brasil!C444="","","BR")</f>
        <v/>
      </c>
      <c r="L444" s="1" t="str">
        <f aca="false">IF(Brasil!C444="","",IFERROR(INDEX(Gamma_Catalogo!$D$3:$D$1451,MATCH(Brasil!E444,Gamma_Catalogo!$A$3:$A$1451,0)),"Revisar Ip Code"))</f>
        <v/>
      </c>
      <c r="M444" s="1" t="str">
        <f aca="false">IF(Brasil!C444="","",IFERROR(INDEX(Gamma_Catalogo!$C$3:$C$1451,MATCH(Brasil!E444,Gamma_Catalogo!$A$3:$A$1451,0)),"Revisar Ip Code"))</f>
        <v/>
      </c>
      <c r="N444" s="1" t="str">
        <f aca="false">IF(Brasil!C444="","",IFERROR(INDEX(Gamma_Catalogo!$E$3:$E$1451,MATCH(Brasil!E444,Gamma_Catalogo!$A$3:$A$1451,0)),"Revisar Ip Code"))</f>
        <v/>
      </c>
      <c r="O444" s="1" t="str">
        <f aca="false">IF(Brasil!C444="","","Brasil")</f>
        <v/>
      </c>
    </row>
    <row r="445" customFormat="false" ht="15" hidden="false" customHeight="true" outlineLevel="0" collapsed="false">
      <c r="A445" s="1" t="str">
        <f aca="false">IF(Brasil!C445="","",IFERROR(INDEX(Mercados!$C$2:$C$32,MATCH(Brasil!B445,Mercados!$A$2:$A$32,0)),"Revisar Tscode"))</f>
        <v/>
      </c>
      <c r="B445" s="1" t="str">
        <f aca="false">IF(Brasil!C445="","",Brasil!C445)</f>
        <v/>
      </c>
      <c r="C445" s="1" t="str">
        <f aca="false">IF(Brasil!C445="","",Brasil!A445)</f>
        <v/>
      </c>
      <c r="D445" s="1" t="str">
        <f aca="false">IF(Brasil!C445="","",Brasil!E445)</f>
        <v/>
      </c>
      <c r="E445" s="1" t="str">
        <f aca="false">IF(Brasil!C445="","",Brasil!F445)</f>
        <v/>
      </c>
      <c r="F445" s="1" t="str">
        <f aca="false">IF(Brasil!C445="","",Brasil!D445)</f>
        <v/>
      </c>
      <c r="I445" s="1" t="str">
        <f aca="false">IF(Brasil!C445="","",Brasil!H445)</f>
        <v/>
      </c>
      <c r="J445" s="1" t="str">
        <f aca="false">IF(Brasil!C445="","",Brasil!D445*Brasil!H445)</f>
        <v/>
      </c>
      <c r="K445" s="1" t="str">
        <f aca="false">IF(Brasil!C445="","","BR")</f>
        <v/>
      </c>
      <c r="L445" s="1" t="str">
        <f aca="false">IF(Brasil!C445="","",IFERROR(INDEX(Gamma_Catalogo!$D$3:$D$1451,MATCH(Brasil!E445,Gamma_Catalogo!$A$3:$A$1451,0)),"Revisar Ip Code"))</f>
        <v/>
      </c>
      <c r="M445" s="1" t="str">
        <f aca="false">IF(Brasil!C445="","",IFERROR(INDEX(Gamma_Catalogo!$C$3:$C$1451,MATCH(Brasil!E445,Gamma_Catalogo!$A$3:$A$1451,0)),"Revisar Ip Code"))</f>
        <v/>
      </c>
      <c r="N445" s="1" t="str">
        <f aca="false">IF(Brasil!C445="","",IFERROR(INDEX(Gamma_Catalogo!$E$3:$E$1451,MATCH(Brasil!E445,Gamma_Catalogo!$A$3:$A$1451,0)),"Revisar Ip Code"))</f>
        <v/>
      </c>
      <c r="O445" s="1" t="str">
        <f aca="false">IF(Brasil!C445="","","Brasil")</f>
        <v/>
      </c>
    </row>
    <row r="446" customFormat="false" ht="15" hidden="false" customHeight="true" outlineLevel="0" collapsed="false">
      <c r="A446" s="1" t="str">
        <f aca="false">IF(Brasil!C446="","",IFERROR(INDEX(Mercados!$C$2:$C$32,MATCH(Brasil!B446,Mercados!$A$2:$A$32,0)),"Revisar Tscode"))</f>
        <v/>
      </c>
      <c r="B446" s="1" t="str">
        <f aca="false">IF(Brasil!C446="","",Brasil!C446)</f>
        <v/>
      </c>
      <c r="C446" s="1" t="str">
        <f aca="false">IF(Brasil!C446="","",Brasil!A446)</f>
        <v/>
      </c>
      <c r="D446" s="1" t="str">
        <f aca="false">IF(Brasil!C446="","",Brasil!E446)</f>
        <v/>
      </c>
      <c r="E446" s="1" t="str">
        <f aca="false">IF(Brasil!C446="","",Brasil!F446)</f>
        <v/>
      </c>
      <c r="F446" s="1" t="str">
        <f aca="false">IF(Brasil!C446="","",Brasil!D446)</f>
        <v/>
      </c>
      <c r="I446" s="1" t="str">
        <f aca="false">IF(Brasil!C446="","",Brasil!H446)</f>
        <v/>
      </c>
      <c r="J446" s="1" t="str">
        <f aca="false">IF(Brasil!C446="","",Brasil!D446*Brasil!H446)</f>
        <v/>
      </c>
      <c r="K446" s="1" t="str">
        <f aca="false">IF(Brasil!C446="","","BR")</f>
        <v/>
      </c>
      <c r="L446" s="1" t="str">
        <f aca="false">IF(Brasil!C446="","",IFERROR(INDEX(Gamma_Catalogo!$D$3:$D$1451,MATCH(Brasil!E446,Gamma_Catalogo!$A$3:$A$1451,0)),"Revisar Ip Code"))</f>
        <v/>
      </c>
      <c r="M446" s="1" t="str">
        <f aca="false">IF(Brasil!C446="","",IFERROR(INDEX(Gamma_Catalogo!$C$3:$C$1451,MATCH(Brasil!E446,Gamma_Catalogo!$A$3:$A$1451,0)),"Revisar Ip Code"))</f>
        <v/>
      </c>
      <c r="N446" s="1" t="str">
        <f aca="false">IF(Brasil!C446="","",IFERROR(INDEX(Gamma_Catalogo!$E$3:$E$1451,MATCH(Brasil!E446,Gamma_Catalogo!$A$3:$A$1451,0)),"Revisar Ip Code"))</f>
        <v/>
      </c>
      <c r="O446" s="1" t="str">
        <f aca="false">IF(Brasil!C446="","","Brasil")</f>
        <v/>
      </c>
    </row>
    <row r="447" customFormat="false" ht="15" hidden="false" customHeight="true" outlineLevel="0" collapsed="false">
      <c r="A447" s="1" t="str">
        <f aca="false">IF(Brasil!C447="","",IFERROR(INDEX(Mercados!$C$2:$C$32,MATCH(Brasil!B447,Mercados!$A$2:$A$32,0)),"Revisar Tscode"))</f>
        <v/>
      </c>
      <c r="B447" s="1" t="str">
        <f aca="false">IF(Brasil!C447="","",Brasil!C447)</f>
        <v/>
      </c>
      <c r="C447" s="1" t="str">
        <f aca="false">IF(Brasil!C447="","",Brasil!A447)</f>
        <v/>
      </c>
      <c r="D447" s="1" t="str">
        <f aca="false">IF(Brasil!C447="","",Brasil!E447)</f>
        <v/>
      </c>
      <c r="E447" s="1" t="str">
        <f aca="false">IF(Brasil!C447="","",Brasil!F447)</f>
        <v/>
      </c>
      <c r="F447" s="1" t="str">
        <f aca="false">IF(Brasil!C447="","",Brasil!D447)</f>
        <v/>
      </c>
      <c r="I447" s="1" t="str">
        <f aca="false">IF(Brasil!C447="","",Brasil!H447)</f>
        <v/>
      </c>
      <c r="J447" s="1" t="str">
        <f aca="false">IF(Brasil!C447="","",Brasil!D447*Brasil!H447)</f>
        <v/>
      </c>
      <c r="K447" s="1" t="str">
        <f aca="false">IF(Brasil!C447="","","BR")</f>
        <v/>
      </c>
      <c r="L447" s="1" t="str">
        <f aca="false">IF(Brasil!C447="","",IFERROR(INDEX(Gamma_Catalogo!$D$3:$D$1451,MATCH(Brasil!E447,Gamma_Catalogo!$A$3:$A$1451,0)),"Revisar Ip Code"))</f>
        <v/>
      </c>
      <c r="M447" s="1" t="str">
        <f aca="false">IF(Brasil!C447="","",IFERROR(INDEX(Gamma_Catalogo!$C$3:$C$1451,MATCH(Brasil!E447,Gamma_Catalogo!$A$3:$A$1451,0)),"Revisar Ip Code"))</f>
        <v/>
      </c>
      <c r="N447" s="1" t="str">
        <f aca="false">IF(Brasil!C447="","",IFERROR(INDEX(Gamma_Catalogo!$E$3:$E$1451,MATCH(Brasil!E447,Gamma_Catalogo!$A$3:$A$1451,0)),"Revisar Ip Code"))</f>
        <v/>
      </c>
      <c r="O447" s="1" t="str">
        <f aca="false">IF(Brasil!C447="","","Brasil")</f>
        <v/>
      </c>
    </row>
    <row r="448" customFormat="false" ht="15" hidden="false" customHeight="true" outlineLevel="0" collapsed="false">
      <c r="A448" s="1" t="str">
        <f aca="false">IF(Brasil!C448="","",IFERROR(INDEX(Mercados!$C$2:$C$32,MATCH(Brasil!B448,Mercados!$A$2:$A$32,0)),"Revisar Tscode"))</f>
        <v/>
      </c>
      <c r="B448" s="1" t="str">
        <f aca="false">IF(Brasil!C448="","",Brasil!C448)</f>
        <v/>
      </c>
      <c r="C448" s="1" t="str">
        <f aca="false">IF(Brasil!C448="","",Brasil!A448)</f>
        <v/>
      </c>
      <c r="D448" s="1" t="str">
        <f aca="false">IF(Brasil!C448="","",Brasil!E448)</f>
        <v/>
      </c>
      <c r="E448" s="1" t="str">
        <f aca="false">IF(Brasil!C448="","",Brasil!F448)</f>
        <v/>
      </c>
      <c r="F448" s="1" t="str">
        <f aca="false">IF(Brasil!C448="","",Brasil!D448)</f>
        <v/>
      </c>
      <c r="I448" s="1" t="str">
        <f aca="false">IF(Brasil!C448="","",Brasil!H448)</f>
        <v/>
      </c>
      <c r="J448" s="1" t="str">
        <f aca="false">IF(Brasil!C448="","",Brasil!D448*Brasil!H448)</f>
        <v/>
      </c>
      <c r="K448" s="1" t="str">
        <f aca="false">IF(Brasil!C448="","","BR")</f>
        <v/>
      </c>
      <c r="L448" s="1" t="str">
        <f aca="false">IF(Brasil!C448="","",IFERROR(INDEX(Gamma_Catalogo!$D$3:$D$1451,MATCH(Brasil!E448,Gamma_Catalogo!$A$3:$A$1451,0)),"Revisar Ip Code"))</f>
        <v/>
      </c>
      <c r="M448" s="1" t="str">
        <f aca="false">IF(Brasil!C448="","",IFERROR(INDEX(Gamma_Catalogo!$C$3:$C$1451,MATCH(Brasil!E448,Gamma_Catalogo!$A$3:$A$1451,0)),"Revisar Ip Code"))</f>
        <v/>
      </c>
      <c r="N448" s="1" t="str">
        <f aca="false">IF(Brasil!C448="","",IFERROR(INDEX(Gamma_Catalogo!$E$3:$E$1451,MATCH(Brasil!E448,Gamma_Catalogo!$A$3:$A$1451,0)),"Revisar Ip Code"))</f>
        <v/>
      </c>
      <c r="O448" s="1" t="str">
        <f aca="false">IF(Brasil!C448="","","Brasil")</f>
        <v/>
      </c>
    </row>
    <row r="449" customFormat="false" ht="15" hidden="false" customHeight="true" outlineLevel="0" collapsed="false">
      <c r="A449" s="1" t="str">
        <f aca="false">IF(Brasil!C449="","",IFERROR(INDEX(Mercados!$C$2:$C$32,MATCH(Brasil!B449,Mercados!$A$2:$A$32,0)),"Revisar Tscode"))</f>
        <v/>
      </c>
      <c r="B449" s="1" t="str">
        <f aca="false">IF(Brasil!C449="","",Brasil!C449)</f>
        <v/>
      </c>
      <c r="C449" s="1" t="str">
        <f aca="false">IF(Brasil!C449="","",Brasil!A449)</f>
        <v/>
      </c>
      <c r="D449" s="1" t="str">
        <f aca="false">IF(Brasil!C449="","",Brasil!E449)</f>
        <v/>
      </c>
      <c r="E449" s="1" t="str">
        <f aca="false">IF(Brasil!C449="","",Brasil!F449)</f>
        <v/>
      </c>
      <c r="F449" s="1" t="str">
        <f aca="false">IF(Brasil!C449="","",Brasil!D449)</f>
        <v/>
      </c>
      <c r="I449" s="1" t="str">
        <f aca="false">IF(Brasil!C449="","",Brasil!H449)</f>
        <v/>
      </c>
      <c r="J449" s="1" t="str">
        <f aca="false">IF(Brasil!C449="","",Brasil!D449*Brasil!H449)</f>
        <v/>
      </c>
      <c r="K449" s="1" t="str">
        <f aca="false">IF(Brasil!C449="","","BR")</f>
        <v/>
      </c>
      <c r="L449" s="1" t="str">
        <f aca="false">IF(Brasil!C449="","",IFERROR(INDEX(Gamma_Catalogo!$D$3:$D$1451,MATCH(Brasil!E449,Gamma_Catalogo!$A$3:$A$1451,0)),"Revisar Ip Code"))</f>
        <v/>
      </c>
      <c r="M449" s="1" t="str">
        <f aca="false">IF(Brasil!C449="","",IFERROR(INDEX(Gamma_Catalogo!$C$3:$C$1451,MATCH(Brasil!E449,Gamma_Catalogo!$A$3:$A$1451,0)),"Revisar Ip Code"))</f>
        <v/>
      </c>
      <c r="N449" s="1" t="str">
        <f aca="false">IF(Brasil!C449="","",IFERROR(INDEX(Gamma_Catalogo!$E$3:$E$1451,MATCH(Brasil!E449,Gamma_Catalogo!$A$3:$A$1451,0)),"Revisar Ip Code"))</f>
        <v/>
      </c>
      <c r="O449" s="1" t="str">
        <f aca="false">IF(Brasil!C449="","","Brasil")</f>
        <v/>
      </c>
    </row>
    <row r="450" customFormat="false" ht="15" hidden="false" customHeight="true" outlineLevel="0" collapsed="false">
      <c r="A450" s="1" t="str">
        <f aca="false">IF(Brasil!C450="","",IFERROR(INDEX(Mercados!$C$2:$C$32,MATCH(Brasil!B450,Mercados!$A$2:$A$32,0)),"Revisar Tscode"))</f>
        <v/>
      </c>
      <c r="B450" s="1" t="str">
        <f aca="false">IF(Brasil!C450="","",Brasil!C450)</f>
        <v/>
      </c>
      <c r="C450" s="1" t="str">
        <f aca="false">IF(Brasil!C450="","",Brasil!A450)</f>
        <v/>
      </c>
      <c r="D450" s="1" t="str">
        <f aca="false">IF(Brasil!C450="","",Brasil!E450)</f>
        <v/>
      </c>
      <c r="E450" s="1" t="str">
        <f aca="false">IF(Brasil!C450="","",Brasil!F450)</f>
        <v/>
      </c>
      <c r="F450" s="1" t="str">
        <f aca="false">IF(Brasil!C450="","",Brasil!D450)</f>
        <v/>
      </c>
      <c r="I450" s="1" t="str">
        <f aca="false">IF(Brasil!C450="","",Brasil!H450)</f>
        <v/>
      </c>
      <c r="J450" s="1" t="str">
        <f aca="false">IF(Brasil!C450="","",Brasil!D450*Brasil!H450)</f>
        <v/>
      </c>
      <c r="K450" s="1" t="str">
        <f aca="false">IF(Brasil!C450="","","BR")</f>
        <v/>
      </c>
      <c r="L450" s="1" t="str">
        <f aca="false">IF(Brasil!C450="","",IFERROR(INDEX(Gamma_Catalogo!$D$3:$D$1451,MATCH(Brasil!E450,Gamma_Catalogo!$A$3:$A$1451,0)),"Revisar Ip Code"))</f>
        <v/>
      </c>
      <c r="M450" s="1" t="str">
        <f aca="false">IF(Brasil!C450="","",IFERROR(INDEX(Gamma_Catalogo!$C$3:$C$1451,MATCH(Brasil!E450,Gamma_Catalogo!$A$3:$A$1451,0)),"Revisar Ip Code"))</f>
        <v/>
      </c>
      <c r="N450" s="1" t="str">
        <f aca="false">IF(Brasil!C450="","",IFERROR(INDEX(Gamma_Catalogo!$E$3:$E$1451,MATCH(Brasil!E450,Gamma_Catalogo!$A$3:$A$1451,0)),"Revisar Ip Code"))</f>
        <v/>
      </c>
      <c r="O450" s="1" t="str">
        <f aca="false">IF(Brasil!C450="","","Brasil")</f>
        <v/>
      </c>
    </row>
    <row r="451" customFormat="false" ht="15" hidden="false" customHeight="true" outlineLevel="0" collapsed="false">
      <c r="A451" s="1" t="str">
        <f aca="false">IF(Brasil!C451="","",IFERROR(INDEX(Mercados!$C$2:$C$32,MATCH(Brasil!B451,Mercados!$A$2:$A$32,0)),"Revisar Tscode"))</f>
        <v/>
      </c>
      <c r="B451" s="1" t="str">
        <f aca="false">IF(Brasil!C451="","",Brasil!C451)</f>
        <v/>
      </c>
      <c r="C451" s="1" t="str">
        <f aca="false">IF(Brasil!C451="","",Brasil!A451)</f>
        <v/>
      </c>
      <c r="D451" s="1" t="str">
        <f aca="false">IF(Brasil!C451="","",Brasil!E451)</f>
        <v/>
      </c>
      <c r="E451" s="1" t="str">
        <f aca="false">IF(Brasil!C451="","",Brasil!F451)</f>
        <v/>
      </c>
      <c r="F451" s="1" t="str">
        <f aca="false">IF(Brasil!C451="","",Brasil!D451)</f>
        <v/>
      </c>
      <c r="I451" s="1" t="str">
        <f aca="false">IF(Brasil!C451="","",Brasil!H451)</f>
        <v/>
      </c>
      <c r="J451" s="1" t="str">
        <f aca="false">IF(Brasil!C451="","",Brasil!D451*Brasil!H451)</f>
        <v/>
      </c>
      <c r="K451" s="1" t="str">
        <f aca="false">IF(Brasil!C451="","","BR")</f>
        <v/>
      </c>
      <c r="L451" s="1" t="str">
        <f aca="false">IF(Brasil!C451="","",IFERROR(INDEX(Gamma_Catalogo!$D$3:$D$1451,MATCH(Brasil!E451,Gamma_Catalogo!$A$3:$A$1451,0)),"Revisar Ip Code"))</f>
        <v/>
      </c>
      <c r="M451" s="1" t="str">
        <f aca="false">IF(Brasil!C451="","",IFERROR(INDEX(Gamma_Catalogo!$C$3:$C$1451,MATCH(Brasil!E451,Gamma_Catalogo!$A$3:$A$1451,0)),"Revisar Ip Code"))</f>
        <v/>
      </c>
      <c r="N451" s="1" t="str">
        <f aca="false">IF(Brasil!C451="","",IFERROR(INDEX(Gamma_Catalogo!$E$3:$E$1451,MATCH(Brasil!E451,Gamma_Catalogo!$A$3:$A$1451,0)),"Revisar Ip Code"))</f>
        <v/>
      </c>
      <c r="O451" s="1" t="str">
        <f aca="false">IF(Brasil!C451="","","Brasil")</f>
        <v/>
      </c>
    </row>
    <row r="452" customFormat="false" ht="15" hidden="false" customHeight="true" outlineLevel="0" collapsed="false">
      <c r="A452" s="1" t="str">
        <f aca="false">IF(Brasil!C452="","",IFERROR(INDEX(Mercados!$C$2:$C$32,MATCH(Brasil!B452,Mercados!$A$2:$A$32,0)),"Revisar Tscode"))</f>
        <v/>
      </c>
      <c r="B452" s="1" t="str">
        <f aca="false">IF(Brasil!C452="","",Brasil!C452)</f>
        <v/>
      </c>
      <c r="C452" s="1" t="str">
        <f aca="false">IF(Brasil!C452="","",Brasil!A452)</f>
        <v/>
      </c>
      <c r="D452" s="1" t="str">
        <f aca="false">IF(Brasil!C452="","",Brasil!E452)</f>
        <v/>
      </c>
      <c r="E452" s="1" t="str">
        <f aca="false">IF(Brasil!C452="","",Brasil!F452)</f>
        <v/>
      </c>
      <c r="F452" s="1" t="str">
        <f aca="false">IF(Brasil!C452="","",Brasil!D452)</f>
        <v/>
      </c>
      <c r="I452" s="1" t="str">
        <f aca="false">IF(Brasil!C452="","",Brasil!H452)</f>
        <v/>
      </c>
      <c r="J452" s="1" t="str">
        <f aca="false">IF(Brasil!C452="","",Brasil!D452*Brasil!H452)</f>
        <v/>
      </c>
      <c r="K452" s="1" t="str">
        <f aca="false">IF(Brasil!C452="","","BR")</f>
        <v/>
      </c>
      <c r="L452" s="1" t="str">
        <f aca="false">IF(Brasil!C452="","",IFERROR(INDEX(Gamma_Catalogo!$D$3:$D$1451,MATCH(Brasil!E452,Gamma_Catalogo!$A$3:$A$1451,0)),"Revisar Ip Code"))</f>
        <v/>
      </c>
      <c r="M452" s="1" t="str">
        <f aca="false">IF(Brasil!C452="","",IFERROR(INDEX(Gamma_Catalogo!$C$3:$C$1451,MATCH(Brasil!E452,Gamma_Catalogo!$A$3:$A$1451,0)),"Revisar Ip Code"))</f>
        <v/>
      </c>
      <c r="N452" s="1" t="str">
        <f aca="false">IF(Brasil!C452="","",IFERROR(INDEX(Gamma_Catalogo!$E$3:$E$1451,MATCH(Brasil!E452,Gamma_Catalogo!$A$3:$A$1451,0)),"Revisar Ip Code"))</f>
        <v/>
      </c>
      <c r="O452" s="1" t="str">
        <f aca="false">IF(Brasil!C452="","","Brasil")</f>
        <v/>
      </c>
    </row>
    <row r="453" customFormat="false" ht="15" hidden="false" customHeight="true" outlineLevel="0" collapsed="false">
      <c r="A453" s="1" t="str">
        <f aca="false">IF(Brasil!C453="","",IFERROR(INDEX(Mercados!$C$2:$C$32,MATCH(Brasil!B453,Mercados!$A$2:$A$32,0)),"Revisar Tscode"))</f>
        <v/>
      </c>
      <c r="B453" s="1" t="str">
        <f aca="false">IF(Brasil!C453="","",Brasil!C453)</f>
        <v/>
      </c>
      <c r="C453" s="1" t="str">
        <f aca="false">IF(Brasil!C453="","",Brasil!A453)</f>
        <v/>
      </c>
      <c r="D453" s="1" t="str">
        <f aca="false">IF(Brasil!C453="","",Brasil!E453)</f>
        <v/>
      </c>
      <c r="E453" s="1" t="str">
        <f aca="false">IF(Brasil!C453="","",Brasil!F453)</f>
        <v/>
      </c>
      <c r="F453" s="1" t="str">
        <f aca="false">IF(Brasil!C453="","",Brasil!D453)</f>
        <v/>
      </c>
      <c r="I453" s="1" t="str">
        <f aca="false">IF(Brasil!C453="","",Brasil!H453)</f>
        <v/>
      </c>
      <c r="J453" s="1" t="str">
        <f aca="false">IF(Brasil!C453="","",Brasil!D453*Brasil!H453)</f>
        <v/>
      </c>
      <c r="K453" s="1" t="str">
        <f aca="false">IF(Brasil!C453="","","BR")</f>
        <v/>
      </c>
      <c r="L453" s="1" t="str">
        <f aca="false">IF(Brasil!C453="","",IFERROR(INDEX(Gamma_Catalogo!$D$3:$D$1451,MATCH(Brasil!E453,Gamma_Catalogo!$A$3:$A$1451,0)),"Revisar Ip Code"))</f>
        <v/>
      </c>
      <c r="M453" s="1" t="str">
        <f aca="false">IF(Brasil!C453="","",IFERROR(INDEX(Gamma_Catalogo!$C$3:$C$1451,MATCH(Brasil!E453,Gamma_Catalogo!$A$3:$A$1451,0)),"Revisar Ip Code"))</f>
        <v/>
      </c>
      <c r="N453" s="1" t="str">
        <f aca="false">IF(Brasil!C453="","",IFERROR(INDEX(Gamma_Catalogo!$E$3:$E$1451,MATCH(Brasil!E453,Gamma_Catalogo!$A$3:$A$1451,0)),"Revisar Ip Code"))</f>
        <v/>
      </c>
      <c r="O453" s="1" t="str">
        <f aca="false">IF(Brasil!C453="","","Brasil")</f>
        <v/>
      </c>
    </row>
    <row r="454" customFormat="false" ht="15" hidden="false" customHeight="true" outlineLevel="0" collapsed="false">
      <c r="A454" s="1" t="str">
        <f aca="false">IF(Brasil!C454="","",IFERROR(INDEX(Mercados!$C$2:$C$32,MATCH(Brasil!B454,Mercados!$A$2:$A$32,0)),"Revisar Tscode"))</f>
        <v/>
      </c>
      <c r="B454" s="1" t="str">
        <f aca="false">IF(Brasil!C454="","",Brasil!C454)</f>
        <v/>
      </c>
      <c r="C454" s="1" t="str">
        <f aca="false">IF(Brasil!C454="","",Brasil!A454)</f>
        <v/>
      </c>
      <c r="D454" s="1" t="str">
        <f aca="false">IF(Brasil!C454="","",Brasil!E454)</f>
        <v/>
      </c>
      <c r="E454" s="1" t="str">
        <f aca="false">IF(Brasil!C454="","",Brasil!F454)</f>
        <v/>
      </c>
      <c r="F454" s="1" t="str">
        <f aca="false">IF(Brasil!C454="","",Brasil!D454)</f>
        <v/>
      </c>
      <c r="I454" s="1" t="str">
        <f aca="false">IF(Brasil!C454="","",Brasil!H454)</f>
        <v/>
      </c>
      <c r="J454" s="1" t="str">
        <f aca="false">IF(Brasil!C454="","",Brasil!D454*Brasil!H454)</f>
        <v/>
      </c>
      <c r="K454" s="1" t="str">
        <f aca="false">IF(Brasil!C454="","","BR")</f>
        <v/>
      </c>
      <c r="L454" s="1" t="str">
        <f aca="false">IF(Brasil!C454="","",IFERROR(INDEX(Gamma_Catalogo!$D$3:$D$1451,MATCH(Brasil!E454,Gamma_Catalogo!$A$3:$A$1451,0)),"Revisar Ip Code"))</f>
        <v/>
      </c>
      <c r="M454" s="1" t="str">
        <f aca="false">IF(Brasil!C454="","",IFERROR(INDEX(Gamma_Catalogo!$C$3:$C$1451,MATCH(Brasil!E454,Gamma_Catalogo!$A$3:$A$1451,0)),"Revisar Ip Code"))</f>
        <v/>
      </c>
      <c r="N454" s="1" t="str">
        <f aca="false">IF(Brasil!C454="","",IFERROR(INDEX(Gamma_Catalogo!$E$3:$E$1451,MATCH(Brasil!E454,Gamma_Catalogo!$A$3:$A$1451,0)),"Revisar Ip Code"))</f>
        <v/>
      </c>
      <c r="O454" s="1" t="str">
        <f aca="false">IF(Brasil!C454="","","Brasil")</f>
        <v/>
      </c>
    </row>
    <row r="455" customFormat="false" ht="15" hidden="false" customHeight="true" outlineLevel="0" collapsed="false">
      <c r="A455" s="1" t="str">
        <f aca="false">IF(Brasil!C455="","",IFERROR(INDEX(Mercados!$C$2:$C$32,MATCH(Brasil!B455,Mercados!$A$2:$A$32,0)),"Revisar Tscode"))</f>
        <v/>
      </c>
      <c r="B455" s="1" t="str">
        <f aca="false">IF(Brasil!C455="","",Brasil!C455)</f>
        <v/>
      </c>
      <c r="C455" s="1" t="str">
        <f aca="false">IF(Brasil!C455="","",Brasil!A455)</f>
        <v/>
      </c>
      <c r="D455" s="1" t="str">
        <f aca="false">IF(Brasil!C455="","",Brasil!E455)</f>
        <v/>
      </c>
      <c r="E455" s="1" t="str">
        <f aca="false">IF(Brasil!C455="","",Brasil!F455)</f>
        <v/>
      </c>
      <c r="F455" s="1" t="str">
        <f aca="false">IF(Brasil!C455="","",Brasil!D455)</f>
        <v/>
      </c>
      <c r="I455" s="1" t="str">
        <f aca="false">IF(Brasil!C455="","",Brasil!H455)</f>
        <v/>
      </c>
      <c r="J455" s="1" t="str">
        <f aca="false">IF(Brasil!C455="","",Brasil!D455*Brasil!H455)</f>
        <v/>
      </c>
      <c r="K455" s="1" t="str">
        <f aca="false">IF(Brasil!C455="","","BR")</f>
        <v/>
      </c>
      <c r="L455" s="1" t="str">
        <f aca="false">IF(Brasil!C455="","",IFERROR(INDEX(Gamma_Catalogo!$D$3:$D$1451,MATCH(Brasil!E455,Gamma_Catalogo!$A$3:$A$1451,0)),"Revisar Ip Code"))</f>
        <v/>
      </c>
      <c r="M455" s="1" t="str">
        <f aca="false">IF(Brasil!C455="","",IFERROR(INDEX(Gamma_Catalogo!$C$3:$C$1451,MATCH(Brasil!E455,Gamma_Catalogo!$A$3:$A$1451,0)),"Revisar Ip Code"))</f>
        <v/>
      </c>
      <c r="N455" s="1" t="str">
        <f aca="false">IF(Brasil!C455="","",IFERROR(INDEX(Gamma_Catalogo!$E$3:$E$1451,MATCH(Brasil!E455,Gamma_Catalogo!$A$3:$A$1451,0)),"Revisar Ip Code"))</f>
        <v/>
      </c>
      <c r="O455" s="1" t="str">
        <f aca="false">IF(Brasil!C455="","","Brasil")</f>
        <v/>
      </c>
    </row>
    <row r="456" customFormat="false" ht="15" hidden="false" customHeight="true" outlineLevel="0" collapsed="false">
      <c r="A456" s="1" t="str">
        <f aca="false">IF(Brasil!C456="","",IFERROR(INDEX(Mercados!$C$2:$C$32,MATCH(Brasil!B456,Mercados!$A$2:$A$32,0)),"Revisar Tscode"))</f>
        <v/>
      </c>
      <c r="B456" s="1" t="str">
        <f aca="false">IF(Brasil!C456="","",Brasil!C456)</f>
        <v/>
      </c>
      <c r="C456" s="1" t="str">
        <f aca="false">IF(Brasil!C456="","",Brasil!A456)</f>
        <v/>
      </c>
      <c r="D456" s="1" t="str">
        <f aca="false">IF(Brasil!C456="","",Brasil!E456)</f>
        <v/>
      </c>
      <c r="E456" s="1" t="str">
        <f aca="false">IF(Brasil!C456="","",Brasil!F456)</f>
        <v/>
      </c>
      <c r="F456" s="1" t="str">
        <f aca="false">IF(Brasil!C456="","",Brasil!D456)</f>
        <v/>
      </c>
      <c r="I456" s="1" t="str">
        <f aca="false">IF(Brasil!C456="","",Brasil!H456)</f>
        <v/>
      </c>
      <c r="J456" s="1" t="str">
        <f aca="false">IF(Brasil!C456="","",Brasil!D456*Brasil!H456)</f>
        <v/>
      </c>
      <c r="K456" s="1" t="str">
        <f aca="false">IF(Brasil!C456="","","BR")</f>
        <v/>
      </c>
      <c r="L456" s="1" t="str">
        <f aca="false">IF(Brasil!C456="","",IFERROR(INDEX(Gamma_Catalogo!$D$3:$D$1451,MATCH(Brasil!E456,Gamma_Catalogo!$A$3:$A$1451,0)),"Revisar Ip Code"))</f>
        <v/>
      </c>
      <c r="M456" s="1" t="str">
        <f aca="false">IF(Brasil!C456="","",IFERROR(INDEX(Gamma_Catalogo!$C$3:$C$1451,MATCH(Brasil!E456,Gamma_Catalogo!$A$3:$A$1451,0)),"Revisar Ip Code"))</f>
        <v/>
      </c>
      <c r="N456" s="1" t="str">
        <f aca="false">IF(Brasil!C456="","",IFERROR(INDEX(Gamma_Catalogo!$E$3:$E$1451,MATCH(Brasil!E456,Gamma_Catalogo!$A$3:$A$1451,0)),"Revisar Ip Code"))</f>
        <v/>
      </c>
      <c r="O456" s="1" t="str">
        <f aca="false">IF(Brasil!C456="","","Brasil")</f>
        <v/>
      </c>
    </row>
    <row r="457" customFormat="false" ht="15" hidden="false" customHeight="true" outlineLevel="0" collapsed="false">
      <c r="A457" s="1" t="str">
        <f aca="false">IF(Brasil!C457="","",IFERROR(INDEX(Mercados!$C$2:$C$32,MATCH(Brasil!B457,Mercados!$A$2:$A$32,0)),"Revisar Tscode"))</f>
        <v/>
      </c>
      <c r="B457" s="1" t="str">
        <f aca="false">IF(Brasil!C457="","",Brasil!C457)</f>
        <v/>
      </c>
      <c r="C457" s="1" t="str">
        <f aca="false">IF(Brasil!C457="","",Brasil!A457)</f>
        <v/>
      </c>
      <c r="D457" s="1" t="str">
        <f aca="false">IF(Brasil!C457="","",Brasil!E457)</f>
        <v/>
      </c>
      <c r="E457" s="1" t="str">
        <f aca="false">IF(Brasil!C457="","",Brasil!F457)</f>
        <v/>
      </c>
      <c r="F457" s="1" t="str">
        <f aca="false">IF(Brasil!C457="","",Brasil!D457)</f>
        <v/>
      </c>
      <c r="I457" s="1" t="str">
        <f aca="false">IF(Brasil!C457="","",Brasil!H457)</f>
        <v/>
      </c>
      <c r="J457" s="1" t="str">
        <f aca="false">IF(Brasil!C457="","",Brasil!D457*Brasil!H457)</f>
        <v/>
      </c>
      <c r="K457" s="1" t="str">
        <f aca="false">IF(Brasil!C457="","","BR")</f>
        <v/>
      </c>
      <c r="L457" s="1" t="str">
        <f aca="false">IF(Brasil!C457="","",IFERROR(INDEX(Gamma_Catalogo!$D$3:$D$1451,MATCH(Brasil!E457,Gamma_Catalogo!$A$3:$A$1451,0)),"Revisar Ip Code"))</f>
        <v/>
      </c>
      <c r="M457" s="1" t="str">
        <f aca="false">IF(Brasil!C457="","",IFERROR(INDEX(Gamma_Catalogo!$C$3:$C$1451,MATCH(Brasil!E457,Gamma_Catalogo!$A$3:$A$1451,0)),"Revisar Ip Code"))</f>
        <v/>
      </c>
      <c r="N457" s="1" t="str">
        <f aca="false">IF(Brasil!C457="","",IFERROR(INDEX(Gamma_Catalogo!$E$3:$E$1451,MATCH(Brasil!E457,Gamma_Catalogo!$A$3:$A$1451,0)),"Revisar Ip Code"))</f>
        <v/>
      </c>
      <c r="O457" s="1" t="str">
        <f aca="false">IF(Brasil!C457="","","Brasil")</f>
        <v/>
      </c>
    </row>
    <row r="458" customFormat="false" ht="15" hidden="false" customHeight="true" outlineLevel="0" collapsed="false">
      <c r="A458" s="1" t="str">
        <f aca="false">IF(Brasil!C458="","",IFERROR(INDEX(Mercados!$C$2:$C$32,MATCH(Brasil!B458,Mercados!$A$2:$A$32,0)),"Revisar Tscode"))</f>
        <v/>
      </c>
      <c r="B458" s="1" t="str">
        <f aca="false">IF(Brasil!C458="","",Brasil!C458)</f>
        <v/>
      </c>
      <c r="C458" s="1" t="str">
        <f aca="false">IF(Brasil!C458="","",Brasil!A458)</f>
        <v/>
      </c>
      <c r="D458" s="1" t="str">
        <f aca="false">IF(Brasil!C458="","",Brasil!E458)</f>
        <v/>
      </c>
      <c r="E458" s="1" t="str">
        <f aca="false">IF(Brasil!C458="","",Brasil!F458)</f>
        <v/>
      </c>
      <c r="F458" s="1" t="str">
        <f aca="false">IF(Brasil!C458="","",Brasil!D458)</f>
        <v/>
      </c>
      <c r="I458" s="1" t="str">
        <f aca="false">IF(Brasil!C458="","",Brasil!H458)</f>
        <v/>
      </c>
      <c r="J458" s="1" t="str">
        <f aca="false">IF(Brasil!C458="","",Brasil!D458*Brasil!H458)</f>
        <v/>
      </c>
      <c r="K458" s="1" t="str">
        <f aca="false">IF(Brasil!C458="","","BR")</f>
        <v/>
      </c>
      <c r="L458" s="1" t="str">
        <f aca="false">IF(Brasil!C458="","",IFERROR(INDEX(Gamma_Catalogo!$D$3:$D$1451,MATCH(Brasil!E458,Gamma_Catalogo!$A$3:$A$1451,0)),"Revisar Ip Code"))</f>
        <v/>
      </c>
      <c r="M458" s="1" t="str">
        <f aca="false">IF(Brasil!C458="","",IFERROR(INDEX(Gamma_Catalogo!$C$3:$C$1451,MATCH(Brasil!E458,Gamma_Catalogo!$A$3:$A$1451,0)),"Revisar Ip Code"))</f>
        <v/>
      </c>
      <c r="N458" s="1" t="str">
        <f aca="false">IF(Brasil!C458="","",IFERROR(INDEX(Gamma_Catalogo!$E$3:$E$1451,MATCH(Brasil!E458,Gamma_Catalogo!$A$3:$A$1451,0)),"Revisar Ip Code"))</f>
        <v/>
      </c>
      <c r="O458" s="1" t="str">
        <f aca="false">IF(Brasil!C458="","","Brasil")</f>
        <v/>
      </c>
    </row>
    <row r="459" customFormat="false" ht="15" hidden="false" customHeight="true" outlineLevel="0" collapsed="false">
      <c r="A459" s="1" t="str">
        <f aca="false">IF(Brasil!C459="","",IFERROR(INDEX(Mercados!$C$2:$C$32,MATCH(Brasil!B459,Mercados!$A$2:$A$32,0)),"Revisar Tscode"))</f>
        <v/>
      </c>
      <c r="B459" s="1" t="str">
        <f aca="false">IF(Brasil!C459="","",Brasil!C459)</f>
        <v/>
      </c>
      <c r="C459" s="1" t="str">
        <f aca="false">IF(Brasil!C459="","",Brasil!A459)</f>
        <v/>
      </c>
      <c r="D459" s="1" t="str">
        <f aca="false">IF(Brasil!C459="","",Brasil!E459)</f>
        <v/>
      </c>
      <c r="E459" s="1" t="str">
        <f aca="false">IF(Brasil!C459="","",Brasil!F459)</f>
        <v/>
      </c>
      <c r="F459" s="1" t="str">
        <f aca="false">IF(Brasil!C459="","",Brasil!D459)</f>
        <v/>
      </c>
      <c r="I459" s="1" t="str">
        <f aca="false">IF(Brasil!C459="","",Brasil!H459)</f>
        <v/>
      </c>
      <c r="J459" s="1" t="str">
        <f aca="false">IF(Brasil!C459="","",Brasil!D459*Brasil!H459)</f>
        <v/>
      </c>
      <c r="K459" s="1" t="str">
        <f aca="false">IF(Brasil!C459="","","BR")</f>
        <v/>
      </c>
      <c r="L459" s="1" t="str">
        <f aca="false">IF(Brasil!C459="","",IFERROR(INDEX(Gamma_Catalogo!$D$3:$D$1451,MATCH(Brasil!E459,Gamma_Catalogo!$A$3:$A$1451,0)),"Revisar Ip Code"))</f>
        <v/>
      </c>
      <c r="M459" s="1" t="str">
        <f aca="false">IF(Brasil!C459="","",IFERROR(INDEX(Gamma_Catalogo!$C$3:$C$1451,MATCH(Brasil!E459,Gamma_Catalogo!$A$3:$A$1451,0)),"Revisar Ip Code"))</f>
        <v/>
      </c>
      <c r="N459" s="1" t="str">
        <f aca="false">IF(Brasil!C459="","",IFERROR(INDEX(Gamma_Catalogo!$E$3:$E$1451,MATCH(Brasil!E459,Gamma_Catalogo!$A$3:$A$1451,0)),"Revisar Ip Code"))</f>
        <v/>
      </c>
      <c r="O459" s="1" t="str">
        <f aca="false">IF(Brasil!C459="","","Brasil")</f>
        <v/>
      </c>
    </row>
    <row r="460" customFormat="false" ht="15" hidden="false" customHeight="true" outlineLevel="0" collapsed="false">
      <c r="A460" s="1" t="str">
        <f aca="false">IF(Brasil!C460="","",IFERROR(INDEX(Mercados!$C$2:$C$32,MATCH(Brasil!B460,Mercados!$A$2:$A$32,0)),"Revisar Tscode"))</f>
        <v/>
      </c>
      <c r="B460" s="1" t="str">
        <f aca="false">IF(Brasil!C460="","",Brasil!C460)</f>
        <v/>
      </c>
      <c r="C460" s="1" t="str">
        <f aca="false">IF(Brasil!C460="","",Brasil!A460)</f>
        <v/>
      </c>
      <c r="D460" s="1" t="str">
        <f aca="false">IF(Brasil!C460="","",Brasil!E460)</f>
        <v/>
      </c>
      <c r="E460" s="1" t="str">
        <f aca="false">IF(Brasil!C460="","",Brasil!F460)</f>
        <v/>
      </c>
      <c r="F460" s="1" t="str">
        <f aca="false">IF(Brasil!C460="","",Brasil!D460)</f>
        <v/>
      </c>
      <c r="I460" s="1" t="str">
        <f aca="false">IF(Brasil!C460="","",Brasil!H460)</f>
        <v/>
      </c>
      <c r="J460" s="1" t="str">
        <f aca="false">IF(Brasil!C460="","",Brasil!D460*Brasil!H460)</f>
        <v/>
      </c>
      <c r="K460" s="1" t="str">
        <f aca="false">IF(Brasil!C460="","","BR")</f>
        <v/>
      </c>
      <c r="L460" s="1" t="str">
        <f aca="false">IF(Brasil!C460="","",IFERROR(INDEX(Gamma_Catalogo!$D$3:$D$1451,MATCH(Brasil!E460,Gamma_Catalogo!$A$3:$A$1451,0)),"Revisar Ip Code"))</f>
        <v/>
      </c>
      <c r="M460" s="1" t="str">
        <f aca="false">IF(Brasil!C460="","",IFERROR(INDEX(Gamma_Catalogo!$C$3:$C$1451,MATCH(Brasil!E460,Gamma_Catalogo!$A$3:$A$1451,0)),"Revisar Ip Code"))</f>
        <v/>
      </c>
      <c r="N460" s="1" t="str">
        <f aca="false">IF(Brasil!C460="","",IFERROR(INDEX(Gamma_Catalogo!$E$3:$E$1451,MATCH(Brasil!E460,Gamma_Catalogo!$A$3:$A$1451,0)),"Revisar Ip Code"))</f>
        <v/>
      </c>
      <c r="O460" s="1" t="str">
        <f aca="false">IF(Brasil!C460="","","Brasil")</f>
        <v/>
      </c>
    </row>
    <row r="461" customFormat="false" ht="15" hidden="false" customHeight="true" outlineLevel="0" collapsed="false">
      <c r="A461" s="1" t="str">
        <f aca="false">IF(Brasil!C461="","",IFERROR(INDEX(Mercados!$C$2:$C$32,MATCH(Brasil!B461,Mercados!$A$2:$A$32,0)),"Revisar Tscode"))</f>
        <v/>
      </c>
      <c r="B461" s="1" t="str">
        <f aca="false">IF(Brasil!C461="","",Brasil!C461)</f>
        <v/>
      </c>
      <c r="C461" s="1" t="str">
        <f aca="false">IF(Brasil!C461="","",Brasil!A461)</f>
        <v/>
      </c>
      <c r="D461" s="1" t="str">
        <f aca="false">IF(Brasil!C461="","",Brasil!E461)</f>
        <v/>
      </c>
      <c r="E461" s="1" t="str">
        <f aca="false">IF(Brasil!C461="","",Brasil!F461)</f>
        <v/>
      </c>
      <c r="F461" s="1" t="str">
        <f aca="false">IF(Brasil!C461="","",Brasil!D461)</f>
        <v/>
      </c>
      <c r="I461" s="1" t="str">
        <f aca="false">IF(Brasil!C461="","",Brasil!H461)</f>
        <v/>
      </c>
      <c r="J461" s="1" t="str">
        <f aca="false">IF(Brasil!C461="","",Brasil!D461*Brasil!H461)</f>
        <v/>
      </c>
      <c r="K461" s="1" t="str">
        <f aca="false">IF(Brasil!C461="","","BR")</f>
        <v/>
      </c>
      <c r="L461" s="1" t="str">
        <f aca="false">IF(Brasil!C461="","",IFERROR(INDEX(Gamma_Catalogo!$D$3:$D$1451,MATCH(Brasil!E461,Gamma_Catalogo!$A$3:$A$1451,0)),"Revisar Ip Code"))</f>
        <v/>
      </c>
      <c r="M461" s="1" t="str">
        <f aca="false">IF(Brasil!C461="","",IFERROR(INDEX(Gamma_Catalogo!$C$3:$C$1451,MATCH(Brasil!E461,Gamma_Catalogo!$A$3:$A$1451,0)),"Revisar Ip Code"))</f>
        <v/>
      </c>
      <c r="N461" s="1" t="str">
        <f aca="false">IF(Brasil!C461="","",IFERROR(INDEX(Gamma_Catalogo!$E$3:$E$1451,MATCH(Brasil!E461,Gamma_Catalogo!$A$3:$A$1451,0)),"Revisar Ip Code"))</f>
        <v/>
      </c>
      <c r="O461" s="1" t="str">
        <f aca="false">IF(Brasil!C461="","","Brasil")</f>
        <v/>
      </c>
    </row>
    <row r="462" customFormat="false" ht="15" hidden="false" customHeight="true" outlineLevel="0" collapsed="false">
      <c r="A462" s="1" t="str">
        <f aca="false">IF(Brasil!C462="","",IFERROR(INDEX(Mercados!$C$2:$C$32,MATCH(Brasil!B462,Mercados!$A$2:$A$32,0)),"Revisar Tscode"))</f>
        <v/>
      </c>
      <c r="B462" s="1" t="str">
        <f aca="false">IF(Brasil!C462="","",Brasil!C462)</f>
        <v/>
      </c>
      <c r="C462" s="1" t="str">
        <f aca="false">IF(Brasil!C462="","",Brasil!A462)</f>
        <v/>
      </c>
      <c r="D462" s="1" t="str">
        <f aca="false">IF(Brasil!C462="","",Brasil!E462)</f>
        <v/>
      </c>
      <c r="E462" s="1" t="str">
        <f aca="false">IF(Brasil!C462="","",Brasil!F462)</f>
        <v/>
      </c>
      <c r="F462" s="1" t="str">
        <f aca="false">IF(Brasil!C462="","",Brasil!D462)</f>
        <v/>
      </c>
      <c r="I462" s="1" t="str">
        <f aca="false">IF(Brasil!C462="","",Brasil!H462)</f>
        <v/>
      </c>
      <c r="J462" s="1" t="str">
        <f aca="false">IF(Brasil!C462="","",Brasil!D462*Brasil!H462)</f>
        <v/>
      </c>
      <c r="K462" s="1" t="str">
        <f aca="false">IF(Brasil!C462="","","BR")</f>
        <v/>
      </c>
      <c r="L462" s="1" t="str">
        <f aca="false">IF(Brasil!C462="","",IFERROR(INDEX(Gamma_Catalogo!$D$3:$D$1451,MATCH(Brasil!E462,Gamma_Catalogo!$A$3:$A$1451,0)),"Revisar Ip Code"))</f>
        <v/>
      </c>
      <c r="M462" s="1" t="str">
        <f aca="false">IF(Brasil!C462="","",IFERROR(INDEX(Gamma_Catalogo!$C$3:$C$1451,MATCH(Brasil!E462,Gamma_Catalogo!$A$3:$A$1451,0)),"Revisar Ip Code"))</f>
        <v/>
      </c>
      <c r="N462" s="1" t="str">
        <f aca="false">IF(Brasil!C462="","",IFERROR(INDEX(Gamma_Catalogo!$E$3:$E$1451,MATCH(Brasil!E462,Gamma_Catalogo!$A$3:$A$1451,0)),"Revisar Ip Code"))</f>
        <v/>
      </c>
      <c r="O462" s="1" t="str">
        <f aca="false">IF(Brasil!C462="","","Brasil")</f>
        <v/>
      </c>
    </row>
    <row r="463" customFormat="false" ht="15" hidden="false" customHeight="true" outlineLevel="0" collapsed="false">
      <c r="A463" s="1" t="str">
        <f aca="false">IF(Brasil!C463="","",IFERROR(INDEX(Mercados!$C$2:$C$32,MATCH(Brasil!B463,Mercados!$A$2:$A$32,0)),"Revisar Tscode"))</f>
        <v/>
      </c>
      <c r="B463" s="1" t="str">
        <f aca="false">IF(Brasil!C463="","",Brasil!C463)</f>
        <v/>
      </c>
      <c r="C463" s="1" t="str">
        <f aca="false">IF(Brasil!C463="","",Brasil!A463)</f>
        <v/>
      </c>
      <c r="D463" s="1" t="str">
        <f aca="false">IF(Brasil!C463="","",Brasil!E463)</f>
        <v/>
      </c>
      <c r="E463" s="1" t="str">
        <f aca="false">IF(Brasil!C463="","",Brasil!F463)</f>
        <v/>
      </c>
      <c r="F463" s="1" t="str">
        <f aca="false">IF(Brasil!C463="","",Brasil!D463)</f>
        <v/>
      </c>
      <c r="I463" s="1" t="str">
        <f aca="false">IF(Brasil!C463="","",Brasil!H463)</f>
        <v/>
      </c>
      <c r="J463" s="1" t="str">
        <f aca="false">IF(Brasil!C463="","",Brasil!D463*Brasil!H463)</f>
        <v/>
      </c>
      <c r="K463" s="1" t="str">
        <f aca="false">IF(Brasil!C463="","","BR")</f>
        <v/>
      </c>
      <c r="L463" s="1" t="str">
        <f aca="false">IF(Brasil!C463="","",IFERROR(INDEX(Gamma_Catalogo!$D$3:$D$1451,MATCH(Brasil!E463,Gamma_Catalogo!$A$3:$A$1451,0)),"Revisar Ip Code"))</f>
        <v/>
      </c>
      <c r="M463" s="1" t="str">
        <f aca="false">IF(Brasil!C463="","",IFERROR(INDEX(Gamma_Catalogo!$C$3:$C$1451,MATCH(Brasil!E463,Gamma_Catalogo!$A$3:$A$1451,0)),"Revisar Ip Code"))</f>
        <v/>
      </c>
      <c r="N463" s="1" t="str">
        <f aca="false">IF(Brasil!C463="","",IFERROR(INDEX(Gamma_Catalogo!$E$3:$E$1451,MATCH(Brasil!E463,Gamma_Catalogo!$A$3:$A$1451,0)),"Revisar Ip Code"))</f>
        <v/>
      </c>
      <c r="O463" s="1" t="str">
        <f aca="false">IF(Brasil!C463="","","Brasil")</f>
        <v/>
      </c>
    </row>
    <row r="464" customFormat="false" ht="15" hidden="false" customHeight="true" outlineLevel="0" collapsed="false">
      <c r="A464" s="1" t="str">
        <f aca="false">IF(Brasil!C464="","",IFERROR(INDEX(Mercados!$C$2:$C$32,MATCH(Brasil!B464,Mercados!$A$2:$A$32,0)),"Revisar Tscode"))</f>
        <v/>
      </c>
      <c r="B464" s="1" t="str">
        <f aca="false">IF(Brasil!C464="","",Brasil!C464)</f>
        <v/>
      </c>
      <c r="C464" s="1" t="str">
        <f aca="false">IF(Brasil!C464="","",Brasil!A464)</f>
        <v/>
      </c>
      <c r="D464" s="1" t="str">
        <f aca="false">IF(Brasil!C464="","",Brasil!E464)</f>
        <v/>
      </c>
      <c r="E464" s="1" t="str">
        <f aca="false">IF(Brasil!C464="","",Brasil!F464)</f>
        <v/>
      </c>
      <c r="F464" s="1" t="str">
        <f aca="false">IF(Brasil!C464="","",Brasil!D464)</f>
        <v/>
      </c>
      <c r="I464" s="1" t="str">
        <f aca="false">IF(Brasil!C464="","",Brasil!H464)</f>
        <v/>
      </c>
      <c r="J464" s="1" t="str">
        <f aca="false">IF(Brasil!C464="","",Brasil!D464*Brasil!H464)</f>
        <v/>
      </c>
      <c r="K464" s="1" t="str">
        <f aca="false">IF(Brasil!C464="","","BR")</f>
        <v/>
      </c>
      <c r="L464" s="1" t="str">
        <f aca="false">IF(Brasil!C464="","",IFERROR(INDEX(Gamma_Catalogo!$D$3:$D$1451,MATCH(Brasil!E464,Gamma_Catalogo!$A$3:$A$1451,0)),"Revisar Ip Code"))</f>
        <v/>
      </c>
      <c r="M464" s="1" t="str">
        <f aca="false">IF(Brasil!C464="","",IFERROR(INDEX(Gamma_Catalogo!$C$3:$C$1451,MATCH(Brasil!E464,Gamma_Catalogo!$A$3:$A$1451,0)),"Revisar Ip Code"))</f>
        <v/>
      </c>
      <c r="N464" s="1" t="str">
        <f aca="false">IF(Brasil!C464="","",IFERROR(INDEX(Gamma_Catalogo!$E$3:$E$1451,MATCH(Brasil!E464,Gamma_Catalogo!$A$3:$A$1451,0)),"Revisar Ip Code"))</f>
        <v/>
      </c>
      <c r="O464" s="1" t="str">
        <f aca="false">IF(Brasil!C464="","","Brasil")</f>
        <v/>
      </c>
    </row>
    <row r="465" customFormat="false" ht="15" hidden="false" customHeight="true" outlineLevel="0" collapsed="false">
      <c r="A465" s="1" t="str">
        <f aca="false">IF(Brasil!C465="","",IFERROR(INDEX(Mercados!$C$2:$C$32,MATCH(Brasil!B465,Mercados!$A$2:$A$32,0)),"Revisar Tscode"))</f>
        <v/>
      </c>
      <c r="B465" s="1" t="str">
        <f aca="false">IF(Brasil!C465="","",Brasil!C465)</f>
        <v/>
      </c>
      <c r="C465" s="1" t="str">
        <f aca="false">IF(Brasil!C465="","",Brasil!A465)</f>
        <v/>
      </c>
      <c r="D465" s="1" t="str">
        <f aca="false">IF(Brasil!C465="","",Brasil!E465)</f>
        <v/>
      </c>
      <c r="E465" s="1" t="str">
        <f aca="false">IF(Brasil!C465="","",Brasil!F465)</f>
        <v/>
      </c>
      <c r="F465" s="1" t="str">
        <f aca="false">IF(Brasil!C465="","",Brasil!D465)</f>
        <v/>
      </c>
      <c r="I465" s="1" t="str">
        <f aca="false">IF(Brasil!C465="","",Brasil!H465)</f>
        <v/>
      </c>
      <c r="J465" s="1" t="str">
        <f aca="false">IF(Brasil!C465="","",Brasil!D465*Brasil!H465)</f>
        <v/>
      </c>
      <c r="K465" s="1" t="str">
        <f aca="false">IF(Brasil!C465="","","BR")</f>
        <v/>
      </c>
      <c r="L465" s="1" t="str">
        <f aca="false">IF(Brasil!C465="","",IFERROR(INDEX(Gamma_Catalogo!$D$3:$D$1451,MATCH(Brasil!E465,Gamma_Catalogo!$A$3:$A$1451,0)),"Revisar Ip Code"))</f>
        <v/>
      </c>
      <c r="M465" s="1" t="str">
        <f aca="false">IF(Brasil!C465="","",IFERROR(INDEX(Gamma_Catalogo!$C$3:$C$1451,MATCH(Brasil!E465,Gamma_Catalogo!$A$3:$A$1451,0)),"Revisar Ip Code"))</f>
        <v/>
      </c>
      <c r="N465" s="1" t="str">
        <f aca="false">IF(Brasil!C465="","",IFERROR(INDEX(Gamma_Catalogo!$E$3:$E$1451,MATCH(Brasil!E465,Gamma_Catalogo!$A$3:$A$1451,0)),"Revisar Ip Code"))</f>
        <v/>
      </c>
      <c r="O465" s="1" t="str">
        <f aca="false">IF(Brasil!C465="","","Brasil")</f>
        <v/>
      </c>
    </row>
    <row r="466" customFormat="false" ht="15" hidden="false" customHeight="true" outlineLevel="0" collapsed="false">
      <c r="A466" s="1" t="str">
        <f aca="false">IF(Brasil!C466="","",IFERROR(INDEX(Mercados!$C$2:$C$32,MATCH(Brasil!B466,Mercados!$A$2:$A$32,0)),"Revisar Tscode"))</f>
        <v/>
      </c>
      <c r="B466" s="1" t="str">
        <f aca="false">IF(Brasil!C466="","",Brasil!C466)</f>
        <v/>
      </c>
      <c r="C466" s="1" t="str">
        <f aca="false">IF(Brasil!C466="","",Brasil!A466)</f>
        <v/>
      </c>
      <c r="D466" s="1" t="str">
        <f aca="false">IF(Brasil!C466="","",Brasil!E466)</f>
        <v/>
      </c>
      <c r="E466" s="1" t="str">
        <f aca="false">IF(Brasil!C466="","",Brasil!F466)</f>
        <v/>
      </c>
      <c r="F466" s="1" t="str">
        <f aca="false">IF(Brasil!C466="","",Brasil!D466)</f>
        <v/>
      </c>
      <c r="I466" s="1" t="str">
        <f aca="false">IF(Brasil!C466="","",Brasil!H466)</f>
        <v/>
      </c>
      <c r="J466" s="1" t="str">
        <f aca="false">IF(Brasil!C466="","",Brasil!D466*Brasil!H466)</f>
        <v/>
      </c>
      <c r="K466" s="1" t="str">
        <f aca="false">IF(Brasil!C466="","","BR")</f>
        <v/>
      </c>
      <c r="L466" s="1" t="str">
        <f aca="false">IF(Brasil!C466="","",IFERROR(INDEX(Gamma_Catalogo!$D$3:$D$1451,MATCH(Brasil!E466,Gamma_Catalogo!$A$3:$A$1451,0)),"Revisar Ip Code"))</f>
        <v/>
      </c>
      <c r="M466" s="1" t="str">
        <f aca="false">IF(Brasil!C466="","",IFERROR(INDEX(Gamma_Catalogo!$C$3:$C$1451,MATCH(Brasil!E466,Gamma_Catalogo!$A$3:$A$1451,0)),"Revisar Ip Code"))</f>
        <v/>
      </c>
      <c r="N466" s="1" t="str">
        <f aca="false">IF(Brasil!C466="","",IFERROR(INDEX(Gamma_Catalogo!$E$3:$E$1451,MATCH(Brasil!E466,Gamma_Catalogo!$A$3:$A$1451,0)),"Revisar Ip Code"))</f>
        <v/>
      </c>
      <c r="O466" s="1" t="str">
        <f aca="false">IF(Brasil!C466="","","Brasil")</f>
        <v/>
      </c>
    </row>
    <row r="467" customFormat="false" ht="15" hidden="false" customHeight="true" outlineLevel="0" collapsed="false">
      <c r="A467" s="1" t="str">
        <f aca="false">IF(Brasil!C467="","",IFERROR(INDEX(Mercados!$C$2:$C$32,MATCH(Brasil!B467,Mercados!$A$2:$A$32,0)),"Revisar Tscode"))</f>
        <v/>
      </c>
      <c r="B467" s="1" t="str">
        <f aca="false">IF(Brasil!C467="","",Brasil!C467)</f>
        <v/>
      </c>
      <c r="C467" s="1" t="str">
        <f aca="false">IF(Brasil!C467="","",Brasil!A467)</f>
        <v/>
      </c>
      <c r="D467" s="1" t="str">
        <f aca="false">IF(Brasil!C467="","",Brasil!E467)</f>
        <v/>
      </c>
      <c r="E467" s="1" t="str">
        <f aca="false">IF(Brasil!C467="","",Brasil!F467)</f>
        <v/>
      </c>
      <c r="F467" s="1" t="str">
        <f aca="false">IF(Brasil!C467="","",Brasil!D467)</f>
        <v/>
      </c>
      <c r="I467" s="1" t="str">
        <f aca="false">IF(Brasil!C467="","",Brasil!H467)</f>
        <v/>
      </c>
      <c r="J467" s="1" t="str">
        <f aca="false">IF(Brasil!C467="","",Brasil!D467*Brasil!H467)</f>
        <v/>
      </c>
      <c r="K467" s="1" t="str">
        <f aca="false">IF(Brasil!C467="","","BR")</f>
        <v/>
      </c>
      <c r="L467" s="1" t="str">
        <f aca="false">IF(Brasil!C467="","",IFERROR(INDEX(Gamma_Catalogo!$D$3:$D$1451,MATCH(Brasil!E467,Gamma_Catalogo!$A$3:$A$1451,0)),"Revisar Ip Code"))</f>
        <v/>
      </c>
      <c r="M467" s="1" t="str">
        <f aca="false">IF(Brasil!C467="","",IFERROR(INDEX(Gamma_Catalogo!$C$3:$C$1451,MATCH(Brasil!E467,Gamma_Catalogo!$A$3:$A$1451,0)),"Revisar Ip Code"))</f>
        <v/>
      </c>
      <c r="N467" s="1" t="str">
        <f aca="false">IF(Brasil!C467="","",IFERROR(INDEX(Gamma_Catalogo!$E$3:$E$1451,MATCH(Brasil!E467,Gamma_Catalogo!$A$3:$A$1451,0)),"Revisar Ip Code"))</f>
        <v/>
      </c>
      <c r="O467" s="1" t="str">
        <f aca="false">IF(Brasil!C467="","","Brasil")</f>
        <v/>
      </c>
    </row>
    <row r="468" customFormat="false" ht="15" hidden="false" customHeight="true" outlineLevel="0" collapsed="false">
      <c r="A468" s="1" t="str">
        <f aca="false">IF(Brasil!C468="","",IFERROR(INDEX(Mercados!$C$2:$C$32,MATCH(Brasil!B468,Mercados!$A$2:$A$32,0)),"Revisar Tscode"))</f>
        <v/>
      </c>
      <c r="B468" s="1" t="str">
        <f aca="false">IF(Brasil!C468="","",Brasil!C468)</f>
        <v/>
      </c>
      <c r="C468" s="1" t="str">
        <f aca="false">IF(Brasil!C468="","",Brasil!A468)</f>
        <v/>
      </c>
      <c r="D468" s="1" t="str">
        <f aca="false">IF(Brasil!C468="","",Brasil!E468)</f>
        <v/>
      </c>
      <c r="E468" s="1" t="str">
        <f aca="false">IF(Brasil!C468="","",Brasil!F468)</f>
        <v/>
      </c>
      <c r="F468" s="1" t="str">
        <f aca="false">IF(Brasil!C468="","",Brasil!D468)</f>
        <v/>
      </c>
      <c r="I468" s="1" t="str">
        <f aca="false">IF(Brasil!C468="","",Brasil!H468)</f>
        <v/>
      </c>
      <c r="J468" s="1" t="str">
        <f aca="false">IF(Brasil!C468="","",Brasil!D468*Brasil!H468)</f>
        <v/>
      </c>
      <c r="K468" s="1" t="str">
        <f aca="false">IF(Brasil!C468="","","BR")</f>
        <v/>
      </c>
      <c r="L468" s="1" t="str">
        <f aca="false">IF(Brasil!C468="","",IFERROR(INDEX(Gamma_Catalogo!$D$3:$D$1451,MATCH(Brasil!E468,Gamma_Catalogo!$A$3:$A$1451,0)),"Revisar Ip Code"))</f>
        <v/>
      </c>
      <c r="M468" s="1" t="str">
        <f aca="false">IF(Brasil!C468="","",IFERROR(INDEX(Gamma_Catalogo!$C$3:$C$1451,MATCH(Brasil!E468,Gamma_Catalogo!$A$3:$A$1451,0)),"Revisar Ip Code"))</f>
        <v/>
      </c>
      <c r="N468" s="1" t="str">
        <f aca="false">IF(Brasil!C468="","",IFERROR(INDEX(Gamma_Catalogo!$E$3:$E$1451,MATCH(Brasil!E468,Gamma_Catalogo!$A$3:$A$1451,0)),"Revisar Ip Code"))</f>
        <v/>
      </c>
      <c r="O468" s="1" t="str">
        <f aca="false">IF(Brasil!C468="","","Brasil")</f>
        <v/>
      </c>
    </row>
    <row r="469" customFormat="false" ht="15" hidden="false" customHeight="true" outlineLevel="0" collapsed="false">
      <c r="A469" s="1" t="str">
        <f aca="false">IF(Brasil!C469="","",IFERROR(INDEX(Mercados!$C$2:$C$32,MATCH(Brasil!B469,Mercados!$A$2:$A$32,0)),"Revisar Tscode"))</f>
        <v/>
      </c>
      <c r="B469" s="1" t="str">
        <f aca="false">IF(Brasil!C469="","",Brasil!C469)</f>
        <v/>
      </c>
      <c r="C469" s="1" t="str">
        <f aca="false">IF(Brasil!C469="","",Brasil!A469)</f>
        <v/>
      </c>
      <c r="D469" s="1" t="str">
        <f aca="false">IF(Brasil!C469="","",Brasil!E469)</f>
        <v/>
      </c>
      <c r="E469" s="1" t="str">
        <f aca="false">IF(Brasil!C469="","",Brasil!F469)</f>
        <v/>
      </c>
      <c r="F469" s="1" t="str">
        <f aca="false">IF(Brasil!C469="","",Brasil!D469)</f>
        <v/>
      </c>
      <c r="I469" s="1" t="str">
        <f aca="false">IF(Brasil!C469="","",Brasil!H469)</f>
        <v/>
      </c>
      <c r="J469" s="1" t="str">
        <f aca="false">IF(Brasil!C469="","",Brasil!D469*Brasil!H469)</f>
        <v/>
      </c>
      <c r="K469" s="1" t="str">
        <f aca="false">IF(Brasil!C469="","","BR")</f>
        <v/>
      </c>
      <c r="L469" s="1" t="str">
        <f aca="false">IF(Brasil!C469="","",IFERROR(INDEX(Gamma_Catalogo!$D$3:$D$1451,MATCH(Brasil!E469,Gamma_Catalogo!$A$3:$A$1451,0)),"Revisar Ip Code"))</f>
        <v/>
      </c>
      <c r="M469" s="1" t="str">
        <f aca="false">IF(Brasil!C469="","",IFERROR(INDEX(Gamma_Catalogo!$C$3:$C$1451,MATCH(Brasil!E469,Gamma_Catalogo!$A$3:$A$1451,0)),"Revisar Ip Code"))</f>
        <v/>
      </c>
      <c r="N469" s="1" t="str">
        <f aca="false">IF(Brasil!C469="","",IFERROR(INDEX(Gamma_Catalogo!$E$3:$E$1451,MATCH(Brasil!E469,Gamma_Catalogo!$A$3:$A$1451,0)),"Revisar Ip Code"))</f>
        <v/>
      </c>
      <c r="O469" s="1" t="str">
        <f aca="false">IF(Brasil!C469="","","Brasil")</f>
        <v/>
      </c>
    </row>
    <row r="470" customFormat="false" ht="15" hidden="false" customHeight="true" outlineLevel="0" collapsed="false">
      <c r="A470" s="1" t="str">
        <f aca="false">IF(Brasil!C470="","",IFERROR(INDEX(Mercados!$C$2:$C$32,MATCH(Brasil!B470,Mercados!$A$2:$A$32,0)),"Revisar Tscode"))</f>
        <v/>
      </c>
      <c r="B470" s="1" t="str">
        <f aca="false">IF(Brasil!C470="","",Brasil!C470)</f>
        <v/>
      </c>
      <c r="C470" s="1" t="str">
        <f aca="false">IF(Brasil!C470="","",Brasil!A470)</f>
        <v/>
      </c>
      <c r="D470" s="1" t="str">
        <f aca="false">IF(Brasil!C470="","",Brasil!E470)</f>
        <v/>
      </c>
      <c r="E470" s="1" t="str">
        <f aca="false">IF(Brasil!C470="","",Brasil!F470)</f>
        <v/>
      </c>
      <c r="F470" s="1" t="str">
        <f aca="false">IF(Brasil!C470="","",Brasil!D470)</f>
        <v/>
      </c>
      <c r="I470" s="1" t="str">
        <f aca="false">IF(Brasil!C470="","",Brasil!H470)</f>
        <v/>
      </c>
      <c r="J470" s="1" t="str">
        <f aca="false">IF(Brasil!C470="","",Brasil!D470*Brasil!H470)</f>
        <v/>
      </c>
      <c r="K470" s="1" t="str">
        <f aca="false">IF(Brasil!C470="","","BR")</f>
        <v/>
      </c>
      <c r="L470" s="1" t="str">
        <f aca="false">IF(Brasil!C470="","",IFERROR(INDEX(Gamma_Catalogo!$D$3:$D$1451,MATCH(Brasil!E470,Gamma_Catalogo!$A$3:$A$1451,0)),"Revisar Ip Code"))</f>
        <v/>
      </c>
      <c r="M470" s="1" t="str">
        <f aca="false">IF(Brasil!C470="","",IFERROR(INDEX(Gamma_Catalogo!$C$3:$C$1451,MATCH(Brasil!E470,Gamma_Catalogo!$A$3:$A$1451,0)),"Revisar Ip Code"))</f>
        <v/>
      </c>
      <c r="N470" s="1" t="str">
        <f aca="false">IF(Brasil!C470="","",IFERROR(INDEX(Gamma_Catalogo!$E$3:$E$1451,MATCH(Brasil!E470,Gamma_Catalogo!$A$3:$A$1451,0)),"Revisar Ip Code"))</f>
        <v/>
      </c>
      <c r="O470" s="1" t="str">
        <f aca="false">IF(Brasil!C470="","","Brasil")</f>
        <v/>
      </c>
    </row>
    <row r="471" customFormat="false" ht="15" hidden="false" customHeight="true" outlineLevel="0" collapsed="false">
      <c r="A471" s="1" t="str">
        <f aca="false">IF(Brasil!C471="","",IFERROR(INDEX(Mercados!$C$2:$C$32,MATCH(Brasil!B471,Mercados!$A$2:$A$32,0)),"Revisar Tscode"))</f>
        <v/>
      </c>
      <c r="B471" s="1" t="str">
        <f aca="false">IF(Brasil!C471="","",Brasil!C471)</f>
        <v/>
      </c>
      <c r="C471" s="1" t="str">
        <f aca="false">IF(Brasil!C471="","",Brasil!A471)</f>
        <v/>
      </c>
      <c r="D471" s="1" t="str">
        <f aca="false">IF(Brasil!C471="","",Brasil!E471)</f>
        <v/>
      </c>
      <c r="E471" s="1" t="str">
        <f aca="false">IF(Brasil!C471="","",Brasil!F471)</f>
        <v/>
      </c>
      <c r="F471" s="1" t="str">
        <f aca="false">IF(Brasil!C471="","",Brasil!D471)</f>
        <v/>
      </c>
      <c r="I471" s="1" t="str">
        <f aca="false">IF(Brasil!C471="","",Brasil!H471)</f>
        <v/>
      </c>
      <c r="J471" s="1" t="str">
        <f aca="false">IF(Brasil!C471="","",Brasil!D471*Brasil!H471)</f>
        <v/>
      </c>
      <c r="K471" s="1" t="str">
        <f aca="false">IF(Brasil!C471="","","BR")</f>
        <v/>
      </c>
      <c r="L471" s="1" t="str">
        <f aca="false">IF(Brasil!C471="","",IFERROR(INDEX(Gamma_Catalogo!$D$3:$D$1451,MATCH(Brasil!E471,Gamma_Catalogo!$A$3:$A$1451,0)),"Revisar Ip Code"))</f>
        <v/>
      </c>
      <c r="M471" s="1" t="str">
        <f aca="false">IF(Brasil!C471="","",IFERROR(INDEX(Gamma_Catalogo!$C$3:$C$1451,MATCH(Brasil!E471,Gamma_Catalogo!$A$3:$A$1451,0)),"Revisar Ip Code"))</f>
        <v/>
      </c>
      <c r="N471" s="1" t="str">
        <f aca="false">IF(Brasil!C471="","",IFERROR(INDEX(Gamma_Catalogo!$E$3:$E$1451,MATCH(Brasil!E471,Gamma_Catalogo!$A$3:$A$1451,0)),"Revisar Ip Code"))</f>
        <v/>
      </c>
      <c r="O471" s="1" t="str">
        <f aca="false">IF(Brasil!C471="","","Brasil")</f>
        <v/>
      </c>
    </row>
    <row r="472" customFormat="false" ht="15" hidden="false" customHeight="true" outlineLevel="0" collapsed="false">
      <c r="A472" s="1" t="str">
        <f aca="false">IF(Brasil!C472="","",IFERROR(INDEX(Mercados!$C$2:$C$32,MATCH(Brasil!B472,Mercados!$A$2:$A$32,0)),"Revisar Tscode"))</f>
        <v/>
      </c>
      <c r="B472" s="1" t="str">
        <f aca="false">IF(Brasil!C472="","",Brasil!C472)</f>
        <v/>
      </c>
      <c r="C472" s="1" t="str">
        <f aca="false">IF(Brasil!C472="","",Brasil!A472)</f>
        <v/>
      </c>
      <c r="D472" s="1" t="str">
        <f aca="false">IF(Brasil!C472="","",Brasil!E472)</f>
        <v/>
      </c>
      <c r="E472" s="1" t="str">
        <f aca="false">IF(Brasil!C472="","",Brasil!F472)</f>
        <v/>
      </c>
      <c r="F472" s="1" t="str">
        <f aca="false">IF(Brasil!C472="","",Brasil!D472)</f>
        <v/>
      </c>
      <c r="I472" s="1" t="str">
        <f aca="false">IF(Brasil!C472="","",Brasil!H472)</f>
        <v/>
      </c>
      <c r="J472" s="1" t="str">
        <f aca="false">IF(Brasil!C472="","",Brasil!D472*Brasil!H472)</f>
        <v/>
      </c>
      <c r="K472" s="1" t="str">
        <f aca="false">IF(Brasil!C472="","","BR")</f>
        <v/>
      </c>
      <c r="L472" s="1" t="str">
        <f aca="false">IF(Brasil!C472="","",IFERROR(INDEX(Gamma_Catalogo!$D$3:$D$1451,MATCH(Brasil!E472,Gamma_Catalogo!$A$3:$A$1451,0)),"Revisar Ip Code"))</f>
        <v/>
      </c>
      <c r="M472" s="1" t="str">
        <f aca="false">IF(Brasil!C472="","",IFERROR(INDEX(Gamma_Catalogo!$C$3:$C$1451,MATCH(Brasil!E472,Gamma_Catalogo!$A$3:$A$1451,0)),"Revisar Ip Code"))</f>
        <v/>
      </c>
      <c r="N472" s="1" t="str">
        <f aca="false">IF(Brasil!C472="","",IFERROR(INDEX(Gamma_Catalogo!$E$3:$E$1451,MATCH(Brasil!E472,Gamma_Catalogo!$A$3:$A$1451,0)),"Revisar Ip Code"))</f>
        <v/>
      </c>
      <c r="O472" s="1" t="str">
        <f aca="false">IF(Brasil!C472="","","Brasil")</f>
        <v/>
      </c>
    </row>
    <row r="473" customFormat="false" ht="15" hidden="false" customHeight="true" outlineLevel="0" collapsed="false">
      <c r="A473" s="1" t="str">
        <f aca="false">IF(Brasil!C473="","",IFERROR(INDEX(Mercados!$C$2:$C$32,MATCH(Brasil!B473,Mercados!$A$2:$A$32,0)),"Revisar Tscode"))</f>
        <v/>
      </c>
      <c r="B473" s="1" t="str">
        <f aca="false">IF(Brasil!C473="","",Brasil!C473)</f>
        <v/>
      </c>
      <c r="C473" s="1" t="str">
        <f aca="false">IF(Brasil!C473="","",Brasil!A473)</f>
        <v/>
      </c>
      <c r="D473" s="1" t="str">
        <f aca="false">IF(Brasil!C473="","",Brasil!E473)</f>
        <v/>
      </c>
      <c r="E473" s="1" t="str">
        <f aca="false">IF(Brasil!C473="","",Brasil!F473)</f>
        <v/>
      </c>
      <c r="F473" s="1" t="str">
        <f aca="false">IF(Brasil!C473="","",Brasil!D473)</f>
        <v/>
      </c>
      <c r="I473" s="1" t="str">
        <f aca="false">IF(Brasil!C473="","",Brasil!H473)</f>
        <v/>
      </c>
      <c r="J473" s="1" t="str">
        <f aca="false">IF(Brasil!C473="","",Brasil!D473*Brasil!H473)</f>
        <v/>
      </c>
      <c r="K473" s="1" t="str">
        <f aca="false">IF(Brasil!C473="","","BR")</f>
        <v/>
      </c>
      <c r="L473" s="1" t="str">
        <f aca="false">IF(Brasil!C473="","",IFERROR(INDEX(Gamma_Catalogo!$D$3:$D$1451,MATCH(Brasil!E473,Gamma_Catalogo!$A$3:$A$1451,0)),"Revisar Ip Code"))</f>
        <v/>
      </c>
      <c r="M473" s="1" t="str">
        <f aca="false">IF(Brasil!C473="","",IFERROR(INDEX(Gamma_Catalogo!$C$3:$C$1451,MATCH(Brasil!E473,Gamma_Catalogo!$A$3:$A$1451,0)),"Revisar Ip Code"))</f>
        <v/>
      </c>
      <c r="N473" s="1" t="str">
        <f aca="false">IF(Brasil!C473="","",IFERROR(INDEX(Gamma_Catalogo!$E$3:$E$1451,MATCH(Brasil!E473,Gamma_Catalogo!$A$3:$A$1451,0)),"Revisar Ip Code"))</f>
        <v/>
      </c>
      <c r="O473" s="1" t="str">
        <f aca="false">IF(Brasil!C473="","","Brasil")</f>
        <v/>
      </c>
    </row>
    <row r="474" customFormat="false" ht="15" hidden="false" customHeight="true" outlineLevel="0" collapsed="false">
      <c r="A474" s="1" t="str">
        <f aca="false">IF(Brasil!C474="","",IFERROR(INDEX(Mercados!$C$2:$C$32,MATCH(Brasil!B474,Mercados!$A$2:$A$32,0)),"Revisar Tscode"))</f>
        <v/>
      </c>
      <c r="B474" s="1" t="str">
        <f aca="false">IF(Brasil!C474="","",Brasil!C474)</f>
        <v/>
      </c>
      <c r="C474" s="1" t="str">
        <f aca="false">IF(Brasil!C474="","",Brasil!A474)</f>
        <v/>
      </c>
      <c r="D474" s="1" t="str">
        <f aca="false">IF(Brasil!C474="","",Brasil!E474)</f>
        <v/>
      </c>
      <c r="E474" s="1" t="str">
        <f aca="false">IF(Brasil!C474="","",Brasil!F474)</f>
        <v/>
      </c>
      <c r="F474" s="1" t="str">
        <f aca="false">IF(Brasil!C474="","",Brasil!D474)</f>
        <v/>
      </c>
      <c r="I474" s="1" t="str">
        <f aca="false">IF(Brasil!C474="","",Brasil!H474)</f>
        <v/>
      </c>
      <c r="J474" s="1" t="str">
        <f aca="false">IF(Brasil!C474="","",Brasil!D474*Brasil!H474)</f>
        <v/>
      </c>
      <c r="K474" s="1" t="str">
        <f aca="false">IF(Brasil!C474="","","BR")</f>
        <v/>
      </c>
      <c r="L474" s="1" t="str">
        <f aca="false">IF(Brasil!C474="","",IFERROR(INDEX(Gamma_Catalogo!$D$3:$D$1451,MATCH(Brasil!E474,Gamma_Catalogo!$A$3:$A$1451,0)),"Revisar Ip Code"))</f>
        <v/>
      </c>
      <c r="M474" s="1" t="str">
        <f aca="false">IF(Brasil!C474="","",IFERROR(INDEX(Gamma_Catalogo!$C$3:$C$1451,MATCH(Brasil!E474,Gamma_Catalogo!$A$3:$A$1451,0)),"Revisar Ip Code"))</f>
        <v/>
      </c>
      <c r="N474" s="1" t="str">
        <f aca="false">IF(Brasil!C474="","",IFERROR(INDEX(Gamma_Catalogo!$E$3:$E$1451,MATCH(Brasil!E474,Gamma_Catalogo!$A$3:$A$1451,0)),"Revisar Ip Code"))</f>
        <v/>
      </c>
      <c r="O474" s="1" t="str">
        <f aca="false">IF(Brasil!C474="","","Brasil")</f>
        <v/>
      </c>
    </row>
    <row r="475" customFormat="false" ht="15" hidden="false" customHeight="true" outlineLevel="0" collapsed="false">
      <c r="A475" s="1" t="str">
        <f aca="false">IF(Brasil!C475="","",IFERROR(INDEX(Mercados!$C$2:$C$32,MATCH(Brasil!B475,Mercados!$A$2:$A$32,0)),"Revisar Tscode"))</f>
        <v/>
      </c>
      <c r="B475" s="1" t="str">
        <f aca="false">IF(Brasil!C475="","",Brasil!C475)</f>
        <v/>
      </c>
      <c r="C475" s="1" t="str">
        <f aca="false">IF(Brasil!C475="","",Brasil!A475)</f>
        <v/>
      </c>
      <c r="D475" s="1" t="str">
        <f aca="false">IF(Brasil!C475="","",Brasil!E475)</f>
        <v/>
      </c>
      <c r="E475" s="1" t="str">
        <f aca="false">IF(Brasil!C475="","",Brasil!F475)</f>
        <v/>
      </c>
      <c r="F475" s="1" t="str">
        <f aca="false">IF(Brasil!C475="","",Brasil!D475)</f>
        <v/>
      </c>
      <c r="I475" s="1" t="str">
        <f aca="false">IF(Brasil!C475="","",Brasil!H475)</f>
        <v/>
      </c>
      <c r="J475" s="1" t="str">
        <f aca="false">IF(Brasil!C475="","",Brasil!D475*Brasil!H475)</f>
        <v/>
      </c>
      <c r="K475" s="1" t="str">
        <f aca="false">IF(Brasil!C475="","","BR")</f>
        <v/>
      </c>
      <c r="L475" s="1" t="str">
        <f aca="false">IF(Brasil!C475="","",IFERROR(INDEX(Gamma_Catalogo!$D$3:$D$1451,MATCH(Brasil!E475,Gamma_Catalogo!$A$3:$A$1451,0)),"Revisar Ip Code"))</f>
        <v/>
      </c>
      <c r="M475" s="1" t="str">
        <f aca="false">IF(Brasil!C475="","",IFERROR(INDEX(Gamma_Catalogo!$C$3:$C$1451,MATCH(Brasil!E475,Gamma_Catalogo!$A$3:$A$1451,0)),"Revisar Ip Code"))</f>
        <v/>
      </c>
      <c r="N475" s="1" t="str">
        <f aca="false">IF(Brasil!C475="","",IFERROR(INDEX(Gamma_Catalogo!$E$3:$E$1451,MATCH(Brasil!E475,Gamma_Catalogo!$A$3:$A$1451,0)),"Revisar Ip Code"))</f>
        <v/>
      </c>
      <c r="O475" s="1" t="str">
        <f aca="false">IF(Brasil!C475="","","Brasil")</f>
        <v/>
      </c>
    </row>
    <row r="476" customFormat="false" ht="15" hidden="false" customHeight="true" outlineLevel="0" collapsed="false">
      <c r="A476" s="1" t="str">
        <f aca="false">IF(Brasil!C476="","",IFERROR(INDEX(Mercados!$C$2:$C$32,MATCH(Brasil!B476,Mercados!$A$2:$A$32,0)),"Revisar Tscode"))</f>
        <v/>
      </c>
      <c r="B476" s="1" t="str">
        <f aca="false">IF(Brasil!C476="","",Brasil!C476)</f>
        <v/>
      </c>
      <c r="C476" s="1" t="str">
        <f aca="false">IF(Brasil!C476="","",Brasil!A476)</f>
        <v/>
      </c>
      <c r="D476" s="1" t="str">
        <f aca="false">IF(Brasil!C476="","",Brasil!E476)</f>
        <v/>
      </c>
      <c r="E476" s="1" t="str">
        <f aca="false">IF(Brasil!C476="","",Brasil!F476)</f>
        <v/>
      </c>
      <c r="F476" s="1" t="str">
        <f aca="false">IF(Brasil!C476="","",Brasil!D476)</f>
        <v/>
      </c>
      <c r="I476" s="1" t="str">
        <f aca="false">IF(Brasil!C476="","",Brasil!H476)</f>
        <v/>
      </c>
      <c r="J476" s="1" t="str">
        <f aca="false">IF(Brasil!C476="","",Brasil!D476*Brasil!H476)</f>
        <v/>
      </c>
      <c r="K476" s="1" t="str">
        <f aca="false">IF(Brasil!C476="","","BR")</f>
        <v/>
      </c>
      <c r="L476" s="1" t="str">
        <f aca="false">IF(Brasil!C476="","",IFERROR(INDEX(Gamma_Catalogo!$D$3:$D$1451,MATCH(Brasil!E476,Gamma_Catalogo!$A$3:$A$1451,0)),"Revisar Ip Code"))</f>
        <v/>
      </c>
      <c r="M476" s="1" t="str">
        <f aca="false">IF(Brasil!C476="","",IFERROR(INDEX(Gamma_Catalogo!$C$3:$C$1451,MATCH(Brasil!E476,Gamma_Catalogo!$A$3:$A$1451,0)),"Revisar Ip Code"))</f>
        <v/>
      </c>
      <c r="N476" s="1" t="str">
        <f aca="false">IF(Brasil!C476="","",IFERROR(INDEX(Gamma_Catalogo!$E$3:$E$1451,MATCH(Brasil!E476,Gamma_Catalogo!$A$3:$A$1451,0)),"Revisar Ip Code"))</f>
        <v/>
      </c>
      <c r="O476" s="1" t="str">
        <f aca="false">IF(Brasil!C476="","","Brasil")</f>
        <v/>
      </c>
    </row>
    <row r="477" customFormat="false" ht="15" hidden="false" customHeight="true" outlineLevel="0" collapsed="false">
      <c r="A477" s="1" t="str">
        <f aca="false">IF(Brasil!C477="","",IFERROR(INDEX(Mercados!$C$2:$C$32,MATCH(Brasil!B477,Mercados!$A$2:$A$32,0)),"Revisar Tscode"))</f>
        <v/>
      </c>
      <c r="B477" s="1" t="str">
        <f aca="false">IF(Brasil!C477="","",Brasil!C477)</f>
        <v/>
      </c>
      <c r="C477" s="1" t="str">
        <f aca="false">IF(Brasil!C477="","",Brasil!A477)</f>
        <v/>
      </c>
      <c r="D477" s="1" t="str">
        <f aca="false">IF(Brasil!C477="","",Brasil!E477)</f>
        <v/>
      </c>
      <c r="E477" s="1" t="str">
        <f aca="false">IF(Brasil!C477="","",Brasil!F477)</f>
        <v/>
      </c>
      <c r="F477" s="1" t="str">
        <f aca="false">IF(Brasil!C477="","",Brasil!D477)</f>
        <v/>
      </c>
      <c r="I477" s="1" t="str">
        <f aca="false">IF(Brasil!C477="","",Brasil!H477)</f>
        <v/>
      </c>
      <c r="J477" s="1" t="str">
        <f aca="false">IF(Brasil!C477="","",Brasil!D477*Brasil!H477)</f>
        <v/>
      </c>
      <c r="K477" s="1" t="str">
        <f aca="false">IF(Brasil!C477="","","BR")</f>
        <v/>
      </c>
      <c r="L477" s="1" t="str">
        <f aca="false">IF(Brasil!C477="","",IFERROR(INDEX(Gamma_Catalogo!$D$3:$D$1451,MATCH(Brasil!E477,Gamma_Catalogo!$A$3:$A$1451,0)),"Revisar Ip Code"))</f>
        <v/>
      </c>
      <c r="M477" s="1" t="str">
        <f aca="false">IF(Brasil!C477="","",IFERROR(INDEX(Gamma_Catalogo!$C$3:$C$1451,MATCH(Brasil!E477,Gamma_Catalogo!$A$3:$A$1451,0)),"Revisar Ip Code"))</f>
        <v/>
      </c>
      <c r="N477" s="1" t="str">
        <f aca="false">IF(Brasil!C477="","",IFERROR(INDEX(Gamma_Catalogo!$E$3:$E$1451,MATCH(Brasil!E477,Gamma_Catalogo!$A$3:$A$1451,0)),"Revisar Ip Code"))</f>
        <v/>
      </c>
      <c r="O477" s="1" t="str">
        <f aca="false">IF(Brasil!C477="","","Brasil")</f>
        <v/>
      </c>
    </row>
    <row r="478" customFormat="false" ht="15" hidden="false" customHeight="true" outlineLevel="0" collapsed="false">
      <c r="A478" s="1" t="str">
        <f aca="false">IF(Brasil!C478="","",IFERROR(INDEX(Mercados!$C$2:$C$32,MATCH(Brasil!B478,Mercados!$A$2:$A$32,0)),"Revisar Tscode"))</f>
        <v/>
      </c>
      <c r="B478" s="1" t="str">
        <f aca="false">IF(Brasil!C478="","",Brasil!C478)</f>
        <v/>
      </c>
      <c r="C478" s="1" t="str">
        <f aca="false">IF(Brasil!C478="","",Brasil!A478)</f>
        <v/>
      </c>
      <c r="D478" s="1" t="str">
        <f aca="false">IF(Brasil!C478="","",Brasil!E478)</f>
        <v/>
      </c>
      <c r="E478" s="1" t="str">
        <f aca="false">IF(Brasil!C478="","",Brasil!F478)</f>
        <v/>
      </c>
      <c r="F478" s="1" t="str">
        <f aca="false">IF(Brasil!C478="","",Brasil!D478)</f>
        <v/>
      </c>
      <c r="I478" s="1" t="str">
        <f aca="false">IF(Brasil!C478="","",Brasil!H478)</f>
        <v/>
      </c>
      <c r="J478" s="1" t="str">
        <f aca="false">IF(Brasil!C478="","",Brasil!D478*Brasil!H478)</f>
        <v/>
      </c>
      <c r="K478" s="1" t="str">
        <f aca="false">IF(Brasil!C478="","","BR")</f>
        <v/>
      </c>
      <c r="L478" s="1" t="str">
        <f aca="false">IF(Brasil!C478="","",IFERROR(INDEX(Gamma_Catalogo!$D$3:$D$1451,MATCH(Brasil!E478,Gamma_Catalogo!$A$3:$A$1451,0)),"Revisar Ip Code"))</f>
        <v/>
      </c>
      <c r="M478" s="1" t="str">
        <f aca="false">IF(Brasil!C478="","",IFERROR(INDEX(Gamma_Catalogo!$C$3:$C$1451,MATCH(Brasil!E478,Gamma_Catalogo!$A$3:$A$1451,0)),"Revisar Ip Code"))</f>
        <v/>
      </c>
      <c r="N478" s="1" t="str">
        <f aca="false">IF(Brasil!C478="","",IFERROR(INDEX(Gamma_Catalogo!$E$3:$E$1451,MATCH(Brasil!E478,Gamma_Catalogo!$A$3:$A$1451,0)),"Revisar Ip Code"))</f>
        <v/>
      </c>
      <c r="O478" s="1" t="str">
        <f aca="false">IF(Brasil!C478="","","Brasil")</f>
        <v/>
      </c>
    </row>
    <row r="479" customFormat="false" ht="15" hidden="false" customHeight="true" outlineLevel="0" collapsed="false">
      <c r="A479" s="1" t="str">
        <f aca="false">IF(Brasil!C479="","",IFERROR(INDEX(Mercados!$C$2:$C$32,MATCH(Brasil!B479,Mercados!$A$2:$A$32,0)),"Revisar Tscode"))</f>
        <v/>
      </c>
      <c r="B479" s="1" t="str">
        <f aca="false">IF(Brasil!C479="","",Brasil!C479)</f>
        <v/>
      </c>
      <c r="C479" s="1" t="str">
        <f aca="false">IF(Brasil!C479="","",Brasil!A479)</f>
        <v/>
      </c>
      <c r="D479" s="1" t="str">
        <f aca="false">IF(Brasil!C479="","",Brasil!E479)</f>
        <v/>
      </c>
      <c r="E479" s="1" t="str">
        <f aca="false">IF(Brasil!C479="","",Brasil!F479)</f>
        <v/>
      </c>
      <c r="F479" s="1" t="str">
        <f aca="false">IF(Brasil!C479="","",Brasil!D479)</f>
        <v/>
      </c>
      <c r="I479" s="1" t="str">
        <f aca="false">IF(Brasil!C479="","",Brasil!H479)</f>
        <v/>
      </c>
      <c r="J479" s="1" t="str">
        <f aca="false">IF(Brasil!C479="","",Brasil!D479*Brasil!H479)</f>
        <v/>
      </c>
      <c r="K479" s="1" t="str">
        <f aca="false">IF(Brasil!C479="","","BR")</f>
        <v/>
      </c>
      <c r="L479" s="1" t="str">
        <f aca="false">IF(Brasil!C479="","",IFERROR(INDEX(Gamma_Catalogo!$D$3:$D$1451,MATCH(Brasil!E479,Gamma_Catalogo!$A$3:$A$1451,0)),"Revisar Ip Code"))</f>
        <v/>
      </c>
      <c r="M479" s="1" t="str">
        <f aca="false">IF(Brasil!C479="","",IFERROR(INDEX(Gamma_Catalogo!$C$3:$C$1451,MATCH(Brasil!E479,Gamma_Catalogo!$A$3:$A$1451,0)),"Revisar Ip Code"))</f>
        <v/>
      </c>
      <c r="N479" s="1" t="str">
        <f aca="false">IF(Brasil!C479="","",IFERROR(INDEX(Gamma_Catalogo!$E$3:$E$1451,MATCH(Brasil!E479,Gamma_Catalogo!$A$3:$A$1451,0)),"Revisar Ip Code"))</f>
        <v/>
      </c>
      <c r="O479" s="1" t="str">
        <f aca="false">IF(Brasil!C479="","","Brasil")</f>
        <v/>
      </c>
    </row>
    <row r="480" customFormat="false" ht="15" hidden="false" customHeight="true" outlineLevel="0" collapsed="false">
      <c r="A480" s="1" t="str">
        <f aca="false">IF(Brasil!C480="","",IFERROR(INDEX(Mercados!$C$2:$C$32,MATCH(Brasil!B480,Mercados!$A$2:$A$32,0)),"Revisar Tscode"))</f>
        <v/>
      </c>
      <c r="B480" s="1" t="str">
        <f aca="false">IF(Brasil!C480="","",Brasil!C480)</f>
        <v/>
      </c>
      <c r="C480" s="1" t="str">
        <f aca="false">IF(Brasil!C480="","",Brasil!A480)</f>
        <v/>
      </c>
      <c r="D480" s="1" t="str">
        <f aca="false">IF(Brasil!C480="","",Brasil!E480)</f>
        <v/>
      </c>
      <c r="E480" s="1" t="str">
        <f aca="false">IF(Brasil!C480="","",Brasil!F480)</f>
        <v/>
      </c>
      <c r="F480" s="1" t="str">
        <f aca="false">IF(Brasil!C480="","",Brasil!D480)</f>
        <v/>
      </c>
      <c r="I480" s="1" t="str">
        <f aca="false">IF(Brasil!C480="","",Brasil!H480)</f>
        <v/>
      </c>
      <c r="J480" s="1" t="str">
        <f aca="false">IF(Brasil!C480="","",Brasil!D480*Brasil!H480)</f>
        <v/>
      </c>
      <c r="K480" s="1" t="str">
        <f aca="false">IF(Brasil!C480="","","BR")</f>
        <v/>
      </c>
      <c r="L480" s="1" t="str">
        <f aca="false">IF(Brasil!C480="","",IFERROR(INDEX(Gamma_Catalogo!$D$3:$D$1451,MATCH(Brasil!E480,Gamma_Catalogo!$A$3:$A$1451,0)),"Revisar Ip Code"))</f>
        <v/>
      </c>
      <c r="M480" s="1" t="str">
        <f aca="false">IF(Brasil!C480="","",IFERROR(INDEX(Gamma_Catalogo!$C$3:$C$1451,MATCH(Brasil!E480,Gamma_Catalogo!$A$3:$A$1451,0)),"Revisar Ip Code"))</f>
        <v/>
      </c>
      <c r="N480" s="1" t="str">
        <f aca="false">IF(Brasil!C480="","",IFERROR(INDEX(Gamma_Catalogo!$E$3:$E$1451,MATCH(Brasil!E480,Gamma_Catalogo!$A$3:$A$1451,0)),"Revisar Ip Code"))</f>
        <v/>
      </c>
      <c r="O480" s="1" t="str">
        <f aca="false">IF(Brasil!C480="","","Brasil")</f>
        <v/>
      </c>
    </row>
    <row r="481" customFormat="false" ht="15" hidden="false" customHeight="true" outlineLevel="0" collapsed="false">
      <c r="A481" s="1" t="str">
        <f aca="false">IF(Brasil!C481="","",IFERROR(INDEX(Mercados!$C$2:$C$32,MATCH(Brasil!B481,Mercados!$A$2:$A$32,0)),"Revisar Tscode"))</f>
        <v/>
      </c>
      <c r="B481" s="1" t="str">
        <f aca="false">IF(Brasil!C481="","",Brasil!C481)</f>
        <v/>
      </c>
      <c r="C481" s="1" t="str">
        <f aca="false">IF(Brasil!C481="","",Brasil!A481)</f>
        <v/>
      </c>
      <c r="D481" s="1" t="str">
        <f aca="false">IF(Brasil!C481="","",Brasil!E481)</f>
        <v/>
      </c>
      <c r="E481" s="1" t="str">
        <f aca="false">IF(Brasil!C481="","",Brasil!F481)</f>
        <v/>
      </c>
      <c r="F481" s="1" t="str">
        <f aca="false">IF(Brasil!C481="","",Brasil!D481)</f>
        <v/>
      </c>
      <c r="I481" s="1" t="str">
        <f aca="false">IF(Brasil!C481="","",Brasil!H481)</f>
        <v/>
      </c>
      <c r="J481" s="1" t="str">
        <f aca="false">IF(Brasil!C481="","",Brasil!D481*Brasil!H481)</f>
        <v/>
      </c>
      <c r="K481" s="1" t="str">
        <f aca="false">IF(Brasil!C481="","","BR")</f>
        <v/>
      </c>
      <c r="L481" s="1" t="str">
        <f aca="false">IF(Brasil!C481="","",IFERROR(INDEX(Gamma_Catalogo!$D$3:$D$1451,MATCH(Brasil!E481,Gamma_Catalogo!$A$3:$A$1451,0)),"Revisar Ip Code"))</f>
        <v/>
      </c>
      <c r="M481" s="1" t="str">
        <f aca="false">IF(Brasil!C481="","",IFERROR(INDEX(Gamma_Catalogo!$C$3:$C$1451,MATCH(Brasil!E481,Gamma_Catalogo!$A$3:$A$1451,0)),"Revisar Ip Code"))</f>
        <v/>
      </c>
      <c r="N481" s="1" t="str">
        <f aca="false">IF(Brasil!C481="","",IFERROR(INDEX(Gamma_Catalogo!$E$3:$E$1451,MATCH(Brasil!E481,Gamma_Catalogo!$A$3:$A$1451,0)),"Revisar Ip Code"))</f>
        <v/>
      </c>
      <c r="O481" s="1" t="str">
        <f aca="false">IF(Brasil!C481="","","Brasil")</f>
        <v/>
      </c>
    </row>
    <row r="482" customFormat="false" ht="15" hidden="false" customHeight="true" outlineLevel="0" collapsed="false">
      <c r="A482" s="1" t="str">
        <f aca="false">IF(Brasil!C482="","",IFERROR(INDEX(Mercados!$C$2:$C$32,MATCH(Brasil!B482,Mercados!$A$2:$A$32,0)),"Revisar Tscode"))</f>
        <v/>
      </c>
      <c r="B482" s="1" t="str">
        <f aca="false">IF(Brasil!C482="","",Brasil!C482)</f>
        <v/>
      </c>
      <c r="C482" s="1" t="str">
        <f aca="false">IF(Brasil!C482="","",Brasil!A482)</f>
        <v/>
      </c>
      <c r="D482" s="1" t="str">
        <f aca="false">IF(Brasil!C482="","",Brasil!E482)</f>
        <v/>
      </c>
      <c r="E482" s="1" t="str">
        <f aca="false">IF(Brasil!C482="","",Brasil!F482)</f>
        <v/>
      </c>
      <c r="F482" s="1" t="str">
        <f aca="false">IF(Brasil!C482="","",Brasil!D482)</f>
        <v/>
      </c>
      <c r="I482" s="1" t="str">
        <f aca="false">IF(Brasil!C482="","",Brasil!H482)</f>
        <v/>
      </c>
      <c r="J482" s="1" t="str">
        <f aca="false">IF(Brasil!C482="","",Brasil!D482*Brasil!H482)</f>
        <v/>
      </c>
      <c r="K482" s="1" t="str">
        <f aca="false">IF(Brasil!C482="","","BR")</f>
        <v/>
      </c>
      <c r="L482" s="1" t="str">
        <f aca="false">IF(Brasil!C482="","",IFERROR(INDEX(Gamma_Catalogo!$D$3:$D$1451,MATCH(Brasil!E482,Gamma_Catalogo!$A$3:$A$1451,0)),"Revisar Ip Code"))</f>
        <v/>
      </c>
      <c r="M482" s="1" t="str">
        <f aca="false">IF(Brasil!C482="","",IFERROR(INDEX(Gamma_Catalogo!$C$3:$C$1451,MATCH(Brasil!E482,Gamma_Catalogo!$A$3:$A$1451,0)),"Revisar Ip Code"))</f>
        <v/>
      </c>
      <c r="N482" s="1" t="str">
        <f aca="false">IF(Brasil!C482="","",IFERROR(INDEX(Gamma_Catalogo!$E$3:$E$1451,MATCH(Brasil!E482,Gamma_Catalogo!$A$3:$A$1451,0)),"Revisar Ip Code"))</f>
        <v/>
      </c>
      <c r="O482" s="1" t="str">
        <f aca="false">IF(Brasil!C482="","","Brasil")</f>
        <v/>
      </c>
    </row>
    <row r="483" customFormat="false" ht="15" hidden="false" customHeight="true" outlineLevel="0" collapsed="false">
      <c r="A483" s="1" t="str">
        <f aca="false">IF(Brasil!C483="","",IFERROR(INDEX(Mercados!$C$2:$C$32,MATCH(Brasil!B483,Mercados!$A$2:$A$32,0)),"Revisar Tscode"))</f>
        <v/>
      </c>
      <c r="B483" s="1" t="str">
        <f aca="false">IF(Brasil!C483="","",Brasil!C483)</f>
        <v/>
      </c>
      <c r="C483" s="1" t="str">
        <f aca="false">IF(Brasil!C483="","",Brasil!A483)</f>
        <v/>
      </c>
      <c r="D483" s="1" t="str">
        <f aca="false">IF(Brasil!C483="","",Brasil!E483)</f>
        <v/>
      </c>
      <c r="E483" s="1" t="str">
        <f aca="false">IF(Brasil!C483="","",Brasil!F483)</f>
        <v/>
      </c>
      <c r="F483" s="1" t="str">
        <f aca="false">IF(Brasil!C483="","",Brasil!D483)</f>
        <v/>
      </c>
      <c r="I483" s="1" t="str">
        <f aca="false">IF(Brasil!C483="","",Brasil!H483)</f>
        <v/>
      </c>
      <c r="J483" s="1" t="str">
        <f aca="false">IF(Brasil!C483="","",Brasil!D483*Brasil!H483)</f>
        <v/>
      </c>
      <c r="K483" s="1" t="str">
        <f aca="false">IF(Brasil!C483="","","BR")</f>
        <v/>
      </c>
      <c r="L483" s="1" t="str">
        <f aca="false">IF(Brasil!C483="","",IFERROR(INDEX(Gamma_Catalogo!$D$3:$D$1451,MATCH(Brasil!E483,Gamma_Catalogo!$A$3:$A$1451,0)),"Revisar Ip Code"))</f>
        <v/>
      </c>
      <c r="M483" s="1" t="str">
        <f aca="false">IF(Brasil!C483="","",IFERROR(INDEX(Gamma_Catalogo!$C$3:$C$1451,MATCH(Brasil!E483,Gamma_Catalogo!$A$3:$A$1451,0)),"Revisar Ip Code"))</f>
        <v/>
      </c>
      <c r="N483" s="1" t="str">
        <f aca="false">IF(Brasil!C483="","",IFERROR(INDEX(Gamma_Catalogo!$E$3:$E$1451,MATCH(Brasil!E483,Gamma_Catalogo!$A$3:$A$1451,0)),"Revisar Ip Code"))</f>
        <v/>
      </c>
      <c r="O483" s="1" t="str">
        <f aca="false">IF(Brasil!C483="","","Brasil")</f>
        <v/>
      </c>
    </row>
    <row r="484" customFormat="false" ht="15" hidden="false" customHeight="true" outlineLevel="0" collapsed="false">
      <c r="A484" s="1" t="str">
        <f aca="false">IF(Brasil!C484="","",IFERROR(INDEX(Mercados!$C$2:$C$32,MATCH(Brasil!B484,Mercados!$A$2:$A$32,0)),"Revisar Tscode"))</f>
        <v/>
      </c>
      <c r="B484" s="1" t="str">
        <f aca="false">IF(Brasil!C484="","",Brasil!C484)</f>
        <v/>
      </c>
      <c r="C484" s="1" t="str">
        <f aca="false">IF(Brasil!C484="","",Brasil!A484)</f>
        <v/>
      </c>
      <c r="D484" s="1" t="str">
        <f aca="false">IF(Brasil!C484="","",Brasil!E484)</f>
        <v/>
      </c>
      <c r="E484" s="1" t="str">
        <f aca="false">IF(Brasil!C484="","",Brasil!F484)</f>
        <v/>
      </c>
      <c r="F484" s="1" t="str">
        <f aca="false">IF(Brasil!C484="","",Brasil!D484)</f>
        <v/>
      </c>
      <c r="I484" s="1" t="str">
        <f aca="false">IF(Brasil!C484="","",Brasil!H484)</f>
        <v/>
      </c>
      <c r="J484" s="1" t="str">
        <f aca="false">IF(Brasil!C484="","",Brasil!D484*Brasil!H484)</f>
        <v/>
      </c>
      <c r="K484" s="1" t="str">
        <f aca="false">IF(Brasil!C484="","","BR")</f>
        <v/>
      </c>
      <c r="L484" s="1" t="str">
        <f aca="false">IF(Brasil!C484="","",IFERROR(INDEX(Gamma_Catalogo!$D$3:$D$1451,MATCH(Brasil!E484,Gamma_Catalogo!$A$3:$A$1451,0)),"Revisar Ip Code"))</f>
        <v/>
      </c>
      <c r="M484" s="1" t="str">
        <f aca="false">IF(Brasil!C484="","",IFERROR(INDEX(Gamma_Catalogo!$C$3:$C$1451,MATCH(Brasil!E484,Gamma_Catalogo!$A$3:$A$1451,0)),"Revisar Ip Code"))</f>
        <v/>
      </c>
      <c r="N484" s="1" t="str">
        <f aca="false">IF(Brasil!C484="","",IFERROR(INDEX(Gamma_Catalogo!$E$3:$E$1451,MATCH(Brasil!E484,Gamma_Catalogo!$A$3:$A$1451,0)),"Revisar Ip Code"))</f>
        <v/>
      </c>
      <c r="O484" s="1" t="str">
        <f aca="false">IF(Brasil!C484="","","Brasil")</f>
        <v/>
      </c>
    </row>
    <row r="485" customFormat="false" ht="15" hidden="false" customHeight="true" outlineLevel="0" collapsed="false">
      <c r="A485" s="1" t="str">
        <f aca="false">IF(Brasil!C485="","",IFERROR(INDEX(Mercados!$C$2:$C$32,MATCH(Brasil!B485,Mercados!$A$2:$A$32,0)),"Revisar Tscode"))</f>
        <v/>
      </c>
      <c r="B485" s="1" t="str">
        <f aca="false">IF(Brasil!C485="","",Brasil!C485)</f>
        <v/>
      </c>
      <c r="C485" s="1" t="str">
        <f aca="false">IF(Brasil!C485="","",Brasil!A485)</f>
        <v/>
      </c>
      <c r="D485" s="1" t="str">
        <f aca="false">IF(Brasil!C485="","",Brasil!E485)</f>
        <v/>
      </c>
      <c r="E485" s="1" t="str">
        <f aca="false">IF(Brasil!C485="","",Brasil!F485)</f>
        <v/>
      </c>
      <c r="F485" s="1" t="str">
        <f aca="false">IF(Brasil!C485="","",Brasil!D485)</f>
        <v/>
      </c>
      <c r="I485" s="1" t="str">
        <f aca="false">IF(Brasil!C485="","",Brasil!H485)</f>
        <v/>
      </c>
      <c r="J485" s="1" t="str">
        <f aca="false">IF(Brasil!C485="","",Brasil!D485*Brasil!H485)</f>
        <v/>
      </c>
      <c r="K485" s="1" t="str">
        <f aca="false">IF(Brasil!C485="","","BR")</f>
        <v/>
      </c>
      <c r="L485" s="1" t="str">
        <f aca="false">IF(Brasil!C485="","",IFERROR(INDEX(Gamma_Catalogo!$D$3:$D$1451,MATCH(Brasil!E485,Gamma_Catalogo!$A$3:$A$1451,0)),"Revisar Ip Code"))</f>
        <v/>
      </c>
      <c r="M485" s="1" t="str">
        <f aca="false">IF(Brasil!C485="","",IFERROR(INDEX(Gamma_Catalogo!$C$3:$C$1451,MATCH(Brasil!E485,Gamma_Catalogo!$A$3:$A$1451,0)),"Revisar Ip Code"))</f>
        <v/>
      </c>
      <c r="N485" s="1" t="str">
        <f aca="false">IF(Brasil!C485="","",IFERROR(INDEX(Gamma_Catalogo!$E$3:$E$1451,MATCH(Brasil!E485,Gamma_Catalogo!$A$3:$A$1451,0)),"Revisar Ip Code"))</f>
        <v/>
      </c>
      <c r="O485" s="1" t="str">
        <f aca="false">IF(Brasil!C485="","","Brasil")</f>
        <v/>
      </c>
    </row>
    <row r="486" customFormat="false" ht="15" hidden="false" customHeight="true" outlineLevel="0" collapsed="false">
      <c r="A486" s="1" t="str">
        <f aca="false">IF(Brasil!C486="","",IFERROR(INDEX(Mercados!$C$2:$C$32,MATCH(Brasil!B486,Mercados!$A$2:$A$32,0)),"Revisar Tscode"))</f>
        <v/>
      </c>
      <c r="B486" s="1" t="str">
        <f aca="false">IF(Brasil!C486="","",Brasil!C486)</f>
        <v/>
      </c>
      <c r="C486" s="1" t="str">
        <f aca="false">IF(Brasil!C486="","",Brasil!A486)</f>
        <v/>
      </c>
      <c r="D486" s="1" t="str">
        <f aca="false">IF(Brasil!C486="","",Brasil!E486)</f>
        <v/>
      </c>
      <c r="E486" s="1" t="str">
        <f aca="false">IF(Brasil!C486="","",Brasil!F486)</f>
        <v/>
      </c>
      <c r="F486" s="1" t="str">
        <f aca="false">IF(Brasil!C486="","",Brasil!D486)</f>
        <v/>
      </c>
      <c r="I486" s="1" t="str">
        <f aca="false">IF(Brasil!C486="","",Brasil!H486)</f>
        <v/>
      </c>
      <c r="J486" s="1" t="str">
        <f aca="false">IF(Brasil!C486="","",Brasil!D486*Brasil!H486)</f>
        <v/>
      </c>
      <c r="K486" s="1" t="str">
        <f aca="false">IF(Brasil!C486="","","BR")</f>
        <v/>
      </c>
      <c r="L486" s="1" t="str">
        <f aca="false">IF(Brasil!C486="","",IFERROR(INDEX(Gamma_Catalogo!$D$3:$D$1451,MATCH(Brasil!E486,Gamma_Catalogo!$A$3:$A$1451,0)),"Revisar Ip Code"))</f>
        <v/>
      </c>
      <c r="M486" s="1" t="str">
        <f aca="false">IF(Brasil!C486="","",IFERROR(INDEX(Gamma_Catalogo!$C$3:$C$1451,MATCH(Brasil!E486,Gamma_Catalogo!$A$3:$A$1451,0)),"Revisar Ip Code"))</f>
        <v/>
      </c>
      <c r="N486" s="1" t="str">
        <f aca="false">IF(Brasil!C486="","",IFERROR(INDEX(Gamma_Catalogo!$E$3:$E$1451,MATCH(Brasil!E486,Gamma_Catalogo!$A$3:$A$1451,0)),"Revisar Ip Code"))</f>
        <v/>
      </c>
      <c r="O486" s="1" t="str">
        <f aca="false">IF(Brasil!C486="","","Brasil")</f>
        <v/>
      </c>
    </row>
    <row r="487" customFormat="false" ht="15" hidden="false" customHeight="true" outlineLevel="0" collapsed="false">
      <c r="A487" s="1" t="str">
        <f aca="false">IF(Brasil!C487="","",IFERROR(INDEX(Mercados!$C$2:$C$32,MATCH(Brasil!B487,Mercados!$A$2:$A$32,0)),"Revisar Tscode"))</f>
        <v/>
      </c>
      <c r="B487" s="1" t="str">
        <f aca="false">IF(Brasil!C487="","",Brasil!C487)</f>
        <v/>
      </c>
      <c r="C487" s="1" t="str">
        <f aca="false">IF(Brasil!C487="","",Brasil!A487)</f>
        <v/>
      </c>
      <c r="D487" s="1" t="str">
        <f aca="false">IF(Brasil!C487="","",Brasil!E487)</f>
        <v/>
      </c>
      <c r="E487" s="1" t="str">
        <f aca="false">IF(Brasil!C487="","",Brasil!F487)</f>
        <v/>
      </c>
      <c r="F487" s="1" t="str">
        <f aca="false">IF(Brasil!C487="","",Brasil!D487)</f>
        <v/>
      </c>
      <c r="I487" s="1" t="str">
        <f aca="false">IF(Brasil!C487="","",Brasil!H487)</f>
        <v/>
      </c>
      <c r="J487" s="1" t="str">
        <f aca="false">IF(Brasil!C487="","",Brasil!D487*Brasil!H487)</f>
        <v/>
      </c>
      <c r="K487" s="1" t="str">
        <f aca="false">IF(Brasil!C487="","","BR")</f>
        <v/>
      </c>
      <c r="L487" s="1" t="str">
        <f aca="false">IF(Brasil!C487="","",IFERROR(INDEX(Gamma_Catalogo!$D$3:$D$1451,MATCH(Brasil!E487,Gamma_Catalogo!$A$3:$A$1451,0)),"Revisar Ip Code"))</f>
        <v/>
      </c>
      <c r="M487" s="1" t="str">
        <f aca="false">IF(Brasil!C487="","",IFERROR(INDEX(Gamma_Catalogo!$C$3:$C$1451,MATCH(Brasil!E487,Gamma_Catalogo!$A$3:$A$1451,0)),"Revisar Ip Code"))</f>
        <v/>
      </c>
      <c r="N487" s="1" t="str">
        <f aca="false">IF(Brasil!C487="","",IFERROR(INDEX(Gamma_Catalogo!$E$3:$E$1451,MATCH(Brasil!E487,Gamma_Catalogo!$A$3:$A$1451,0)),"Revisar Ip Code"))</f>
        <v/>
      </c>
      <c r="O487" s="1" t="str">
        <f aca="false">IF(Brasil!C487="","","Brasil")</f>
        <v/>
      </c>
    </row>
    <row r="488" customFormat="false" ht="15" hidden="false" customHeight="true" outlineLevel="0" collapsed="false">
      <c r="A488" s="1" t="str">
        <f aca="false">IF(Brasil!C488="","",IFERROR(INDEX(Mercados!$C$2:$C$32,MATCH(Brasil!B488,Mercados!$A$2:$A$32,0)),"Revisar Tscode"))</f>
        <v/>
      </c>
      <c r="B488" s="1" t="str">
        <f aca="false">IF(Brasil!C488="","",Brasil!C488)</f>
        <v/>
      </c>
      <c r="C488" s="1" t="str">
        <f aca="false">IF(Brasil!C488="","",Brasil!A488)</f>
        <v/>
      </c>
      <c r="D488" s="1" t="str">
        <f aca="false">IF(Brasil!C488="","",Brasil!E488)</f>
        <v/>
      </c>
      <c r="E488" s="1" t="str">
        <f aca="false">IF(Brasil!C488="","",Brasil!F488)</f>
        <v/>
      </c>
      <c r="F488" s="1" t="str">
        <f aca="false">IF(Brasil!C488="","",Brasil!D488)</f>
        <v/>
      </c>
      <c r="I488" s="1" t="str">
        <f aca="false">IF(Brasil!C488="","",Brasil!H488)</f>
        <v/>
      </c>
      <c r="J488" s="1" t="str">
        <f aca="false">IF(Brasil!C488="","",Brasil!D488*Brasil!H488)</f>
        <v/>
      </c>
      <c r="K488" s="1" t="str">
        <f aca="false">IF(Brasil!C488="","","BR")</f>
        <v/>
      </c>
      <c r="L488" s="1" t="str">
        <f aca="false">IF(Brasil!C488="","",IFERROR(INDEX(Gamma_Catalogo!$D$3:$D$1451,MATCH(Brasil!E488,Gamma_Catalogo!$A$3:$A$1451,0)),"Revisar Ip Code"))</f>
        <v/>
      </c>
      <c r="M488" s="1" t="str">
        <f aca="false">IF(Brasil!C488="","",IFERROR(INDEX(Gamma_Catalogo!$C$3:$C$1451,MATCH(Brasil!E488,Gamma_Catalogo!$A$3:$A$1451,0)),"Revisar Ip Code"))</f>
        <v/>
      </c>
      <c r="N488" s="1" t="str">
        <f aca="false">IF(Brasil!C488="","",IFERROR(INDEX(Gamma_Catalogo!$E$3:$E$1451,MATCH(Brasil!E488,Gamma_Catalogo!$A$3:$A$1451,0)),"Revisar Ip Code"))</f>
        <v/>
      </c>
      <c r="O488" s="1" t="str">
        <f aca="false">IF(Brasil!C488="","","Brasil")</f>
        <v/>
      </c>
    </row>
    <row r="489" customFormat="false" ht="15" hidden="false" customHeight="true" outlineLevel="0" collapsed="false">
      <c r="A489" s="1" t="str">
        <f aca="false">IF(Brasil!C489="","",IFERROR(INDEX(Mercados!$C$2:$C$32,MATCH(Brasil!B489,Mercados!$A$2:$A$32,0)),"Revisar Tscode"))</f>
        <v/>
      </c>
      <c r="B489" s="1" t="str">
        <f aca="false">IF(Brasil!C489="","",Brasil!C489)</f>
        <v/>
      </c>
      <c r="C489" s="1" t="str">
        <f aca="false">IF(Brasil!C489="","",Brasil!A489)</f>
        <v/>
      </c>
      <c r="D489" s="1" t="str">
        <f aca="false">IF(Brasil!C489="","",Brasil!E489)</f>
        <v/>
      </c>
      <c r="E489" s="1" t="str">
        <f aca="false">IF(Brasil!C489="","",Brasil!F489)</f>
        <v/>
      </c>
      <c r="F489" s="1" t="str">
        <f aca="false">IF(Brasil!C489="","",Brasil!D489)</f>
        <v/>
      </c>
      <c r="I489" s="1" t="str">
        <f aca="false">IF(Brasil!C489="","",Brasil!H489)</f>
        <v/>
      </c>
      <c r="J489" s="1" t="str">
        <f aca="false">IF(Brasil!C489="","",Brasil!D489*Brasil!H489)</f>
        <v/>
      </c>
      <c r="K489" s="1" t="str">
        <f aca="false">IF(Brasil!C489="","","BR")</f>
        <v/>
      </c>
      <c r="L489" s="1" t="str">
        <f aca="false">IF(Brasil!C489="","",IFERROR(INDEX(Gamma_Catalogo!$D$3:$D$1451,MATCH(Brasil!E489,Gamma_Catalogo!$A$3:$A$1451,0)),"Revisar Ip Code"))</f>
        <v/>
      </c>
      <c r="M489" s="1" t="str">
        <f aca="false">IF(Brasil!C489="","",IFERROR(INDEX(Gamma_Catalogo!$C$3:$C$1451,MATCH(Brasil!E489,Gamma_Catalogo!$A$3:$A$1451,0)),"Revisar Ip Code"))</f>
        <v/>
      </c>
      <c r="N489" s="1" t="str">
        <f aca="false">IF(Brasil!C489="","",IFERROR(INDEX(Gamma_Catalogo!$E$3:$E$1451,MATCH(Brasil!E489,Gamma_Catalogo!$A$3:$A$1451,0)),"Revisar Ip Code"))</f>
        <v/>
      </c>
      <c r="O489" s="1" t="str">
        <f aca="false">IF(Brasil!C489="","","Brasil")</f>
        <v/>
      </c>
    </row>
    <row r="490" customFormat="false" ht="15" hidden="false" customHeight="true" outlineLevel="0" collapsed="false">
      <c r="A490" s="1" t="str">
        <f aca="false">IF(Brasil!C490="","",IFERROR(INDEX(Mercados!$C$2:$C$32,MATCH(Brasil!B490,Mercados!$A$2:$A$32,0)),"Revisar Tscode"))</f>
        <v/>
      </c>
      <c r="B490" s="1" t="str">
        <f aca="false">IF(Brasil!C490="","",Brasil!C490)</f>
        <v/>
      </c>
      <c r="C490" s="1" t="str">
        <f aca="false">IF(Brasil!C490="","",Brasil!A490)</f>
        <v/>
      </c>
      <c r="D490" s="1" t="str">
        <f aca="false">IF(Brasil!C490="","",Brasil!E490)</f>
        <v/>
      </c>
      <c r="E490" s="1" t="str">
        <f aca="false">IF(Brasil!C490="","",Brasil!F490)</f>
        <v/>
      </c>
      <c r="F490" s="1" t="str">
        <f aca="false">IF(Brasil!C490="","",Brasil!D490)</f>
        <v/>
      </c>
      <c r="I490" s="1" t="str">
        <f aca="false">IF(Brasil!C490="","",Brasil!H490)</f>
        <v/>
      </c>
      <c r="J490" s="1" t="str">
        <f aca="false">IF(Brasil!C490="","",Brasil!D490*Brasil!H490)</f>
        <v/>
      </c>
      <c r="K490" s="1" t="str">
        <f aca="false">IF(Brasil!C490="","","BR")</f>
        <v/>
      </c>
      <c r="L490" s="1" t="str">
        <f aca="false">IF(Brasil!C490="","",IFERROR(INDEX(Gamma_Catalogo!$D$3:$D$1451,MATCH(Brasil!E490,Gamma_Catalogo!$A$3:$A$1451,0)),"Revisar Ip Code"))</f>
        <v/>
      </c>
      <c r="M490" s="1" t="str">
        <f aca="false">IF(Brasil!C490="","",IFERROR(INDEX(Gamma_Catalogo!$C$3:$C$1451,MATCH(Brasil!E490,Gamma_Catalogo!$A$3:$A$1451,0)),"Revisar Ip Code"))</f>
        <v/>
      </c>
      <c r="N490" s="1" t="str">
        <f aca="false">IF(Brasil!C490="","",IFERROR(INDEX(Gamma_Catalogo!$E$3:$E$1451,MATCH(Brasil!E490,Gamma_Catalogo!$A$3:$A$1451,0)),"Revisar Ip Code"))</f>
        <v/>
      </c>
      <c r="O490" s="1" t="str">
        <f aca="false">IF(Brasil!C490="","","Brasil")</f>
        <v/>
      </c>
    </row>
    <row r="491" customFormat="false" ht="15" hidden="false" customHeight="true" outlineLevel="0" collapsed="false">
      <c r="A491" s="1" t="str">
        <f aca="false">IF(Brasil!C491="","",IFERROR(INDEX(Mercados!$C$2:$C$32,MATCH(Brasil!B491,Mercados!$A$2:$A$32,0)),"Revisar Tscode"))</f>
        <v/>
      </c>
      <c r="B491" s="1" t="str">
        <f aca="false">IF(Brasil!C491="","",Brasil!C491)</f>
        <v/>
      </c>
      <c r="C491" s="1" t="str">
        <f aca="false">IF(Brasil!C491="","",Brasil!A491)</f>
        <v/>
      </c>
      <c r="D491" s="1" t="str">
        <f aca="false">IF(Brasil!C491="","",Brasil!E491)</f>
        <v/>
      </c>
      <c r="E491" s="1" t="str">
        <f aca="false">IF(Brasil!C491="","",Brasil!F491)</f>
        <v/>
      </c>
      <c r="F491" s="1" t="str">
        <f aca="false">IF(Brasil!C491="","",Brasil!D491)</f>
        <v/>
      </c>
      <c r="I491" s="1" t="str">
        <f aca="false">IF(Brasil!C491="","",Brasil!H491)</f>
        <v/>
      </c>
      <c r="J491" s="1" t="str">
        <f aca="false">IF(Brasil!C491="","",Brasil!D491*Brasil!H491)</f>
        <v/>
      </c>
      <c r="K491" s="1" t="str">
        <f aca="false">IF(Brasil!C491="","","BR")</f>
        <v/>
      </c>
      <c r="L491" s="1" t="str">
        <f aca="false">IF(Brasil!C491="","",IFERROR(INDEX(Gamma_Catalogo!$D$3:$D$1451,MATCH(Brasil!E491,Gamma_Catalogo!$A$3:$A$1451,0)),"Revisar Ip Code"))</f>
        <v/>
      </c>
      <c r="M491" s="1" t="str">
        <f aca="false">IF(Brasil!C491="","",IFERROR(INDEX(Gamma_Catalogo!$C$3:$C$1451,MATCH(Brasil!E491,Gamma_Catalogo!$A$3:$A$1451,0)),"Revisar Ip Code"))</f>
        <v/>
      </c>
      <c r="N491" s="1" t="str">
        <f aca="false">IF(Brasil!C491="","",IFERROR(INDEX(Gamma_Catalogo!$E$3:$E$1451,MATCH(Brasil!E491,Gamma_Catalogo!$A$3:$A$1451,0)),"Revisar Ip Code"))</f>
        <v/>
      </c>
      <c r="O491" s="1" t="str">
        <f aca="false">IF(Brasil!C491="","","Brasil")</f>
        <v/>
      </c>
    </row>
    <row r="492" customFormat="false" ht="15" hidden="false" customHeight="true" outlineLevel="0" collapsed="false">
      <c r="A492" s="1" t="str">
        <f aca="false">IF(Brasil!C492="","",IFERROR(INDEX(Mercados!$C$2:$C$32,MATCH(Brasil!B492,Mercados!$A$2:$A$32,0)),"Revisar Tscode"))</f>
        <v/>
      </c>
      <c r="B492" s="1" t="str">
        <f aca="false">IF(Brasil!C492="","",Brasil!C492)</f>
        <v/>
      </c>
      <c r="C492" s="1" t="str">
        <f aca="false">IF(Brasil!C492="","",Brasil!A492)</f>
        <v/>
      </c>
      <c r="D492" s="1" t="str">
        <f aca="false">IF(Brasil!C492="","",Brasil!E492)</f>
        <v/>
      </c>
      <c r="E492" s="1" t="str">
        <f aca="false">IF(Brasil!C492="","",Brasil!F492)</f>
        <v/>
      </c>
      <c r="F492" s="1" t="str">
        <f aca="false">IF(Brasil!C492="","",Brasil!D492)</f>
        <v/>
      </c>
      <c r="I492" s="1" t="str">
        <f aca="false">IF(Brasil!C492="","",Brasil!H492)</f>
        <v/>
      </c>
      <c r="J492" s="1" t="str">
        <f aca="false">IF(Brasil!C492="","",Brasil!D492*Brasil!H492)</f>
        <v/>
      </c>
      <c r="K492" s="1" t="str">
        <f aca="false">IF(Brasil!C492="","","BR")</f>
        <v/>
      </c>
      <c r="L492" s="1" t="str">
        <f aca="false">IF(Brasil!C492="","",IFERROR(INDEX(Gamma_Catalogo!$D$3:$D$1451,MATCH(Brasil!E492,Gamma_Catalogo!$A$3:$A$1451,0)),"Revisar Ip Code"))</f>
        <v/>
      </c>
      <c r="M492" s="1" t="str">
        <f aca="false">IF(Brasil!C492="","",IFERROR(INDEX(Gamma_Catalogo!$C$3:$C$1451,MATCH(Brasil!E492,Gamma_Catalogo!$A$3:$A$1451,0)),"Revisar Ip Code"))</f>
        <v/>
      </c>
      <c r="N492" s="1" t="str">
        <f aca="false">IF(Brasil!C492="","",IFERROR(INDEX(Gamma_Catalogo!$E$3:$E$1451,MATCH(Brasil!E492,Gamma_Catalogo!$A$3:$A$1451,0)),"Revisar Ip Code"))</f>
        <v/>
      </c>
      <c r="O492" s="1" t="str">
        <f aca="false">IF(Brasil!C492="","","Brasil")</f>
        <v/>
      </c>
    </row>
    <row r="493" customFormat="false" ht="15" hidden="false" customHeight="true" outlineLevel="0" collapsed="false">
      <c r="A493" s="1" t="str">
        <f aca="false">IF(Brasil!C493="","",IFERROR(INDEX(Mercados!$C$2:$C$32,MATCH(Brasil!B493,Mercados!$A$2:$A$32,0)),"Revisar Tscode"))</f>
        <v/>
      </c>
      <c r="B493" s="1" t="str">
        <f aca="false">IF(Brasil!C493="","",Brasil!C493)</f>
        <v/>
      </c>
      <c r="C493" s="1" t="str">
        <f aca="false">IF(Brasil!C493="","",Brasil!A493)</f>
        <v/>
      </c>
      <c r="D493" s="1" t="str">
        <f aca="false">IF(Brasil!C493="","",Brasil!E493)</f>
        <v/>
      </c>
      <c r="E493" s="1" t="str">
        <f aca="false">IF(Brasil!C493="","",Brasil!F493)</f>
        <v/>
      </c>
      <c r="F493" s="1" t="str">
        <f aca="false">IF(Brasil!C493="","",Brasil!D493)</f>
        <v/>
      </c>
      <c r="I493" s="1" t="str">
        <f aca="false">IF(Brasil!C493="","",Brasil!H493)</f>
        <v/>
      </c>
      <c r="J493" s="1" t="str">
        <f aca="false">IF(Brasil!C493="","",Brasil!D493*Brasil!H493)</f>
        <v/>
      </c>
      <c r="K493" s="1" t="str">
        <f aca="false">IF(Brasil!C493="","","BR")</f>
        <v/>
      </c>
      <c r="L493" s="1" t="str">
        <f aca="false">IF(Brasil!C493="","",IFERROR(INDEX(Gamma_Catalogo!$D$3:$D$1451,MATCH(Brasil!E493,Gamma_Catalogo!$A$3:$A$1451,0)),"Revisar Ip Code"))</f>
        <v/>
      </c>
      <c r="M493" s="1" t="str">
        <f aca="false">IF(Brasil!C493="","",IFERROR(INDEX(Gamma_Catalogo!$C$3:$C$1451,MATCH(Brasil!E493,Gamma_Catalogo!$A$3:$A$1451,0)),"Revisar Ip Code"))</f>
        <v/>
      </c>
      <c r="N493" s="1" t="str">
        <f aca="false">IF(Brasil!C493="","",IFERROR(INDEX(Gamma_Catalogo!$E$3:$E$1451,MATCH(Brasil!E493,Gamma_Catalogo!$A$3:$A$1451,0)),"Revisar Ip Code"))</f>
        <v/>
      </c>
      <c r="O493" s="1" t="str">
        <f aca="false">IF(Brasil!C493="","","Brasil")</f>
        <v/>
      </c>
    </row>
    <row r="494" customFormat="false" ht="15" hidden="false" customHeight="true" outlineLevel="0" collapsed="false">
      <c r="A494" s="1" t="str">
        <f aca="false">IF(Brasil!C494="","",IFERROR(INDEX(Mercados!$C$2:$C$32,MATCH(Brasil!B494,Mercados!$A$2:$A$32,0)),"Revisar Tscode"))</f>
        <v/>
      </c>
      <c r="B494" s="1" t="str">
        <f aca="false">IF(Brasil!C494="","",Brasil!C494)</f>
        <v/>
      </c>
      <c r="C494" s="1" t="str">
        <f aca="false">IF(Brasil!C494="","",Brasil!A494)</f>
        <v/>
      </c>
      <c r="D494" s="1" t="str">
        <f aca="false">IF(Brasil!C494="","",Brasil!E494)</f>
        <v/>
      </c>
      <c r="E494" s="1" t="str">
        <f aca="false">IF(Brasil!C494="","",Brasil!F494)</f>
        <v/>
      </c>
      <c r="F494" s="1" t="str">
        <f aca="false">IF(Brasil!C494="","",Brasil!D494)</f>
        <v/>
      </c>
      <c r="I494" s="1" t="str">
        <f aca="false">IF(Brasil!C494="","",Brasil!H494)</f>
        <v/>
      </c>
      <c r="J494" s="1" t="str">
        <f aca="false">IF(Brasil!C494="","",Brasil!D494*Brasil!H494)</f>
        <v/>
      </c>
      <c r="K494" s="1" t="str">
        <f aca="false">IF(Brasil!C494="","","BR")</f>
        <v/>
      </c>
      <c r="L494" s="1" t="str">
        <f aca="false">IF(Brasil!C494="","",IFERROR(INDEX(Gamma_Catalogo!$D$3:$D$1451,MATCH(Brasil!E494,Gamma_Catalogo!$A$3:$A$1451,0)),"Revisar Ip Code"))</f>
        <v/>
      </c>
      <c r="M494" s="1" t="str">
        <f aca="false">IF(Brasil!C494="","",IFERROR(INDEX(Gamma_Catalogo!$C$3:$C$1451,MATCH(Brasil!E494,Gamma_Catalogo!$A$3:$A$1451,0)),"Revisar Ip Code"))</f>
        <v/>
      </c>
      <c r="N494" s="1" t="str">
        <f aca="false">IF(Brasil!C494="","",IFERROR(INDEX(Gamma_Catalogo!$E$3:$E$1451,MATCH(Brasil!E494,Gamma_Catalogo!$A$3:$A$1451,0)),"Revisar Ip Code"))</f>
        <v/>
      </c>
      <c r="O494" s="1" t="str">
        <f aca="false">IF(Brasil!C494="","","Brasil")</f>
        <v/>
      </c>
    </row>
    <row r="495" customFormat="false" ht="15" hidden="false" customHeight="true" outlineLevel="0" collapsed="false">
      <c r="A495" s="1" t="str">
        <f aca="false">IF(Brasil!C495="","",IFERROR(INDEX(Mercados!$C$2:$C$32,MATCH(Brasil!B495,Mercados!$A$2:$A$32,0)),"Revisar Tscode"))</f>
        <v/>
      </c>
      <c r="B495" s="1" t="str">
        <f aca="false">IF(Brasil!C495="","",Brasil!C495)</f>
        <v/>
      </c>
      <c r="C495" s="1" t="str">
        <f aca="false">IF(Brasil!C495="","",Brasil!A495)</f>
        <v/>
      </c>
      <c r="D495" s="1" t="str">
        <f aca="false">IF(Brasil!C495="","",Brasil!E495)</f>
        <v/>
      </c>
      <c r="E495" s="1" t="str">
        <f aca="false">IF(Brasil!C495="","",Brasil!F495)</f>
        <v/>
      </c>
      <c r="F495" s="1" t="str">
        <f aca="false">IF(Brasil!C495="","",Brasil!D495)</f>
        <v/>
      </c>
      <c r="I495" s="1" t="str">
        <f aca="false">IF(Brasil!C495="","",Brasil!H495)</f>
        <v/>
      </c>
      <c r="J495" s="1" t="str">
        <f aca="false">IF(Brasil!C495="","",Brasil!D495*Brasil!H495)</f>
        <v/>
      </c>
      <c r="K495" s="1" t="str">
        <f aca="false">IF(Brasil!C495="","","BR")</f>
        <v/>
      </c>
      <c r="L495" s="1" t="str">
        <f aca="false">IF(Brasil!C495="","",IFERROR(INDEX(Gamma_Catalogo!$D$3:$D$1451,MATCH(Brasil!E495,Gamma_Catalogo!$A$3:$A$1451,0)),"Revisar Ip Code"))</f>
        <v/>
      </c>
      <c r="M495" s="1" t="str">
        <f aca="false">IF(Brasil!C495="","",IFERROR(INDEX(Gamma_Catalogo!$C$3:$C$1451,MATCH(Brasil!E495,Gamma_Catalogo!$A$3:$A$1451,0)),"Revisar Ip Code"))</f>
        <v/>
      </c>
      <c r="N495" s="1" t="str">
        <f aca="false">IF(Brasil!C495="","",IFERROR(INDEX(Gamma_Catalogo!$E$3:$E$1451,MATCH(Brasil!E495,Gamma_Catalogo!$A$3:$A$1451,0)),"Revisar Ip Code"))</f>
        <v/>
      </c>
      <c r="O495" s="1" t="str">
        <f aca="false">IF(Brasil!C495="","","Brasil")</f>
        <v/>
      </c>
    </row>
    <row r="496" customFormat="false" ht="15" hidden="false" customHeight="true" outlineLevel="0" collapsed="false">
      <c r="A496" s="1" t="str">
        <f aca="false">IF(Brasil!C496="","",IFERROR(INDEX(Mercados!$C$2:$C$32,MATCH(Brasil!B496,Mercados!$A$2:$A$32,0)),"Revisar Tscode"))</f>
        <v/>
      </c>
      <c r="B496" s="1" t="str">
        <f aca="false">IF(Brasil!C496="","",Brasil!C496)</f>
        <v/>
      </c>
      <c r="C496" s="1" t="str">
        <f aca="false">IF(Brasil!C496="","",Brasil!A496)</f>
        <v/>
      </c>
      <c r="D496" s="1" t="str">
        <f aca="false">IF(Brasil!C496="","",Brasil!E496)</f>
        <v/>
      </c>
      <c r="E496" s="1" t="str">
        <f aca="false">IF(Brasil!C496="","",Brasil!F496)</f>
        <v/>
      </c>
      <c r="F496" s="1" t="str">
        <f aca="false">IF(Brasil!C496="","",Brasil!D496)</f>
        <v/>
      </c>
      <c r="I496" s="1" t="str">
        <f aca="false">IF(Brasil!C496="","",Brasil!H496)</f>
        <v/>
      </c>
      <c r="J496" s="1" t="str">
        <f aca="false">IF(Brasil!C496="","",Brasil!D496*Brasil!H496)</f>
        <v/>
      </c>
      <c r="K496" s="1" t="str">
        <f aca="false">IF(Brasil!C496="","","BR")</f>
        <v/>
      </c>
      <c r="L496" s="1" t="str">
        <f aca="false">IF(Brasil!C496="","",IFERROR(INDEX(Gamma_Catalogo!$D$3:$D$1451,MATCH(Brasil!E496,Gamma_Catalogo!$A$3:$A$1451,0)),"Revisar Ip Code"))</f>
        <v/>
      </c>
      <c r="M496" s="1" t="str">
        <f aca="false">IF(Brasil!C496="","",IFERROR(INDEX(Gamma_Catalogo!$C$3:$C$1451,MATCH(Brasil!E496,Gamma_Catalogo!$A$3:$A$1451,0)),"Revisar Ip Code"))</f>
        <v/>
      </c>
      <c r="N496" s="1" t="str">
        <f aca="false">IF(Brasil!C496="","",IFERROR(INDEX(Gamma_Catalogo!$E$3:$E$1451,MATCH(Brasil!E496,Gamma_Catalogo!$A$3:$A$1451,0)),"Revisar Ip Code"))</f>
        <v/>
      </c>
      <c r="O496" s="1" t="str">
        <f aca="false">IF(Brasil!C496="","","Brasil")</f>
        <v/>
      </c>
    </row>
    <row r="497" customFormat="false" ht="15" hidden="false" customHeight="true" outlineLevel="0" collapsed="false">
      <c r="A497" s="1" t="str">
        <f aca="false">IF(Brasil!C497="","",IFERROR(INDEX(Mercados!$C$2:$C$32,MATCH(Brasil!B497,Mercados!$A$2:$A$32,0)),"Revisar Tscode"))</f>
        <v/>
      </c>
      <c r="B497" s="1" t="str">
        <f aca="false">IF(Brasil!C497="","",Brasil!C497)</f>
        <v/>
      </c>
      <c r="C497" s="1" t="str">
        <f aca="false">IF(Brasil!C497="","",Brasil!A497)</f>
        <v/>
      </c>
      <c r="D497" s="1" t="str">
        <f aca="false">IF(Brasil!C497="","",Brasil!E497)</f>
        <v/>
      </c>
      <c r="E497" s="1" t="str">
        <f aca="false">IF(Brasil!C497="","",Brasil!F497)</f>
        <v/>
      </c>
      <c r="F497" s="1" t="str">
        <f aca="false">IF(Brasil!C497="","",Brasil!D497)</f>
        <v/>
      </c>
      <c r="I497" s="1" t="str">
        <f aca="false">IF(Brasil!C497="","",Brasil!H497)</f>
        <v/>
      </c>
      <c r="J497" s="1" t="str">
        <f aca="false">IF(Brasil!C497="","",Brasil!D497*Brasil!H497)</f>
        <v/>
      </c>
      <c r="K497" s="1" t="str">
        <f aca="false">IF(Brasil!C497="","","BR")</f>
        <v/>
      </c>
      <c r="L497" s="1" t="str">
        <f aca="false">IF(Brasil!C497="","",IFERROR(INDEX(Gamma_Catalogo!$D$3:$D$1451,MATCH(Brasil!E497,Gamma_Catalogo!$A$3:$A$1451,0)),"Revisar Ip Code"))</f>
        <v/>
      </c>
      <c r="M497" s="1" t="str">
        <f aca="false">IF(Brasil!C497="","",IFERROR(INDEX(Gamma_Catalogo!$C$3:$C$1451,MATCH(Brasil!E497,Gamma_Catalogo!$A$3:$A$1451,0)),"Revisar Ip Code"))</f>
        <v/>
      </c>
      <c r="N497" s="1" t="str">
        <f aca="false">IF(Brasil!C497="","",IFERROR(INDEX(Gamma_Catalogo!$E$3:$E$1451,MATCH(Brasil!E497,Gamma_Catalogo!$A$3:$A$1451,0)),"Revisar Ip Code"))</f>
        <v/>
      </c>
      <c r="O497" s="1" t="str">
        <f aca="false">IF(Brasil!C497="","","Brasil")</f>
        <v/>
      </c>
    </row>
    <row r="498" customFormat="false" ht="15" hidden="false" customHeight="true" outlineLevel="0" collapsed="false">
      <c r="A498" s="1" t="str">
        <f aca="false">IF(Brasil!C498="","",IFERROR(INDEX(Mercados!$C$2:$C$32,MATCH(Brasil!B498,Mercados!$A$2:$A$32,0)),"Revisar Tscode"))</f>
        <v/>
      </c>
      <c r="B498" s="1" t="str">
        <f aca="false">IF(Brasil!C498="","",Brasil!C498)</f>
        <v/>
      </c>
      <c r="C498" s="1" t="str">
        <f aca="false">IF(Brasil!C498="","",Brasil!A498)</f>
        <v/>
      </c>
      <c r="D498" s="1" t="str">
        <f aca="false">IF(Brasil!C498="","",Brasil!E498)</f>
        <v/>
      </c>
      <c r="E498" s="1" t="str">
        <f aca="false">IF(Brasil!C498="","",Brasil!F498)</f>
        <v/>
      </c>
      <c r="F498" s="1" t="str">
        <f aca="false">IF(Brasil!C498="","",Brasil!D498)</f>
        <v/>
      </c>
      <c r="I498" s="1" t="str">
        <f aca="false">IF(Brasil!C498="","",Brasil!H498)</f>
        <v/>
      </c>
      <c r="J498" s="1" t="str">
        <f aca="false">IF(Brasil!C498="","",Brasil!D498*Brasil!H498)</f>
        <v/>
      </c>
      <c r="K498" s="1" t="str">
        <f aca="false">IF(Brasil!C498="","","BR")</f>
        <v/>
      </c>
      <c r="L498" s="1" t="str">
        <f aca="false">IF(Brasil!C498="","",IFERROR(INDEX(Gamma_Catalogo!$D$3:$D$1451,MATCH(Brasil!E498,Gamma_Catalogo!$A$3:$A$1451,0)),"Revisar Ip Code"))</f>
        <v/>
      </c>
      <c r="M498" s="1" t="str">
        <f aca="false">IF(Brasil!C498="","",IFERROR(INDEX(Gamma_Catalogo!$C$3:$C$1451,MATCH(Brasil!E498,Gamma_Catalogo!$A$3:$A$1451,0)),"Revisar Ip Code"))</f>
        <v/>
      </c>
      <c r="N498" s="1" t="str">
        <f aca="false">IF(Brasil!C498="","",IFERROR(INDEX(Gamma_Catalogo!$E$3:$E$1451,MATCH(Brasil!E498,Gamma_Catalogo!$A$3:$A$1451,0)),"Revisar Ip Code"))</f>
        <v/>
      </c>
      <c r="O498" s="1" t="str">
        <f aca="false">IF(Brasil!C498="","","Brasil")</f>
        <v/>
      </c>
    </row>
    <row r="499" customFormat="false" ht="15" hidden="false" customHeight="true" outlineLevel="0" collapsed="false">
      <c r="A499" s="1" t="str">
        <f aca="false">IF(Brasil!C499="","",IFERROR(INDEX(Mercados!$C$2:$C$32,MATCH(Brasil!B499,Mercados!$A$2:$A$32,0)),"Revisar Tscode"))</f>
        <v/>
      </c>
      <c r="B499" s="1" t="str">
        <f aca="false">IF(Brasil!C499="","",Brasil!C499)</f>
        <v/>
      </c>
      <c r="C499" s="1" t="str">
        <f aca="false">IF(Brasil!C499="","",Brasil!A499)</f>
        <v/>
      </c>
      <c r="D499" s="1" t="str">
        <f aca="false">IF(Brasil!C499="","",Brasil!E499)</f>
        <v/>
      </c>
      <c r="E499" s="1" t="str">
        <f aca="false">IF(Brasil!C499="","",Brasil!F499)</f>
        <v/>
      </c>
      <c r="F499" s="1" t="str">
        <f aca="false">IF(Brasil!C499="","",Brasil!D499)</f>
        <v/>
      </c>
      <c r="I499" s="1" t="str">
        <f aca="false">IF(Brasil!C499="","",Brasil!H499)</f>
        <v/>
      </c>
      <c r="J499" s="1" t="str">
        <f aca="false">IF(Brasil!C499="","",Brasil!D499*Brasil!H499)</f>
        <v/>
      </c>
      <c r="K499" s="1" t="str">
        <f aca="false">IF(Brasil!C499="","","BR")</f>
        <v/>
      </c>
      <c r="L499" s="1" t="str">
        <f aca="false">IF(Brasil!C499="","",IFERROR(INDEX(Gamma_Catalogo!$D$3:$D$1451,MATCH(Brasil!E499,Gamma_Catalogo!$A$3:$A$1451,0)),"Revisar Ip Code"))</f>
        <v/>
      </c>
      <c r="M499" s="1" t="str">
        <f aca="false">IF(Brasil!C499="","",IFERROR(INDEX(Gamma_Catalogo!$C$3:$C$1451,MATCH(Brasil!E499,Gamma_Catalogo!$A$3:$A$1451,0)),"Revisar Ip Code"))</f>
        <v/>
      </c>
      <c r="N499" s="1" t="str">
        <f aca="false">IF(Brasil!C499="","",IFERROR(INDEX(Gamma_Catalogo!$E$3:$E$1451,MATCH(Brasil!E499,Gamma_Catalogo!$A$3:$A$1451,0)),"Revisar Ip Code"))</f>
        <v/>
      </c>
      <c r="O499" s="1" t="str">
        <f aca="false">IF(Brasil!C499="","","Brasil")</f>
        <v/>
      </c>
    </row>
    <row r="500" customFormat="false" ht="15" hidden="false" customHeight="true" outlineLevel="0" collapsed="false">
      <c r="A500" s="1" t="str">
        <f aca="false">IF(Brasil!C500="","",IFERROR(INDEX(Mercados!$C$2:$C$32,MATCH(Brasil!B500,Mercados!$A$2:$A$32,0)),"Revisar Tscode"))</f>
        <v/>
      </c>
      <c r="B500" s="1" t="str">
        <f aca="false">IF(Brasil!C500="","",Brasil!C500)</f>
        <v/>
      </c>
      <c r="C500" s="1" t="str">
        <f aca="false">IF(Brasil!C500="","",Brasil!A500)</f>
        <v/>
      </c>
      <c r="D500" s="1" t="str">
        <f aca="false">IF(Brasil!C500="","",Brasil!E500)</f>
        <v/>
      </c>
      <c r="E500" s="1" t="str">
        <f aca="false">IF(Brasil!C500="","",Brasil!F500)</f>
        <v/>
      </c>
      <c r="F500" s="1" t="str">
        <f aca="false">IF(Brasil!C500="","",Brasil!D500)</f>
        <v/>
      </c>
      <c r="I500" s="1" t="str">
        <f aca="false">IF(Brasil!C500="","",Brasil!H500)</f>
        <v/>
      </c>
      <c r="J500" s="1" t="str">
        <f aca="false">IF(Brasil!C500="","",Brasil!D500*Brasil!H500)</f>
        <v/>
      </c>
      <c r="K500" s="1" t="str">
        <f aca="false">IF(Brasil!C500="","","BR")</f>
        <v/>
      </c>
      <c r="L500" s="1" t="str">
        <f aca="false">IF(Brasil!C500="","",IFERROR(INDEX(Gamma_Catalogo!$D$3:$D$1451,MATCH(Brasil!E500,Gamma_Catalogo!$A$3:$A$1451,0)),"Revisar Ip Code"))</f>
        <v/>
      </c>
      <c r="M500" s="1" t="str">
        <f aca="false">IF(Brasil!C500="","",IFERROR(INDEX(Gamma_Catalogo!$C$3:$C$1451,MATCH(Brasil!E500,Gamma_Catalogo!$A$3:$A$1451,0)),"Revisar Ip Code"))</f>
        <v/>
      </c>
      <c r="N500" s="1" t="str">
        <f aca="false">IF(Brasil!C500="","",IFERROR(INDEX(Gamma_Catalogo!$E$3:$E$1451,MATCH(Brasil!E500,Gamma_Catalogo!$A$3:$A$1451,0)),"Revisar Ip Code"))</f>
        <v/>
      </c>
      <c r="O500" s="1" t="str">
        <f aca="false">IF(Brasil!C500="","","Brasil")</f>
        <v/>
      </c>
    </row>
    <row r="501" customFormat="false" ht="15" hidden="false" customHeight="true" outlineLevel="0" collapsed="false">
      <c r="A501" s="1" t="str">
        <f aca="false">IF(Brasil!C501="","",IFERROR(INDEX(Mercados!$C$2:$C$32,MATCH(Brasil!B501,Mercados!$A$2:$A$32,0)),"Revisar Tscode"))</f>
        <v/>
      </c>
      <c r="B501" s="1" t="str">
        <f aca="false">IF(Brasil!C501="","",Brasil!C501)</f>
        <v/>
      </c>
      <c r="C501" s="1" t="str">
        <f aca="false">IF(Brasil!C501="","",Brasil!A501)</f>
        <v/>
      </c>
      <c r="D501" s="1" t="str">
        <f aca="false">IF(Brasil!C501="","",Brasil!E501)</f>
        <v/>
      </c>
      <c r="E501" s="1" t="str">
        <f aca="false">IF(Brasil!C501="","",Brasil!F501)</f>
        <v/>
      </c>
      <c r="F501" s="1" t="str">
        <f aca="false">IF(Brasil!C501="","",Brasil!D501)</f>
        <v/>
      </c>
      <c r="I501" s="1" t="str">
        <f aca="false">IF(Brasil!C501="","",Brasil!H501)</f>
        <v/>
      </c>
      <c r="J501" s="1" t="str">
        <f aca="false">IF(Brasil!C501="","",Brasil!D501*Brasil!H501)</f>
        <v/>
      </c>
      <c r="K501" s="1" t="str">
        <f aca="false">IF(Brasil!C501="","","BR")</f>
        <v/>
      </c>
      <c r="L501" s="1" t="str">
        <f aca="false">IF(Brasil!C501="","",IFERROR(INDEX(Gamma_Catalogo!$D$3:$D$1451,MATCH(Brasil!E501,Gamma_Catalogo!$A$3:$A$1451,0)),"Revisar Ip Code"))</f>
        <v/>
      </c>
      <c r="M501" s="1" t="str">
        <f aca="false">IF(Brasil!C501="","",IFERROR(INDEX(Gamma_Catalogo!$C$3:$C$1451,MATCH(Brasil!E501,Gamma_Catalogo!$A$3:$A$1451,0)),"Revisar Ip Code"))</f>
        <v/>
      </c>
      <c r="N501" s="1" t="str">
        <f aca="false">IF(Brasil!C501="","",IFERROR(INDEX(Gamma_Catalogo!$E$3:$E$1451,MATCH(Brasil!E501,Gamma_Catalogo!$A$3:$A$1451,0)),"Revisar Ip Code"))</f>
        <v/>
      </c>
      <c r="O501" s="1" t="str">
        <f aca="false">IF(Brasil!C501="","","Brasil")</f>
        <v/>
      </c>
    </row>
    <row r="502" customFormat="false" ht="15" hidden="false" customHeight="true" outlineLevel="0" collapsed="false">
      <c r="A502" s="1" t="str">
        <f aca="false">IF(Brasil!C502="","",IFERROR(INDEX(Mercados!$C$2:$C$32,MATCH(Brasil!B502,Mercados!$A$2:$A$32,0)),"Revisar Tscode"))</f>
        <v/>
      </c>
      <c r="B502" s="1" t="str">
        <f aca="false">IF(Brasil!C502="","",Brasil!C502)</f>
        <v/>
      </c>
      <c r="C502" s="1" t="str">
        <f aca="false">IF(Brasil!C502="","",Brasil!A502)</f>
        <v/>
      </c>
      <c r="D502" s="1" t="str">
        <f aca="false">IF(Brasil!C502="","",Brasil!E502)</f>
        <v/>
      </c>
      <c r="E502" s="1" t="str">
        <f aca="false">IF(Brasil!C502="","",Brasil!F502)</f>
        <v/>
      </c>
      <c r="F502" s="1" t="str">
        <f aca="false">IF(Brasil!C502="","",Brasil!D502)</f>
        <v/>
      </c>
      <c r="I502" s="1" t="str">
        <f aca="false">IF(Brasil!C502="","",Brasil!H502)</f>
        <v/>
      </c>
      <c r="J502" s="1" t="str">
        <f aca="false">IF(Brasil!C502="","",Brasil!D502*Brasil!H502)</f>
        <v/>
      </c>
      <c r="K502" s="1" t="str">
        <f aca="false">IF(Brasil!C502="","","BR")</f>
        <v/>
      </c>
      <c r="L502" s="1" t="str">
        <f aca="false">IF(Brasil!C502="","",IFERROR(INDEX(Gamma_Catalogo!$D$3:$D$1451,MATCH(Brasil!E502,Gamma_Catalogo!$A$3:$A$1451,0)),"Revisar Ip Code"))</f>
        <v/>
      </c>
      <c r="M502" s="1" t="str">
        <f aca="false">IF(Brasil!C502="","",IFERROR(INDEX(Gamma_Catalogo!$C$3:$C$1451,MATCH(Brasil!E502,Gamma_Catalogo!$A$3:$A$1451,0)),"Revisar Ip Code"))</f>
        <v/>
      </c>
      <c r="N502" s="1" t="str">
        <f aca="false">IF(Brasil!C502="","",IFERROR(INDEX(Gamma_Catalogo!$E$3:$E$1451,MATCH(Brasil!E502,Gamma_Catalogo!$A$3:$A$1451,0)),"Revisar Ip Code"))</f>
        <v/>
      </c>
      <c r="O502" s="1" t="str">
        <f aca="false">IF(Brasil!C502="","","Brasil")</f>
        <v/>
      </c>
    </row>
    <row r="503" customFormat="false" ht="15" hidden="false" customHeight="true" outlineLevel="0" collapsed="false">
      <c r="A503" s="1" t="str">
        <f aca="false">IF(Brasil!C503="","",IFERROR(INDEX(Mercados!$C$2:$C$32,MATCH(Brasil!B503,Mercados!$A$2:$A$32,0)),"Revisar Tscode"))</f>
        <v/>
      </c>
      <c r="B503" s="1" t="str">
        <f aca="false">IF(Brasil!C503="","",Brasil!C503)</f>
        <v/>
      </c>
      <c r="C503" s="1" t="str">
        <f aca="false">IF(Brasil!C503="","",Brasil!A503)</f>
        <v/>
      </c>
      <c r="D503" s="1" t="str">
        <f aca="false">IF(Brasil!C503="","",Brasil!E503)</f>
        <v/>
      </c>
      <c r="E503" s="1" t="str">
        <f aca="false">IF(Brasil!C503="","",Brasil!F503)</f>
        <v/>
      </c>
      <c r="F503" s="1" t="str">
        <f aca="false">IF(Brasil!C503="","",Brasil!D503)</f>
        <v/>
      </c>
      <c r="I503" s="1" t="str">
        <f aca="false">IF(Brasil!C503="","",Brasil!H503)</f>
        <v/>
      </c>
      <c r="J503" s="1" t="str">
        <f aca="false">IF(Brasil!C503="","",Brasil!D503*Brasil!H503)</f>
        <v/>
      </c>
      <c r="K503" s="1" t="str">
        <f aca="false">IF(Brasil!C503="","","BR")</f>
        <v/>
      </c>
      <c r="L503" s="1" t="str">
        <f aca="false">IF(Brasil!C503="","",IFERROR(INDEX(Gamma_Catalogo!$D$3:$D$1451,MATCH(Brasil!E503,Gamma_Catalogo!$A$3:$A$1451,0)),"Revisar Ip Code"))</f>
        <v/>
      </c>
      <c r="M503" s="1" t="str">
        <f aca="false">IF(Brasil!C503="","",IFERROR(INDEX(Gamma_Catalogo!$C$3:$C$1451,MATCH(Brasil!E503,Gamma_Catalogo!$A$3:$A$1451,0)),"Revisar Ip Code"))</f>
        <v/>
      </c>
      <c r="N503" s="1" t="str">
        <f aca="false">IF(Brasil!C503="","",IFERROR(INDEX(Gamma_Catalogo!$E$3:$E$1451,MATCH(Brasil!E503,Gamma_Catalogo!$A$3:$A$1451,0)),"Revisar Ip Code"))</f>
        <v/>
      </c>
      <c r="O503" s="1" t="str">
        <f aca="false">IF(Brasil!C503="","","Brasil")</f>
        <v/>
      </c>
    </row>
    <row r="504" customFormat="false" ht="15" hidden="false" customHeight="true" outlineLevel="0" collapsed="false">
      <c r="A504" s="1" t="str">
        <f aca="false">IF(Brasil!C504="","",IFERROR(INDEX(Mercados!$C$2:$C$32,MATCH(Brasil!B504,Mercados!$A$2:$A$32,0)),"Revisar Tscode"))</f>
        <v/>
      </c>
      <c r="B504" s="1" t="str">
        <f aca="false">IF(Brasil!C504="","",Brasil!C504)</f>
        <v/>
      </c>
      <c r="C504" s="1" t="str">
        <f aca="false">IF(Brasil!C504="","",Brasil!A504)</f>
        <v/>
      </c>
      <c r="D504" s="1" t="str">
        <f aca="false">IF(Brasil!C504="","",Brasil!E504)</f>
        <v/>
      </c>
      <c r="E504" s="1" t="str">
        <f aca="false">IF(Brasil!C504="","",Brasil!F504)</f>
        <v/>
      </c>
      <c r="F504" s="1" t="str">
        <f aca="false">IF(Brasil!C504="","",Brasil!D504)</f>
        <v/>
      </c>
      <c r="I504" s="1" t="str">
        <f aca="false">IF(Brasil!C504="","",Brasil!H504)</f>
        <v/>
      </c>
      <c r="J504" s="1" t="str">
        <f aca="false">IF(Brasil!C504="","",Brasil!D504*Brasil!H504)</f>
        <v/>
      </c>
      <c r="K504" s="1" t="str">
        <f aca="false">IF(Brasil!C504="","","BR")</f>
        <v/>
      </c>
      <c r="L504" s="1" t="str">
        <f aca="false">IF(Brasil!C504="","",IFERROR(INDEX(Gamma_Catalogo!$D$3:$D$1451,MATCH(Brasil!E504,Gamma_Catalogo!$A$3:$A$1451,0)),"Revisar Ip Code"))</f>
        <v/>
      </c>
      <c r="M504" s="1" t="str">
        <f aca="false">IF(Brasil!C504="","",IFERROR(INDEX(Gamma_Catalogo!$C$3:$C$1451,MATCH(Brasil!E504,Gamma_Catalogo!$A$3:$A$1451,0)),"Revisar Ip Code"))</f>
        <v/>
      </c>
      <c r="N504" s="1" t="str">
        <f aca="false">IF(Brasil!C504="","",IFERROR(INDEX(Gamma_Catalogo!$E$3:$E$1451,MATCH(Brasil!E504,Gamma_Catalogo!$A$3:$A$1451,0)),"Revisar Ip Code"))</f>
        <v/>
      </c>
      <c r="O504" s="1" t="str">
        <f aca="false">IF(Brasil!C504="","","Brasil")</f>
        <v/>
      </c>
    </row>
    <row r="505" customFormat="false" ht="15" hidden="false" customHeight="true" outlineLevel="0" collapsed="false">
      <c r="A505" s="1" t="str">
        <f aca="false">IF(Brasil!C505="","",IFERROR(INDEX(Mercados!$C$2:$C$32,MATCH(Brasil!B505,Mercados!$A$2:$A$32,0)),"Revisar Tscode"))</f>
        <v/>
      </c>
      <c r="B505" s="1" t="str">
        <f aca="false">IF(Brasil!C505="","",Brasil!C505)</f>
        <v/>
      </c>
      <c r="C505" s="1" t="str">
        <f aca="false">IF(Brasil!C505="","",Brasil!A505)</f>
        <v/>
      </c>
      <c r="D505" s="1" t="str">
        <f aca="false">IF(Brasil!C505="","",Brasil!E505)</f>
        <v/>
      </c>
      <c r="E505" s="1" t="str">
        <f aca="false">IF(Brasil!C505="","",Brasil!F505)</f>
        <v/>
      </c>
      <c r="F505" s="1" t="str">
        <f aca="false">IF(Brasil!C505="","",Brasil!D505)</f>
        <v/>
      </c>
      <c r="I505" s="1" t="str">
        <f aca="false">IF(Brasil!C505="","",Brasil!H505)</f>
        <v/>
      </c>
      <c r="J505" s="1" t="str">
        <f aca="false">IF(Brasil!C505="","",Brasil!D505*Brasil!H505)</f>
        <v/>
      </c>
      <c r="K505" s="1" t="str">
        <f aca="false">IF(Brasil!C505="","","BR")</f>
        <v/>
      </c>
      <c r="L505" s="1" t="str">
        <f aca="false">IF(Brasil!C505="","",IFERROR(INDEX(Gamma_Catalogo!$D$3:$D$1451,MATCH(Brasil!E505,Gamma_Catalogo!$A$3:$A$1451,0)),"Revisar Ip Code"))</f>
        <v/>
      </c>
      <c r="M505" s="1" t="str">
        <f aca="false">IF(Brasil!C505="","",IFERROR(INDEX(Gamma_Catalogo!$C$3:$C$1451,MATCH(Brasil!E505,Gamma_Catalogo!$A$3:$A$1451,0)),"Revisar Ip Code"))</f>
        <v/>
      </c>
      <c r="N505" s="1" t="str">
        <f aca="false">IF(Brasil!C505="","",IFERROR(INDEX(Gamma_Catalogo!$E$3:$E$1451,MATCH(Brasil!E505,Gamma_Catalogo!$A$3:$A$1451,0)),"Revisar Ip Code"))</f>
        <v/>
      </c>
      <c r="O505" s="1" t="str">
        <f aca="false">IF(Brasil!C505="","","Brasil")</f>
        <v/>
      </c>
    </row>
    <row r="506" customFormat="false" ht="15" hidden="false" customHeight="true" outlineLevel="0" collapsed="false">
      <c r="A506" s="1" t="str">
        <f aca="false">IF(Brasil!C506="","",IFERROR(INDEX(Mercados!$C$2:$C$32,MATCH(Brasil!B506,Mercados!$A$2:$A$32,0)),"Revisar Tscode"))</f>
        <v/>
      </c>
      <c r="B506" s="1" t="str">
        <f aca="false">IF(Brasil!C506="","",Brasil!C506)</f>
        <v/>
      </c>
      <c r="C506" s="1" t="str">
        <f aca="false">IF(Brasil!C506="","",Brasil!A506)</f>
        <v/>
      </c>
      <c r="D506" s="1" t="str">
        <f aca="false">IF(Brasil!C506="","",Brasil!E506)</f>
        <v/>
      </c>
      <c r="E506" s="1" t="str">
        <f aca="false">IF(Brasil!C506="","",Brasil!F506)</f>
        <v/>
      </c>
      <c r="F506" s="1" t="str">
        <f aca="false">IF(Brasil!C506="","",Brasil!D506)</f>
        <v/>
      </c>
      <c r="I506" s="1" t="str">
        <f aca="false">IF(Brasil!C506="","",Brasil!H506)</f>
        <v/>
      </c>
      <c r="J506" s="1" t="str">
        <f aca="false">IF(Brasil!C506="","",Brasil!D506*Brasil!H506)</f>
        <v/>
      </c>
      <c r="K506" s="1" t="str">
        <f aca="false">IF(Brasil!C506="","","BR")</f>
        <v/>
      </c>
      <c r="L506" s="1" t="str">
        <f aca="false">IF(Brasil!C506="","",IFERROR(INDEX(Gamma_Catalogo!$D$3:$D$1451,MATCH(Brasil!E506,Gamma_Catalogo!$A$3:$A$1451,0)),"Revisar Ip Code"))</f>
        <v/>
      </c>
      <c r="M506" s="1" t="str">
        <f aca="false">IF(Brasil!C506="","",IFERROR(INDEX(Gamma_Catalogo!$C$3:$C$1451,MATCH(Brasil!E506,Gamma_Catalogo!$A$3:$A$1451,0)),"Revisar Ip Code"))</f>
        <v/>
      </c>
      <c r="N506" s="1" t="str">
        <f aca="false">IF(Brasil!C506="","",IFERROR(INDEX(Gamma_Catalogo!$E$3:$E$1451,MATCH(Brasil!E506,Gamma_Catalogo!$A$3:$A$1451,0)),"Revisar Ip Code"))</f>
        <v/>
      </c>
      <c r="O506" s="1" t="str">
        <f aca="false">IF(Brasil!C506="","","Brasil")</f>
        <v/>
      </c>
    </row>
    <row r="507" customFormat="false" ht="15" hidden="false" customHeight="true" outlineLevel="0" collapsed="false">
      <c r="A507" s="1" t="str">
        <f aca="false">IF(Brasil!C507="","",IFERROR(INDEX(Mercados!$C$2:$C$32,MATCH(Brasil!B507,Mercados!$A$2:$A$32,0)),"Revisar Tscode"))</f>
        <v/>
      </c>
      <c r="B507" s="1" t="str">
        <f aca="false">IF(Brasil!C507="","",Brasil!C507)</f>
        <v/>
      </c>
      <c r="C507" s="1" t="str">
        <f aca="false">IF(Brasil!C507="","",Brasil!A507)</f>
        <v/>
      </c>
      <c r="D507" s="1" t="str">
        <f aca="false">IF(Brasil!C507="","",Brasil!E507)</f>
        <v/>
      </c>
      <c r="E507" s="1" t="str">
        <f aca="false">IF(Brasil!C507="","",Brasil!F507)</f>
        <v/>
      </c>
      <c r="F507" s="1" t="str">
        <f aca="false">IF(Brasil!C507="","",Brasil!D507)</f>
        <v/>
      </c>
      <c r="I507" s="1" t="str">
        <f aca="false">IF(Brasil!C507="","",Brasil!H507)</f>
        <v/>
      </c>
      <c r="J507" s="1" t="str">
        <f aca="false">IF(Brasil!C507="","",Brasil!D507*Brasil!H507)</f>
        <v/>
      </c>
      <c r="K507" s="1" t="str">
        <f aca="false">IF(Brasil!C507="","","BR")</f>
        <v/>
      </c>
      <c r="L507" s="1" t="str">
        <f aca="false">IF(Brasil!C507="","",IFERROR(INDEX(Gamma_Catalogo!$D$3:$D$1451,MATCH(Brasil!E507,Gamma_Catalogo!$A$3:$A$1451,0)),"Revisar Ip Code"))</f>
        <v/>
      </c>
      <c r="M507" s="1" t="str">
        <f aca="false">IF(Brasil!C507="","",IFERROR(INDEX(Gamma_Catalogo!$C$3:$C$1451,MATCH(Brasil!E507,Gamma_Catalogo!$A$3:$A$1451,0)),"Revisar Ip Code"))</f>
        <v/>
      </c>
      <c r="N507" s="1" t="str">
        <f aca="false">IF(Brasil!C507="","",IFERROR(INDEX(Gamma_Catalogo!$E$3:$E$1451,MATCH(Brasil!E507,Gamma_Catalogo!$A$3:$A$1451,0)),"Revisar Ip Code"))</f>
        <v/>
      </c>
      <c r="O507" s="1" t="str">
        <f aca="false">IF(Brasil!C507="","","Brasil")</f>
        <v/>
      </c>
    </row>
    <row r="508" customFormat="false" ht="15" hidden="false" customHeight="true" outlineLevel="0" collapsed="false">
      <c r="A508" s="1" t="str">
        <f aca="false">IF(Brasil!C508="","",IFERROR(INDEX(Mercados!$C$2:$C$32,MATCH(Brasil!B508,Mercados!$A$2:$A$32,0)),"Revisar Tscode"))</f>
        <v/>
      </c>
      <c r="B508" s="1" t="str">
        <f aca="false">IF(Brasil!C508="","",Brasil!C508)</f>
        <v/>
      </c>
      <c r="C508" s="1" t="str">
        <f aca="false">IF(Brasil!C508="","",Brasil!A508)</f>
        <v/>
      </c>
      <c r="D508" s="1" t="str">
        <f aca="false">IF(Brasil!C508="","",Brasil!E508)</f>
        <v/>
      </c>
      <c r="E508" s="1" t="str">
        <f aca="false">IF(Brasil!C508="","",Brasil!F508)</f>
        <v/>
      </c>
      <c r="F508" s="1" t="str">
        <f aca="false">IF(Brasil!C508="","",Brasil!D508)</f>
        <v/>
      </c>
      <c r="I508" s="1" t="str">
        <f aca="false">IF(Brasil!C508="","",Brasil!H508)</f>
        <v/>
      </c>
      <c r="J508" s="1" t="str">
        <f aca="false">IF(Brasil!C508="","",Brasil!D508*Brasil!H508)</f>
        <v/>
      </c>
      <c r="K508" s="1" t="str">
        <f aca="false">IF(Brasil!C508="","","BR")</f>
        <v/>
      </c>
      <c r="L508" s="1" t="str">
        <f aca="false">IF(Brasil!C508="","",IFERROR(INDEX(Gamma_Catalogo!$D$3:$D$1451,MATCH(Brasil!E508,Gamma_Catalogo!$A$3:$A$1451,0)),"Revisar Ip Code"))</f>
        <v/>
      </c>
      <c r="M508" s="1" t="str">
        <f aca="false">IF(Brasil!C508="","",IFERROR(INDEX(Gamma_Catalogo!$C$3:$C$1451,MATCH(Brasil!E508,Gamma_Catalogo!$A$3:$A$1451,0)),"Revisar Ip Code"))</f>
        <v/>
      </c>
      <c r="N508" s="1" t="str">
        <f aca="false">IF(Brasil!C508="","",IFERROR(INDEX(Gamma_Catalogo!$E$3:$E$1451,MATCH(Brasil!E508,Gamma_Catalogo!$A$3:$A$1451,0)),"Revisar Ip Code"))</f>
        <v/>
      </c>
      <c r="O508" s="1" t="str">
        <f aca="false">IF(Brasil!C508="","","Brasil")</f>
        <v/>
      </c>
    </row>
    <row r="509" customFormat="false" ht="15" hidden="false" customHeight="true" outlineLevel="0" collapsed="false">
      <c r="A509" s="1" t="str">
        <f aca="false">IF(Brasil!C509="","",IFERROR(INDEX(Mercados!$C$2:$C$32,MATCH(Brasil!B509,Mercados!$A$2:$A$32,0)),"Revisar Tscode"))</f>
        <v/>
      </c>
      <c r="B509" s="1" t="str">
        <f aca="false">IF(Brasil!C509="","",Brasil!C509)</f>
        <v/>
      </c>
      <c r="C509" s="1" t="str">
        <f aca="false">IF(Brasil!C509="","",Brasil!A509)</f>
        <v/>
      </c>
      <c r="D509" s="1" t="str">
        <f aca="false">IF(Brasil!C509="","",Brasil!E509)</f>
        <v/>
      </c>
      <c r="E509" s="1" t="str">
        <f aca="false">IF(Brasil!C509="","",Brasil!F509)</f>
        <v/>
      </c>
      <c r="F509" s="1" t="str">
        <f aca="false">IF(Brasil!C509="","",Brasil!D509)</f>
        <v/>
      </c>
      <c r="I509" s="1" t="str">
        <f aca="false">IF(Brasil!C509="","",Brasil!H509)</f>
        <v/>
      </c>
      <c r="J509" s="1" t="str">
        <f aca="false">IF(Brasil!C509="","",Brasil!D509*Brasil!H509)</f>
        <v/>
      </c>
      <c r="K509" s="1" t="str">
        <f aca="false">IF(Brasil!C509="","","BR")</f>
        <v/>
      </c>
      <c r="L509" s="1" t="str">
        <f aca="false">IF(Brasil!C509="","",IFERROR(INDEX(Gamma_Catalogo!$D$3:$D$1451,MATCH(Brasil!E509,Gamma_Catalogo!$A$3:$A$1451,0)),"Revisar Ip Code"))</f>
        <v/>
      </c>
      <c r="M509" s="1" t="str">
        <f aca="false">IF(Brasil!C509="","",IFERROR(INDEX(Gamma_Catalogo!$C$3:$C$1451,MATCH(Brasil!E509,Gamma_Catalogo!$A$3:$A$1451,0)),"Revisar Ip Code"))</f>
        <v/>
      </c>
      <c r="N509" s="1" t="str">
        <f aca="false">IF(Brasil!C509="","",IFERROR(INDEX(Gamma_Catalogo!$E$3:$E$1451,MATCH(Brasil!E509,Gamma_Catalogo!$A$3:$A$1451,0)),"Revisar Ip Code"))</f>
        <v/>
      </c>
      <c r="O509" s="1" t="str">
        <f aca="false">IF(Brasil!C509="","","Brasil")</f>
        <v/>
      </c>
    </row>
    <row r="510" customFormat="false" ht="15" hidden="false" customHeight="true" outlineLevel="0" collapsed="false">
      <c r="A510" s="1" t="str">
        <f aca="false">IF(Brasil!C510="","",IFERROR(INDEX(Mercados!$C$2:$C$32,MATCH(Brasil!B510,Mercados!$A$2:$A$32,0)),"Revisar Tscode"))</f>
        <v/>
      </c>
      <c r="B510" s="1" t="str">
        <f aca="false">IF(Brasil!C510="","",Brasil!C510)</f>
        <v/>
      </c>
      <c r="C510" s="1" t="str">
        <f aca="false">IF(Brasil!C510="","",Brasil!A510)</f>
        <v/>
      </c>
      <c r="D510" s="1" t="str">
        <f aca="false">IF(Brasil!C510="","",Brasil!E510)</f>
        <v/>
      </c>
      <c r="E510" s="1" t="str">
        <f aca="false">IF(Brasil!C510="","",Brasil!F510)</f>
        <v/>
      </c>
      <c r="F510" s="1" t="str">
        <f aca="false">IF(Brasil!C510="","",Brasil!D510)</f>
        <v/>
      </c>
      <c r="I510" s="1" t="str">
        <f aca="false">IF(Brasil!C510="","",Brasil!H510)</f>
        <v/>
      </c>
      <c r="J510" s="1" t="str">
        <f aca="false">IF(Brasil!C510="","",Brasil!D510*Brasil!H510)</f>
        <v/>
      </c>
      <c r="K510" s="1" t="str">
        <f aca="false">IF(Brasil!C510="","","BR")</f>
        <v/>
      </c>
      <c r="L510" s="1" t="str">
        <f aca="false">IF(Brasil!C510="","",IFERROR(INDEX(Gamma_Catalogo!$D$3:$D$1451,MATCH(Brasil!E510,Gamma_Catalogo!$A$3:$A$1451,0)),"Revisar Ip Code"))</f>
        <v/>
      </c>
      <c r="M510" s="1" t="str">
        <f aca="false">IF(Brasil!C510="","",IFERROR(INDEX(Gamma_Catalogo!$C$3:$C$1451,MATCH(Brasil!E510,Gamma_Catalogo!$A$3:$A$1451,0)),"Revisar Ip Code"))</f>
        <v/>
      </c>
      <c r="N510" s="1" t="str">
        <f aca="false">IF(Brasil!C510="","",IFERROR(INDEX(Gamma_Catalogo!$E$3:$E$1451,MATCH(Brasil!E510,Gamma_Catalogo!$A$3:$A$1451,0)),"Revisar Ip Code"))</f>
        <v/>
      </c>
      <c r="O510" s="1" t="str">
        <f aca="false">IF(Brasil!C510="","","Brasil")</f>
        <v/>
      </c>
    </row>
    <row r="511" customFormat="false" ht="15" hidden="false" customHeight="true" outlineLevel="0" collapsed="false">
      <c r="A511" s="1" t="str">
        <f aca="false">IF(Brasil!C511="","",IFERROR(INDEX(Mercados!$C$2:$C$32,MATCH(Brasil!B511,Mercados!$A$2:$A$32,0)),"Revisar Tscode"))</f>
        <v/>
      </c>
      <c r="B511" s="1" t="str">
        <f aca="false">IF(Brasil!C511="","",Brasil!C511)</f>
        <v/>
      </c>
      <c r="C511" s="1" t="str">
        <f aca="false">IF(Brasil!C511="","",Brasil!A511)</f>
        <v/>
      </c>
      <c r="D511" s="1" t="str">
        <f aca="false">IF(Brasil!C511="","",Brasil!E511)</f>
        <v/>
      </c>
      <c r="E511" s="1" t="str">
        <f aca="false">IF(Brasil!C511="","",Brasil!F511)</f>
        <v/>
      </c>
      <c r="F511" s="1" t="str">
        <f aca="false">IF(Brasil!C511="","",Brasil!D511)</f>
        <v/>
      </c>
      <c r="I511" s="1" t="str">
        <f aca="false">IF(Brasil!C511="","",Brasil!H511)</f>
        <v/>
      </c>
      <c r="J511" s="1" t="str">
        <f aca="false">IF(Brasil!C511="","",Brasil!D511*Brasil!H511)</f>
        <v/>
      </c>
      <c r="K511" s="1" t="str">
        <f aca="false">IF(Brasil!C511="","","BR")</f>
        <v/>
      </c>
      <c r="L511" s="1" t="str">
        <f aca="false">IF(Brasil!C511="","",IFERROR(INDEX(Gamma_Catalogo!$D$3:$D$1451,MATCH(Brasil!E511,Gamma_Catalogo!$A$3:$A$1451,0)),"Revisar Ip Code"))</f>
        <v/>
      </c>
      <c r="M511" s="1" t="str">
        <f aca="false">IF(Brasil!C511="","",IFERROR(INDEX(Gamma_Catalogo!$C$3:$C$1451,MATCH(Brasil!E511,Gamma_Catalogo!$A$3:$A$1451,0)),"Revisar Ip Code"))</f>
        <v/>
      </c>
      <c r="N511" s="1" t="str">
        <f aca="false">IF(Brasil!C511="","",IFERROR(INDEX(Gamma_Catalogo!$E$3:$E$1451,MATCH(Brasil!E511,Gamma_Catalogo!$A$3:$A$1451,0)),"Revisar Ip Code"))</f>
        <v/>
      </c>
      <c r="O511" s="1" t="str">
        <f aca="false">IF(Brasil!C511="","","Brasil")</f>
        <v/>
      </c>
    </row>
    <row r="512" customFormat="false" ht="15" hidden="false" customHeight="true" outlineLevel="0" collapsed="false">
      <c r="A512" s="1" t="str">
        <f aca="false">IF(Brasil!C512="","",IFERROR(INDEX(Mercados!$C$2:$C$32,MATCH(Brasil!B512,Mercados!$A$2:$A$32,0)),"Revisar Tscode"))</f>
        <v/>
      </c>
      <c r="B512" s="1" t="str">
        <f aca="false">IF(Brasil!C512="","",Brasil!C512)</f>
        <v/>
      </c>
      <c r="C512" s="1" t="str">
        <f aca="false">IF(Brasil!C512="","",Brasil!A512)</f>
        <v/>
      </c>
      <c r="D512" s="1" t="str">
        <f aca="false">IF(Brasil!C512="","",Brasil!E512)</f>
        <v/>
      </c>
      <c r="E512" s="1" t="str">
        <f aca="false">IF(Brasil!C512="","",Brasil!F512)</f>
        <v/>
      </c>
      <c r="F512" s="1" t="str">
        <f aca="false">IF(Brasil!C512="","",Brasil!D512)</f>
        <v/>
      </c>
      <c r="I512" s="1" t="str">
        <f aca="false">IF(Brasil!C512="","",Brasil!H512)</f>
        <v/>
      </c>
      <c r="J512" s="1" t="str">
        <f aca="false">IF(Brasil!C512="","",Brasil!D512*Brasil!H512)</f>
        <v/>
      </c>
      <c r="K512" s="1" t="str">
        <f aca="false">IF(Brasil!C512="","","BR")</f>
        <v/>
      </c>
      <c r="L512" s="1" t="str">
        <f aca="false">IF(Brasil!C512="","",IFERROR(INDEX(Gamma_Catalogo!$D$3:$D$1451,MATCH(Brasil!E512,Gamma_Catalogo!$A$3:$A$1451,0)),"Revisar Ip Code"))</f>
        <v/>
      </c>
      <c r="M512" s="1" t="str">
        <f aca="false">IF(Brasil!C512="","",IFERROR(INDEX(Gamma_Catalogo!$C$3:$C$1451,MATCH(Brasil!E512,Gamma_Catalogo!$A$3:$A$1451,0)),"Revisar Ip Code"))</f>
        <v/>
      </c>
      <c r="N512" s="1" t="str">
        <f aca="false">IF(Brasil!C512="","",IFERROR(INDEX(Gamma_Catalogo!$E$3:$E$1451,MATCH(Brasil!E512,Gamma_Catalogo!$A$3:$A$1451,0)),"Revisar Ip Code"))</f>
        <v/>
      </c>
      <c r="O512" s="1" t="str">
        <f aca="false">IF(Brasil!C512="","","Brasil")</f>
        <v/>
      </c>
    </row>
    <row r="513" customFormat="false" ht="15" hidden="false" customHeight="true" outlineLevel="0" collapsed="false">
      <c r="A513" s="1" t="str">
        <f aca="false">IF(Brasil!C513="","",IFERROR(INDEX(Mercados!$C$2:$C$32,MATCH(Brasil!B513,Mercados!$A$2:$A$32,0)),"Revisar Tscode"))</f>
        <v/>
      </c>
      <c r="B513" s="1" t="str">
        <f aca="false">IF(Brasil!C513="","",Brasil!C513)</f>
        <v/>
      </c>
      <c r="C513" s="1" t="str">
        <f aca="false">IF(Brasil!C513="","",Brasil!A513)</f>
        <v/>
      </c>
      <c r="D513" s="1" t="str">
        <f aca="false">IF(Brasil!C513="","",Brasil!E513)</f>
        <v/>
      </c>
      <c r="E513" s="1" t="str">
        <f aca="false">IF(Brasil!C513="","",Brasil!F513)</f>
        <v/>
      </c>
      <c r="F513" s="1" t="str">
        <f aca="false">IF(Brasil!C513="","",Brasil!D513)</f>
        <v/>
      </c>
      <c r="I513" s="1" t="str">
        <f aca="false">IF(Brasil!C513="","",Brasil!H513)</f>
        <v/>
      </c>
      <c r="J513" s="1" t="str">
        <f aca="false">IF(Brasil!C513="","",Brasil!D513*Brasil!H513)</f>
        <v/>
      </c>
      <c r="K513" s="1" t="str">
        <f aca="false">IF(Brasil!C513="","","BR")</f>
        <v/>
      </c>
      <c r="L513" s="1" t="str">
        <f aca="false">IF(Brasil!C513="","",IFERROR(INDEX(Gamma_Catalogo!$D$3:$D$1451,MATCH(Brasil!E513,Gamma_Catalogo!$A$3:$A$1451,0)),"Revisar Ip Code"))</f>
        <v/>
      </c>
      <c r="M513" s="1" t="str">
        <f aca="false">IF(Brasil!C513="","",IFERROR(INDEX(Gamma_Catalogo!$C$3:$C$1451,MATCH(Brasil!E513,Gamma_Catalogo!$A$3:$A$1451,0)),"Revisar Ip Code"))</f>
        <v/>
      </c>
      <c r="N513" s="1" t="str">
        <f aca="false">IF(Brasil!C513="","",IFERROR(INDEX(Gamma_Catalogo!$E$3:$E$1451,MATCH(Brasil!E513,Gamma_Catalogo!$A$3:$A$1451,0)),"Revisar Ip Code"))</f>
        <v/>
      </c>
      <c r="O513" s="1" t="str">
        <f aca="false">IF(Brasil!C513="","","Brasil")</f>
        <v/>
      </c>
    </row>
    <row r="514" customFormat="false" ht="15" hidden="false" customHeight="true" outlineLevel="0" collapsed="false">
      <c r="A514" s="1" t="str">
        <f aca="false">IF(Brasil!C514="","",IFERROR(INDEX(Mercados!$C$2:$C$32,MATCH(Brasil!B514,Mercados!$A$2:$A$32,0)),"Revisar Tscode"))</f>
        <v/>
      </c>
      <c r="B514" s="1" t="str">
        <f aca="false">IF(Brasil!C514="","",Brasil!C514)</f>
        <v/>
      </c>
      <c r="C514" s="1" t="str">
        <f aca="false">IF(Brasil!C514="","",Brasil!A514)</f>
        <v/>
      </c>
      <c r="D514" s="1" t="str">
        <f aca="false">IF(Brasil!C514="","",Brasil!E514)</f>
        <v/>
      </c>
      <c r="E514" s="1" t="str">
        <f aca="false">IF(Brasil!C514="","",Brasil!F514)</f>
        <v/>
      </c>
      <c r="F514" s="1" t="str">
        <f aca="false">IF(Brasil!C514="","",Brasil!D514)</f>
        <v/>
      </c>
      <c r="I514" s="1" t="str">
        <f aca="false">IF(Brasil!C514="","",Brasil!H514)</f>
        <v/>
      </c>
      <c r="J514" s="1" t="str">
        <f aca="false">IF(Brasil!C514="","",Brasil!D514*Brasil!H514)</f>
        <v/>
      </c>
      <c r="K514" s="1" t="str">
        <f aca="false">IF(Brasil!C514="","","BR")</f>
        <v/>
      </c>
      <c r="L514" s="1" t="str">
        <f aca="false">IF(Brasil!C514="","",IFERROR(INDEX(Gamma_Catalogo!$D$3:$D$1451,MATCH(Brasil!E514,Gamma_Catalogo!$A$3:$A$1451,0)),"Revisar Ip Code"))</f>
        <v/>
      </c>
      <c r="M514" s="1" t="str">
        <f aca="false">IF(Brasil!C514="","",IFERROR(INDEX(Gamma_Catalogo!$C$3:$C$1451,MATCH(Brasil!E514,Gamma_Catalogo!$A$3:$A$1451,0)),"Revisar Ip Code"))</f>
        <v/>
      </c>
      <c r="N514" s="1" t="str">
        <f aca="false">IF(Brasil!C514="","",IFERROR(INDEX(Gamma_Catalogo!$E$3:$E$1451,MATCH(Brasil!E514,Gamma_Catalogo!$A$3:$A$1451,0)),"Revisar Ip Code"))</f>
        <v/>
      </c>
      <c r="O514" s="1" t="str">
        <f aca="false">IF(Brasil!C514="","","Brasil")</f>
        <v/>
      </c>
    </row>
    <row r="515" customFormat="false" ht="15" hidden="false" customHeight="true" outlineLevel="0" collapsed="false">
      <c r="A515" s="1" t="str">
        <f aca="false">IF(Brasil!C515="","",IFERROR(INDEX(Mercados!$C$2:$C$32,MATCH(Brasil!B515,Mercados!$A$2:$A$32,0)),"Revisar Tscode"))</f>
        <v/>
      </c>
      <c r="B515" s="1" t="str">
        <f aca="false">IF(Brasil!C515="","",Brasil!C515)</f>
        <v/>
      </c>
      <c r="C515" s="1" t="str">
        <f aca="false">IF(Brasil!C515="","",Brasil!A515)</f>
        <v/>
      </c>
      <c r="D515" s="1" t="str">
        <f aca="false">IF(Brasil!C515="","",Brasil!E515)</f>
        <v/>
      </c>
      <c r="E515" s="1" t="str">
        <f aca="false">IF(Brasil!C515="","",Brasil!F515)</f>
        <v/>
      </c>
      <c r="F515" s="1" t="str">
        <f aca="false">IF(Brasil!C515="","",Brasil!D515)</f>
        <v/>
      </c>
      <c r="I515" s="1" t="str">
        <f aca="false">IF(Brasil!C515="","",Brasil!H515)</f>
        <v/>
      </c>
      <c r="J515" s="1" t="str">
        <f aca="false">IF(Brasil!C515="","",Brasil!D515*Brasil!H515)</f>
        <v/>
      </c>
      <c r="K515" s="1" t="str">
        <f aca="false">IF(Brasil!C515="","","BR")</f>
        <v/>
      </c>
      <c r="L515" s="1" t="str">
        <f aca="false">IF(Brasil!C515="","",IFERROR(INDEX(Gamma_Catalogo!$D$3:$D$1451,MATCH(Brasil!E515,Gamma_Catalogo!$A$3:$A$1451,0)),"Revisar Ip Code"))</f>
        <v/>
      </c>
      <c r="M515" s="1" t="str">
        <f aca="false">IF(Brasil!C515="","",IFERROR(INDEX(Gamma_Catalogo!$C$3:$C$1451,MATCH(Brasil!E515,Gamma_Catalogo!$A$3:$A$1451,0)),"Revisar Ip Code"))</f>
        <v/>
      </c>
      <c r="N515" s="1" t="str">
        <f aca="false">IF(Brasil!C515="","",IFERROR(INDEX(Gamma_Catalogo!$E$3:$E$1451,MATCH(Brasil!E515,Gamma_Catalogo!$A$3:$A$1451,0)),"Revisar Ip Code"))</f>
        <v/>
      </c>
      <c r="O515" s="1" t="str">
        <f aca="false">IF(Brasil!C515="","","Brasil")</f>
        <v/>
      </c>
    </row>
    <row r="516" customFormat="false" ht="15" hidden="false" customHeight="true" outlineLevel="0" collapsed="false">
      <c r="A516" s="1" t="str">
        <f aca="false">IF(Brasil!C516="","",IFERROR(INDEX(Mercados!$C$2:$C$32,MATCH(Brasil!B516,Mercados!$A$2:$A$32,0)),"Revisar Tscode"))</f>
        <v/>
      </c>
      <c r="B516" s="1" t="str">
        <f aca="false">IF(Brasil!C516="","",Brasil!C516)</f>
        <v/>
      </c>
      <c r="C516" s="1" t="str">
        <f aca="false">IF(Brasil!C516="","",Brasil!A516)</f>
        <v/>
      </c>
      <c r="D516" s="1" t="str">
        <f aca="false">IF(Brasil!C516="","",Brasil!E516)</f>
        <v/>
      </c>
      <c r="E516" s="1" t="str">
        <f aca="false">IF(Brasil!C516="","",Brasil!F516)</f>
        <v/>
      </c>
      <c r="F516" s="1" t="str">
        <f aca="false">IF(Brasil!C516="","",Brasil!D516)</f>
        <v/>
      </c>
      <c r="I516" s="1" t="str">
        <f aca="false">IF(Brasil!C516="","",Brasil!H516)</f>
        <v/>
      </c>
      <c r="J516" s="1" t="str">
        <f aca="false">IF(Brasil!C516="","",Brasil!D516*Brasil!H516)</f>
        <v/>
      </c>
      <c r="K516" s="1" t="str">
        <f aca="false">IF(Brasil!C516="","","BR")</f>
        <v/>
      </c>
      <c r="L516" s="1" t="str">
        <f aca="false">IF(Brasil!C516="","",IFERROR(INDEX(Gamma_Catalogo!$D$3:$D$1451,MATCH(Brasil!E516,Gamma_Catalogo!$A$3:$A$1451,0)),"Revisar Ip Code"))</f>
        <v/>
      </c>
      <c r="M516" s="1" t="str">
        <f aca="false">IF(Brasil!C516="","",IFERROR(INDEX(Gamma_Catalogo!$C$3:$C$1451,MATCH(Brasil!E516,Gamma_Catalogo!$A$3:$A$1451,0)),"Revisar Ip Code"))</f>
        <v/>
      </c>
      <c r="N516" s="1" t="str">
        <f aca="false">IF(Brasil!C516="","",IFERROR(INDEX(Gamma_Catalogo!$E$3:$E$1451,MATCH(Brasil!E516,Gamma_Catalogo!$A$3:$A$1451,0)),"Revisar Ip Code"))</f>
        <v/>
      </c>
      <c r="O516" s="1" t="str">
        <f aca="false">IF(Brasil!C516="","","Brasil")</f>
        <v/>
      </c>
    </row>
    <row r="517" customFormat="false" ht="15" hidden="false" customHeight="true" outlineLevel="0" collapsed="false">
      <c r="A517" s="1" t="str">
        <f aca="false">IF(Brasil!C517="","",IFERROR(INDEX(Mercados!$C$2:$C$32,MATCH(Brasil!B517,Mercados!$A$2:$A$32,0)),"Revisar Tscode"))</f>
        <v/>
      </c>
      <c r="B517" s="1" t="str">
        <f aca="false">IF(Brasil!C517="","",Brasil!C517)</f>
        <v/>
      </c>
      <c r="C517" s="1" t="str">
        <f aca="false">IF(Brasil!C517="","",Brasil!A517)</f>
        <v/>
      </c>
      <c r="D517" s="1" t="str">
        <f aca="false">IF(Brasil!C517="","",Brasil!E517)</f>
        <v/>
      </c>
      <c r="E517" s="1" t="str">
        <f aca="false">IF(Brasil!C517="","",Brasil!F517)</f>
        <v/>
      </c>
      <c r="F517" s="1" t="str">
        <f aca="false">IF(Brasil!C517="","",Brasil!D517)</f>
        <v/>
      </c>
      <c r="I517" s="1" t="str">
        <f aca="false">IF(Brasil!C517="","",Brasil!H517)</f>
        <v/>
      </c>
      <c r="J517" s="1" t="str">
        <f aca="false">IF(Brasil!C517="","",Brasil!D517*Brasil!H517)</f>
        <v/>
      </c>
      <c r="K517" s="1" t="str">
        <f aca="false">IF(Brasil!C517="","","BR")</f>
        <v/>
      </c>
      <c r="L517" s="1" t="str">
        <f aca="false">IF(Brasil!C517="","",IFERROR(INDEX(Gamma_Catalogo!$D$3:$D$1451,MATCH(Brasil!E517,Gamma_Catalogo!$A$3:$A$1451,0)),"Revisar Ip Code"))</f>
        <v/>
      </c>
      <c r="M517" s="1" t="str">
        <f aca="false">IF(Brasil!C517="","",IFERROR(INDEX(Gamma_Catalogo!$C$3:$C$1451,MATCH(Brasil!E517,Gamma_Catalogo!$A$3:$A$1451,0)),"Revisar Ip Code"))</f>
        <v/>
      </c>
      <c r="N517" s="1" t="str">
        <f aca="false">IF(Brasil!C517="","",IFERROR(INDEX(Gamma_Catalogo!$E$3:$E$1451,MATCH(Brasil!E517,Gamma_Catalogo!$A$3:$A$1451,0)),"Revisar Ip Code"))</f>
        <v/>
      </c>
      <c r="O517" s="1" t="str">
        <f aca="false">IF(Brasil!C517="","","Brasil")</f>
        <v/>
      </c>
    </row>
    <row r="518" customFormat="false" ht="15" hidden="false" customHeight="true" outlineLevel="0" collapsed="false">
      <c r="A518" s="1" t="str">
        <f aca="false">IF(Brasil!C518="","",IFERROR(INDEX(Mercados!$C$2:$C$32,MATCH(Brasil!B518,Mercados!$A$2:$A$32,0)),"Revisar Tscode"))</f>
        <v/>
      </c>
      <c r="B518" s="1" t="str">
        <f aca="false">IF(Brasil!C518="","",Brasil!C518)</f>
        <v/>
      </c>
      <c r="C518" s="1" t="str">
        <f aca="false">IF(Brasil!C518="","",Brasil!A518)</f>
        <v/>
      </c>
      <c r="D518" s="1" t="str">
        <f aca="false">IF(Brasil!C518="","",Brasil!E518)</f>
        <v/>
      </c>
      <c r="E518" s="1" t="str">
        <f aca="false">IF(Brasil!C518="","",Brasil!F518)</f>
        <v/>
      </c>
      <c r="F518" s="1" t="str">
        <f aca="false">IF(Brasil!C518="","",Brasil!D518)</f>
        <v/>
      </c>
      <c r="I518" s="1" t="str">
        <f aca="false">IF(Brasil!C518="","",Brasil!H518)</f>
        <v/>
      </c>
      <c r="J518" s="1" t="str">
        <f aca="false">IF(Brasil!C518="","",Brasil!D518*Brasil!H518)</f>
        <v/>
      </c>
      <c r="K518" s="1" t="str">
        <f aca="false">IF(Brasil!C518="","","BR")</f>
        <v/>
      </c>
      <c r="L518" s="1" t="str">
        <f aca="false">IF(Brasil!C518="","",IFERROR(INDEX(Gamma_Catalogo!$D$3:$D$1451,MATCH(Brasil!E518,Gamma_Catalogo!$A$3:$A$1451,0)),"Revisar Ip Code"))</f>
        <v/>
      </c>
      <c r="M518" s="1" t="str">
        <f aca="false">IF(Brasil!C518="","",IFERROR(INDEX(Gamma_Catalogo!$C$3:$C$1451,MATCH(Brasil!E518,Gamma_Catalogo!$A$3:$A$1451,0)),"Revisar Ip Code"))</f>
        <v/>
      </c>
      <c r="N518" s="1" t="str">
        <f aca="false">IF(Brasil!C518="","",IFERROR(INDEX(Gamma_Catalogo!$E$3:$E$1451,MATCH(Brasil!E518,Gamma_Catalogo!$A$3:$A$1451,0)),"Revisar Ip Code"))</f>
        <v/>
      </c>
      <c r="O518" s="1" t="str">
        <f aca="false">IF(Brasil!C518="","","Brasil")</f>
        <v/>
      </c>
    </row>
    <row r="519" customFormat="false" ht="15" hidden="false" customHeight="true" outlineLevel="0" collapsed="false">
      <c r="A519" s="1" t="str">
        <f aca="false">IF(Brasil!C519="","",IFERROR(INDEX(Mercados!$C$2:$C$32,MATCH(Brasil!B519,Mercados!$A$2:$A$32,0)),"Revisar Tscode"))</f>
        <v/>
      </c>
      <c r="B519" s="1" t="str">
        <f aca="false">IF(Brasil!C519="","",Brasil!C519)</f>
        <v/>
      </c>
      <c r="C519" s="1" t="str">
        <f aca="false">IF(Brasil!C519="","",Brasil!A519)</f>
        <v/>
      </c>
      <c r="D519" s="1" t="str">
        <f aca="false">IF(Brasil!C519="","",Brasil!E519)</f>
        <v/>
      </c>
      <c r="E519" s="1" t="str">
        <f aca="false">IF(Brasil!C519="","",Brasil!F519)</f>
        <v/>
      </c>
      <c r="F519" s="1" t="str">
        <f aca="false">IF(Brasil!C519="","",Brasil!D519)</f>
        <v/>
      </c>
      <c r="I519" s="1" t="str">
        <f aca="false">IF(Brasil!C519="","",Brasil!H519)</f>
        <v/>
      </c>
      <c r="J519" s="1" t="str">
        <f aca="false">IF(Brasil!C519="","",Brasil!D519*Brasil!H519)</f>
        <v/>
      </c>
      <c r="K519" s="1" t="str">
        <f aca="false">IF(Brasil!C519="","","BR")</f>
        <v/>
      </c>
      <c r="L519" s="1" t="str">
        <f aca="false">IF(Brasil!C519="","",IFERROR(INDEX(Gamma_Catalogo!$D$3:$D$1451,MATCH(Brasil!E519,Gamma_Catalogo!$A$3:$A$1451,0)),"Revisar Ip Code"))</f>
        <v/>
      </c>
      <c r="M519" s="1" t="str">
        <f aca="false">IF(Brasil!C519="","",IFERROR(INDEX(Gamma_Catalogo!$C$3:$C$1451,MATCH(Brasil!E519,Gamma_Catalogo!$A$3:$A$1451,0)),"Revisar Ip Code"))</f>
        <v/>
      </c>
      <c r="N519" s="1" t="str">
        <f aca="false">IF(Brasil!C519="","",IFERROR(INDEX(Gamma_Catalogo!$E$3:$E$1451,MATCH(Brasil!E519,Gamma_Catalogo!$A$3:$A$1451,0)),"Revisar Ip Code"))</f>
        <v/>
      </c>
      <c r="O519" s="1" t="str">
        <f aca="false">IF(Brasil!C519="","","Brasil")</f>
        <v/>
      </c>
    </row>
    <row r="520" customFormat="false" ht="15" hidden="false" customHeight="true" outlineLevel="0" collapsed="false">
      <c r="A520" s="1" t="str">
        <f aca="false">IF(Brasil!C520="","",IFERROR(INDEX(Mercados!$C$2:$C$32,MATCH(Brasil!B520,Mercados!$A$2:$A$32,0)),"Revisar Tscode"))</f>
        <v/>
      </c>
      <c r="B520" s="1" t="str">
        <f aca="false">IF(Brasil!C520="","",Brasil!C520)</f>
        <v/>
      </c>
      <c r="C520" s="1" t="str">
        <f aca="false">IF(Brasil!C520="","",Brasil!A520)</f>
        <v/>
      </c>
      <c r="D520" s="1" t="str">
        <f aca="false">IF(Brasil!C520="","",Brasil!E520)</f>
        <v/>
      </c>
      <c r="E520" s="1" t="str">
        <f aca="false">IF(Brasil!C520="","",Brasil!F520)</f>
        <v/>
      </c>
      <c r="F520" s="1" t="str">
        <f aca="false">IF(Brasil!C520="","",Brasil!D520)</f>
        <v/>
      </c>
      <c r="I520" s="1" t="str">
        <f aca="false">IF(Brasil!C520="","",Brasil!H520)</f>
        <v/>
      </c>
      <c r="J520" s="1" t="str">
        <f aca="false">IF(Brasil!C520="","",Brasil!D520*Brasil!H520)</f>
        <v/>
      </c>
      <c r="K520" s="1" t="str">
        <f aca="false">IF(Brasil!C520="","","BR")</f>
        <v/>
      </c>
      <c r="L520" s="1" t="str">
        <f aca="false">IF(Brasil!C520="","",IFERROR(INDEX(Gamma_Catalogo!$D$3:$D$1451,MATCH(Brasil!E520,Gamma_Catalogo!$A$3:$A$1451,0)),"Revisar Ip Code"))</f>
        <v/>
      </c>
      <c r="M520" s="1" t="str">
        <f aca="false">IF(Brasil!C520="","",IFERROR(INDEX(Gamma_Catalogo!$C$3:$C$1451,MATCH(Brasil!E520,Gamma_Catalogo!$A$3:$A$1451,0)),"Revisar Ip Code"))</f>
        <v/>
      </c>
      <c r="N520" s="1" t="str">
        <f aca="false">IF(Brasil!C520="","",IFERROR(INDEX(Gamma_Catalogo!$E$3:$E$1451,MATCH(Brasil!E520,Gamma_Catalogo!$A$3:$A$1451,0)),"Revisar Ip Code"))</f>
        <v/>
      </c>
      <c r="O520" s="1" t="str">
        <f aca="false">IF(Brasil!C520="","","Brasil")</f>
        <v/>
      </c>
    </row>
    <row r="521" customFormat="false" ht="15" hidden="false" customHeight="true" outlineLevel="0" collapsed="false">
      <c r="A521" s="1" t="str">
        <f aca="false">IF(Brasil!C521="","",IFERROR(INDEX(Mercados!$C$2:$C$32,MATCH(Brasil!B521,Mercados!$A$2:$A$32,0)),"Revisar Tscode"))</f>
        <v/>
      </c>
      <c r="B521" s="1" t="str">
        <f aca="false">IF(Brasil!C521="","",Brasil!C521)</f>
        <v/>
      </c>
      <c r="C521" s="1" t="str">
        <f aca="false">IF(Brasil!C521="","",Brasil!A521)</f>
        <v/>
      </c>
      <c r="D521" s="1" t="str">
        <f aca="false">IF(Brasil!C521="","",Brasil!E521)</f>
        <v/>
      </c>
      <c r="E521" s="1" t="str">
        <f aca="false">IF(Brasil!C521="","",Brasil!F521)</f>
        <v/>
      </c>
      <c r="F521" s="1" t="str">
        <f aca="false">IF(Brasil!C521="","",Brasil!D521)</f>
        <v/>
      </c>
      <c r="I521" s="1" t="str">
        <f aca="false">IF(Brasil!C521="","",Brasil!H521)</f>
        <v/>
      </c>
      <c r="J521" s="1" t="str">
        <f aca="false">IF(Brasil!C521="","",Brasil!D521*Brasil!H521)</f>
        <v/>
      </c>
      <c r="K521" s="1" t="str">
        <f aca="false">IF(Brasil!C521="","","BR")</f>
        <v/>
      </c>
      <c r="L521" s="1" t="str">
        <f aca="false">IF(Brasil!C521="","",IFERROR(INDEX(Gamma_Catalogo!$D$3:$D$1451,MATCH(Brasil!E521,Gamma_Catalogo!$A$3:$A$1451,0)),"Revisar Ip Code"))</f>
        <v/>
      </c>
      <c r="M521" s="1" t="str">
        <f aca="false">IF(Brasil!C521="","",IFERROR(INDEX(Gamma_Catalogo!$C$3:$C$1451,MATCH(Brasil!E521,Gamma_Catalogo!$A$3:$A$1451,0)),"Revisar Ip Code"))</f>
        <v/>
      </c>
      <c r="N521" s="1" t="str">
        <f aca="false">IF(Brasil!C521="","",IFERROR(INDEX(Gamma_Catalogo!$E$3:$E$1451,MATCH(Brasil!E521,Gamma_Catalogo!$A$3:$A$1451,0)),"Revisar Ip Code"))</f>
        <v/>
      </c>
      <c r="O521" s="1" t="str">
        <f aca="false">IF(Brasil!C521="","","Brasil")</f>
        <v/>
      </c>
    </row>
    <row r="522" customFormat="false" ht="15" hidden="false" customHeight="true" outlineLevel="0" collapsed="false">
      <c r="A522" s="1" t="str">
        <f aca="false">IF(Brasil!C522="","",IFERROR(INDEX(Mercados!$C$2:$C$32,MATCH(Brasil!B522,Mercados!$A$2:$A$32,0)),"Revisar Tscode"))</f>
        <v/>
      </c>
      <c r="B522" s="1" t="str">
        <f aca="false">IF(Brasil!C522="","",Brasil!C522)</f>
        <v/>
      </c>
      <c r="C522" s="1" t="str">
        <f aca="false">IF(Brasil!C522="","",Brasil!A522)</f>
        <v/>
      </c>
      <c r="D522" s="1" t="str">
        <f aca="false">IF(Brasil!C522="","",Brasil!E522)</f>
        <v/>
      </c>
      <c r="E522" s="1" t="str">
        <f aca="false">IF(Brasil!C522="","",Brasil!F522)</f>
        <v/>
      </c>
      <c r="F522" s="1" t="str">
        <f aca="false">IF(Brasil!C522="","",Brasil!D522)</f>
        <v/>
      </c>
      <c r="I522" s="1" t="str">
        <f aca="false">IF(Brasil!C522="","",Brasil!H522)</f>
        <v/>
      </c>
      <c r="J522" s="1" t="str">
        <f aca="false">IF(Brasil!C522="","",Brasil!D522*Brasil!H522)</f>
        <v/>
      </c>
      <c r="K522" s="1" t="str">
        <f aca="false">IF(Brasil!C522="","","BR")</f>
        <v/>
      </c>
      <c r="L522" s="1" t="str">
        <f aca="false">IF(Brasil!C522="","",IFERROR(INDEX(Gamma_Catalogo!$D$3:$D$1451,MATCH(Brasil!E522,Gamma_Catalogo!$A$3:$A$1451,0)),"Revisar Ip Code"))</f>
        <v/>
      </c>
      <c r="M522" s="1" t="str">
        <f aca="false">IF(Brasil!C522="","",IFERROR(INDEX(Gamma_Catalogo!$C$3:$C$1451,MATCH(Brasil!E522,Gamma_Catalogo!$A$3:$A$1451,0)),"Revisar Ip Code"))</f>
        <v/>
      </c>
      <c r="N522" s="1" t="str">
        <f aca="false">IF(Brasil!C522="","",IFERROR(INDEX(Gamma_Catalogo!$E$3:$E$1451,MATCH(Brasil!E522,Gamma_Catalogo!$A$3:$A$1451,0)),"Revisar Ip Code"))</f>
        <v/>
      </c>
      <c r="O522" s="1" t="str">
        <f aca="false">IF(Brasil!C522="","","Brasil")</f>
        <v/>
      </c>
    </row>
    <row r="523" customFormat="false" ht="15" hidden="false" customHeight="true" outlineLevel="0" collapsed="false">
      <c r="A523" s="1" t="str">
        <f aca="false">IF(Brasil!C523="","",IFERROR(INDEX(Mercados!$C$2:$C$32,MATCH(Brasil!B523,Mercados!$A$2:$A$32,0)),"Revisar Tscode"))</f>
        <v/>
      </c>
      <c r="B523" s="1" t="str">
        <f aca="false">IF(Brasil!C523="","",Brasil!C523)</f>
        <v/>
      </c>
      <c r="C523" s="1" t="str">
        <f aca="false">IF(Brasil!C523="","",Brasil!A523)</f>
        <v/>
      </c>
      <c r="D523" s="1" t="str">
        <f aca="false">IF(Brasil!C523="","",Brasil!E523)</f>
        <v/>
      </c>
      <c r="E523" s="1" t="str">
        <f aca="false">IF(Brasil!C523="","",Brasil!F523)</f>
        <v/>
      </c>
      <c r="F523" s="1" t="str">
        <f aca="false">IF(Brasil!C523="","",Brasil!D523)</f>
        <v/>
      </c>
      <c r="I523" s="1" t="str">
        <f aca="false">IF(Brasil!C523="","",Brasil!H523)</f>
        <v/>
      </c>
      <c r="J523" s="1" t="str">
        <f aca="false">IF(Brasil!C523="","",Brasil!D523*Brasil!H523)</f>
        <v/>
      </c>
      <c r="K523" s="1" t="str">
        <f aca="false">IF(Brasil!C523="","","BR")</f>
        <v/>
      </c>
      <c r="L523" s="1" t="str">
        <f aca="false">IF(Brasil!C523="","",IFERROR(INDEX(Gamma_Catalogo!$D$3:$D$1451,MATCH(Brasil!E523,Gamma_Catalogo!$A$3:$A$1451,0)),"Revisar Ip Code"))</f>
        <v/>
      </c>
      <c r="M523" s="1" t="str">
        <f aca="false">IF(Brasil!C523="","",IFERROR(INDEX(Gamma_Catalogo!$C$3:$C$1451,MATCH(Brasil!E523,Gamma_Catalogo!$A$3:$A$1451,0)),"Revisar Ip Code"))</f>
        <v/>
      </c>
      <c r="N523" s="1" t="str">
        <f aca="false">IF(Brasil!C523="","",IFERROR(INDEX(Gamma_Catalogo!$E$3:$E$1451,MATCH(Brasil!E523,Gamma_Catalogo!$A$3:$A$1451,0)),"Revisar Ip Code"))</f>
        <v/>
      </c>
      <c r="O523" s="1" t="str">
        <f aca="false">IF(Brasil!C523="","","Brasil")</f>
        <v/>
      </c>
    </row>
    <row r="524" customFormat="false" ht="15" hidden="false" customHeight="true" outlineLevel="0" collapsed="false">
      <c r="A524" s="1" t="str">
        <f aca="false">IF(Brasil!C524="","",IFERROR(INDEX(Mercados!$C$2:$C$32,MATCH(Brasil!B524,Mercados!$A$2:$A$32,0)),"Revisar Tscode"))</f>
        <v/>
      </c>
      <c r="B524" s="1" t="str">
        <f aca="false">IF(Brasil!C524="","",Brasil!C524)</f>
        <v/>
      </c>
      <c r="C524" s="1" t="str">
        <f aca="false">IF(Brasil!C524="","",Brasil!A524)</f>
        <v/>
      </c>
      <c r="D524" s="1" t="str">
        <f aca="false">IF(Brasil!C524="","",Brasil!E524)</f>
        <v/>
      </c>
      <c r="E524" s="1" t="str">
        <f aca="false">IF(Brasil!C524="","",Brasil!F524)</f>
        <v/>
      </c>
      <c r="F524" s="1" t="str">
        <f aca="false">IF(Brasil!C524="","",Brasil!D524)</f>
        <v/>
      </c>
      <c r="I524" s="1" t="str">
        <f aca="false">IF(Brasil!C524="","",Brasil!H524)</f>
        <v/>
      </c>
      <c r="J524" s="1" t="str">
        <f aca="false">IF(Brasil!C524="","",Brasil!D524*Brasil!H524)</f>
        <v/>
      </c>
      <c r="K524" s="1" t="str">
        <f aca="false">IF(Brasil!C524="","","BR")</f>
        <v/>
      </c>
      <c r="L524" s="1" t="str">
        <f aca="false">IF(Brasil!C524="","",IFERROR(INDEX(Gamma_Catalogo!$D$3:$D$1451,MATCH(Brasil!E524,Gamma_Catalogo!$A$3:$A$1451,0)),"Revisar Ip Code"))</f>
        <v/>
      </c>
      <c r="M524" s="1" t="str">
        <f aca="false">IF(Brasil!C524="","",IFERROR(INDEX(Gamma_Catalogo!$C$3:$C$1451,MATCH(Brasil!E524,Gamma_Catalogo!$A$3:$A$1451,0)),"Revisar Ip Code"))</f>
        <v/>
      </c>
      <c r="N524" s="1" t="str">
        <f aca="false">IF(Brasil!C524="","",IFERROR(INDEX(Gamma_Catalogo!$E$3:$E$1451,MATCH(Brasil!E524,Gamma_Catalogo!$A$3:$A$1451,0)),"Revisar Ip Code"))</f>
        <v/>
      </c>
      <c r="O524" s="1" t="str">
        <f aca="false">IF(Brasil!C524="","","Brasil")</f>
        <v/>
      </c>
    </row>
    <row r="525" customFormat="false" ht="15" hidden="false" customHeight="true" outlineLevel="0" collapsed="false">
      <c r="A525" s="1" t="str">
        <f aca="false">IF(Brasil!C525="","",IFERROR(INDEX(Mercados!$C$2:$C$32,MATCH(Brasil!B525,Mercados!$A$2:$A$32,0)),"Revisar Tscode"))</f>
        <v/>
      </c>
      <c r="B525" s="1" t="str">
        <f aca="false">IF(Brasil!C525="","",Brasil!C525)</f>
        <v/>
      </c>
      <c r="C525" s="1" t="str">
        <f aca="false">IF(Brasil!C525="","",Brasil!A525)</f>
        <v/>
      </c>
      <c r="D525" s="1" t="str">
        <f aca="false">IF(Brasil!C525="","",Brasil!E525)</f>
        <v/>
      </c>
      <c r="E525" s="1" t="str">
        <f aca="false">IF(Brasil!C525="","",Brasil!F525)</f>
        <v/>
      </c>
      <c r="F525" s="1" t="str">
        <f aca="false">IF(Brasil!C525="","",Brasil!D525)</f>
        <v/>
      </c>
      <c r="I525" s="1" t="str">
        <f aca="false">IF(Brasil!C525="","",Brasil!H525)</f>
        <v/>
      </c>
      <c r="J525" s="1" t="str">
        <f aca="false">IF(Brasil!C525="","",Brasil!D525*Brasil!H525)</f>
        <v/>
      </c>
      <c r="K525" s="1" t="str">
        <f aca="false">IF(Brasil!C525="","","BR")</f>
        <v/>
      </c>
      <c r="L525" s="1" t="str">
        <f aca="false">IF(Brasil!C525="","",IFERROR(INDEX(Gamma_Catalogo!$D$3:$D$1451,MATCH(Brasil!E525,Gamma_Catalogo!$A$3:$A$1451,0)),"Revisar Ip Code"))</f>
        <v/>
      </c>
      <c r="M525" s="1" t="str">
        <f aca="false">IF(Brasil!C525="","",IFERROR(INDEX(Gamma_Catalogo!$C$3:$C$1451,MATCH(Brasil!E525,Gamma_Catalogo!$A$3:$A$1451,0)),"Revisar Ip Code"))</f>
        <v/>
      </c>
      <c r="N525" s="1" t="str">
        <f aca="false">IF(Brasil!C525="","",IFERROR(INDEX(Gamma_Catalogo!$E$3:$E$1451,MATCH(Brasil!E525,Gamma_Catalogo!$A$3:$A$1451,0)),"Revisar Ip Code"))</f>
        <v/>
      </c>
      <c r="O525" s="1" t="str">
        <f aca="false">IF(Brasil!C525="","","Brasil")</f>
        <v/>
      </c>
    </row>
    <row r="526" customFormat="false" ht="15" hidden="false" customHeight="true" outlineLevel="0" collapsed="false">
      <c r="A526" s="1" t="str">
        <f aca="false">IF(Brasil!C526="","",IFERROR(INDEX(Mercados!$C$2:$C$32,MATCH(Brasil!B526,Mercados!$A$2:$A$32,0)),"Revisar Tscode"))</f>
        <v/>
      </c>
      <c r="B526" s="1" t="str">
        <f aca="false">IF(Brasil!C526="","",Brasil!C526)</f>
        <v/>
      </c>
      <c r="C526" s="1" t="str">
        <f aca="false">IF(Brasil!C526="","",Brasil!A526)</f>
        <v/>
      </c>
      <c r="D526" s="1" t="str">
        <f aca="false">IF(Brasil!C526="","",Brasil!E526)</f>
        <v/>
      </c>
      <c r="E526" s="1" t="str">
        <f aca="false">IF(Brasil!C526="","",Brasil!F526)</f>
        <v/>
      </c>
      <c r="F526" s="1" t="str">
        <f aca="false">IF(Brasil!C526="","",Brasil!D526)</f>
        <v/>
      </c>
      <c r="I526" s="1" t="str">
        <f aca="false">IF(Brasil!C526="","",Brasil!H526)</f>
        <v/>
      </c>
      <c r="J526" s="1" t="str">
        <f aca="false">IF(Brasil!C526="","",Brasil!D526*Brasil!H526)</f>
        <v/>
      </c>
      <c r="K526" s="1" t="str">
        <f aca="false">IF(Brasil!C526="","","BR")</f>
        <v/>
      </c>
      <c r="L526" s="1" t="str">
        <f aca="false">IF(Brasil!C526="","",IFERROR(INDEX(Gamma_Catalogo!$D$3:$D$1451,MATCH(Brasil!E526,Gamma_Catalogo!$A$3:$A$1451,0)),"Revisar Ip Code"))</f>
        <v/>
      </c>
      <c r="M526" s="1" t="str">
        <f aca="false">IF(Brasil!C526="","",IFERROR(INDEX(Gamma_Catalogo!$C$3:$C$1451,MATCH(Brasil!E526,Gamma_Catalogo!$A$3:$A$1451,0)),"Revisar Ip Code"))</f>
        <v/>
      </c>
      <c r="N526" s="1" t="str">
        <f aca="false">IF(Brasil!C526="","",IFERROR(INDEX(Gamma_Catalogo!$E$3:$E$1451,MATCH(Brasil!E526,Gamma_Catalogo!$A$3:$A$1451,0)),"Revisar Ip Code"))</f>
        <v/>
      </c>
      <c r="O526" s="1" t="str">
        <f aca="false">IF(Brasil!C526="","","Brasil")</f>
        <v/>
      </c>
    </row>
    <row r="527" customFormat="false" ht="15" hidden="false" customHeight="true" outlineLevel="0" collapsed="false">
      <c r="A527" s="1" t="str">
        <f aca="false">IF(Brasil!C527="","",IFERROR(INDEX(Mercados!$C$2:$C$32,MATCH(Brasil!B527,Mercados!$A$2:$A$32,0)),"Revisar Tscode"))</f>
        <v/>
      </c>
      <c r="B527" s="1" t="str">
        <f aca="false">IF(Brasil!C527="","",Brasil!C527)</f>
        <v/>
      </c>
      <c r="C527" s="1" t="str">
        <f aca="false">IF(Brasil!C527="","",Brasil!A527)</f>
        <v/>
      </c>
      <c r="D527" s="1" t="str">
        <f aca="false">IF(Brasil!C527="","",Brasil!E527)</f>
        <v/>
      </c>
      <c r="E527" s="1" t="str">
        <f aca="false">IF(Brasil!C527="","",Brasil!F527)</f>
        <v/>
      </c>
      <c r="F527" s="1" t="str">
        <f aca="false">IF(Brasil!C527="","",Brasil!D527)</f>
        <v/>
      </c>
      <c r="I527" s="1" t="str">
        <f aca="false">IF(Brasil!C527="","",Brasil!H527)</f>
        <v/>
      </c>
      <c r="J527" s="1" t="str">
        <f aca="false">IF(Brasil!C527="","",Brasil!D527*Brasil!H527)</f>
        <v/>
      </c>
      <c r="K527" s="1" t="str">
        <f aca="false">IF(Brasil!C527="","","BR")</f>
        <v/>
      </c>
      <c r="L527" s="1" t="str">
        <f aca="false">IF(Brasil!C527="","",IFERROR(INDEX(Gamma_Catalogo!$D$3:$D$1451,MATCH(Brasil!E527,Gamma_Catalogo!$A$3:$A$1451,0)),"Revisar Ip Code"))</f>
        <v/>
      </c>
      <c r="M527" s="1" t="str">
        <f aca="false">IF(Brasil!C527="","",IFERROR(INDEX(Gamma_Catalogo!$C$3:$C$1451,MATCH(Brasil!E527,Gamma_Catalogo!$A$3:$A$1451,0)),"Revisar Ip Code"))</f>
        <v/>
      </c>
      <c r="N527" s="1" t="str">
        <f aca="false">IF(Brasil!C527="","",IFERROR(INDEX(Gamma_Catalogo!$E$3:$E$1451,MATCH(Brasil!E527,Gamma_Catalogo!$A$3:$A$1451,0)),"Revisar Ip Code"))</f>
        <v/>
      </c>
      <c r="O527" s="1" t="str">
        <f aca="false">IF(Brasil!C527="","","Brasil")</f>
        <v/>
      </c>
    </row>
    <row r="528" customFormat="false" ht="15" hidden="false" customHeight="true" outlineLevel="0" collapsed="false">
      <c r="A528" s="1" t="str">
        <f aca="false">IF(Brasil!C528="","",IFERROR(INDEX(Mercados!$C$2:$C$32,MATCH(Brasil!B528,Mercados!$A$2:$A$32,0)),"Revisar Tscode"))</f>
        <v/>
      </c>
      <c r="B528" s="1" t="str">
        <f aca="false">IF(Brasil!C528="","",Brasil!C528)</f>
        <v/>
      </c>
      <c r="C528" s="1" t="str">
        <f aca="false">IF(Brasil!C528="","",Brasil!A528)</f>
        <v/>
      </c>
      <c r="D528" s="1" t="str">
        <f aca="false">IF(Brasil!C528="","",Brasil!E528)</f>
        <v/>
      </c>
      <c r="E528" s="1" t="str">
        <f aca="false">IF(Brasil!C528="","",Brasil!F528)</f>
        <v/>
      </c>
      <c r="F528" s="1" t="str">
        <f aca="false">IF(Brasil!C528="","",Brasil!D528)</f>
        <v/>
      </c>
      <c r="I528" s="1" t="str">
        <f aca="false">IF(Brasil!C528="","",Brasil!H528)</f>
        <v/>
      </c>
      <c r="J528" s="1" t="str">
        <f aca="false">IF(Brasil!C528="","",Brasil!D528*Brasil!H528)</f>
        <v/>
      </c>
      <c r="K528" s="1" t="str">
        <f aca="false">IF(Brasil!C528="","","BR")</f>
        <v/>
      </c>
      <c r="L528" s="1" t="str">
        <f aca="false">IF(Brasil!C528="","",IFERROR(INDEX(Gamma_Catalogo!$D$3:$D$1451,MATCH(Brasil!E528,Gamma_Catalogo!$A$3:$A$1451,0)),"Revisar Ip Code"))</f>
        <v/>
      </c>
      <c r="M528" s="1" t="str">
        <f aca="false">IF(Brasil!C528="","",IFERROR(INDEX(Gamma_Catalogo!$C$3:$C$1451,MATCH(Brasil!E528,Gamma_Catalogo!$A$3:$A$1451,0)),"Revisar Ip Code"))</f>
        <v/>
      </c>
      <c r="N528" s="1" t="str">
        <f aca="false">IF(Brasil!C528="","",IFERROR(INDEX(Gamma_Catalogo!$E$3:$E$1451,MATCH(Brasil!E528,Gamma_Catalogo!$A$3:$A$1451,0)),"Revisar Ip Code"))</f>
        <v/>
      </c>
      <c r="O528" s="1" t="str">
        <f aca="false">IF(Brasil!C528="","","Brasil")</f>
        <v/>
      </c>
    </row>
    <row r="529" customFormat="false" ht="15" hidden="false" customHeight="true" outlineLevel="0" collapsed="false">
      <c r="A529" s="1" t="str">
        <f aca="false">IF(Brasil!C529="","",IFERROR(INDEX(Mercados!$C$2:$C$32,MATCH(Brasil!B529,Mercados!$A$2:$A$32,0)),"Revisar Tscode"))</f>
        <v/>
      </c>
      <c r="B529" s="1" t="str">
        <f aca="false">IF(Brasil!C529="","",Brasil!C529)</f>
        <v/>
      </c>
      <c r="C529" s="1" t="str">
        <f aca="false">IF(Brasil!C529="","",Brasil!A529)</f>
        <v/>
      </c>
      <c r="D529" s="1" t="str">
        <f aca="false">IF(Brasil!C529="","",Brasil!E529)</f>
        <v/>
      </c>
      <c r="E529" s="1" t="str">
        <f aca="false">IF(Brasil!C529="","",Brasil!F529)</f>
        <v/>
      </c>
      <c r="F529" s="1" t="str">
        <f aca="false">IF(Brasil!C529="","",Brasil!D529)</f>
        <v/>
      </c>
      <c r="I529" s="1" t="str">
        <f aca="false">IF(Brasil!C529="","",Brasil!H529)</f>
        <v/>
      </c>
      <c r="J529" s="1" t="str">
        <f aca="false">IF(Brasil!C529="","",Brasil!D529*Brasil!H529)</f>
        <v/>
      </c>
      <c r="K529" s="1" t="str">
        <f aca="false">IF(Brasil!C529="","","BR")</f>
        <v/>
      </c>
      <c r="L529" s="1" t="str">
        <f aca="false">IF(Brasil!C529="","",IFERROR(INDEX(Gamma_Catalogo!$D$3:$D$1451,MATCH(Brasil!E529,Gamma_Catalogo!$A$3:$A$1451,0)),"Revisar Ip Code"))</f>
        <v/>
      </c>
      <c r="M529" s="1" t="str">
        <f aca="false">IF(Brasil!C529="","",IFERROR(INDEX(Gamma_Catalogo!$C$3:$C$1451,MATCH(Brasil!E529,Gamma_Catalogo!$A$3:$A$1451,0)),"Revisar Ip Code"))</f>
        <v/>
      </c>
      <c r="N529" s="1" t="str">
        <f aca="false">IF(Brasil!C529="","",IFERROR(INDEX(Gamma_Catalogo!$E$3:$E$1451,MATCH(Brasil!E529,Gamma_Catalogo!$A$3:$A$1451,0)),"Revisar Ip Code"))</f>
        <v/>
      </c>
      <c r="O529" s="1" t="str">
        <f aca="false">IF(Brasil!C529="","","Brasil")</f>
        <v/>
      </c>
    </row>
    <row r="530" customFormat="false" ht="15" hidden="false" customHeight="true" outlineLevel="0" collapsed="false">
      <c r="A530" s="1" t="str">
        <f aca="false">IF(Brasil!C530="","",IFERROR(INDEX(Mercados!$C$2:$C$32,MATCH(Brasil!B530,Mercados!$A$2:$A$32,0)),"Revisar Tscode"))</f>
        <v/>
      </c>
      <c r="B530" s="1" t="str">
        <f aca="false">IF(Brasil!C530="","",Brasil!C530)</f>
        <v/>
      </c>
      <c r="C530" s="1" t="str">
        <f aca="false">IF(Brasil!C530="","",Brasil!A530)</f>
        <v/>
      </c>
      <c r="D530" s="1" t="str">
        <f aca="false">IF(Brasil!C530="","",Brasil!E530)</f>
        <v/>
      </c>
      <c r="E530" s="1" t="str">
        <f aca="false">IF(Brasil!C530="","",Brasil!F530)</f>
        <v/>
      </c>
      <c r="F530" s="1" t="str">
        <f aca="false">IF(Brasil!C530="","",Brasil!D530)</f>
        <v/>
      </c>
      <c r="I530" s="1" t="str">
        <f aca="false">IF(Brasil!C530="","",Brasil!H530)</f>
        <v/>
      </c>
      <c r="J530" s="1" t="str">
        <f aca="false">IF(Brasil!C530="","",Brasil!D530*Brasil!H530)</f>
        <v/>
      </c>
      <c r="K530" s="1" t="str">
        <f aca="false">IF(Brasil!C530="","","BR")</f>
        <v/>
      </c>
      <c r="L530" s="1" t="str">
        <f aca="false">IF(Brasil!C530="","",IFERROR(INDEX(Gamma_Catalogo!$D$3:$D$1451,MATCH(Brasil!E530,Gamma_Catalogo!$A$3:$A$1451,0)),"Revisar Ip Code"))</f>
        <v/>
      </c>
      <c r="M530" s="1" t="str">
        <f aca="false">IF(Brasil!C530="","",IFERROR(INDEX(Gamma_Catalogo!$C$3:$C$1451,MATCH(Brasil!E530,Gamma_Catalogo!$A$3:$A$1451,0)),"Revisar Ip Code"))</f>
        <v/>
      </c>
      <c r="N530" s="1" t="str">
        <f aca="false">IF(Brasil!C530="","",IFERROR(INDEX(Gamma_Catalogo!$E$3:$E$1451,MATCH(Brasil!E530,Gamma_Catalogo!$A$3:$A$1451,0)),"Revisar Ip Code"))</f>
        <v/>
      </c>
      <c r="O530" s="1" t="str">
        <f aca="false">IF(Brasil!C530="","","Brasil")</f>
        <v/>
      </c>
    </row>
    <row r="531" customFormat="false" ht="15" hidden="false" customHeight="true" outlineLevel="0" collapsed="false">
      <c r="A531" s="1" t="str">
        <f aca="false">IF(Brasil!C531="","",IFERROR(INDEX(Mercados!$C$2:$C$32,MATCH(Brasil!B531,Mercados!$A$2:$A$32,0)),"Revisar Tscode"))</f>
        <v/>
      </c>
      <c r="B531" s="1" t="str">
        <f aca="false">IF(Brasil!C531="","",Brasil!C531)</f>
        <v/>
      </c>
      <c r="C531" s="1" t="str">
        <f aca="false">IF(Brasil!C531="","",Brasil!A531)</f>
        <v/>
      </c>
      <c r="D531" s="1" t="str">
        <f aca="false">IF(Brasil!C531="","",Brasil!E531)</f>
        <v/>
      </c>
      <c r="E531" s="1" t="str">
        <f aca="false">IF(Brasil!C531="","",Brasil!F531)</f>
        <v/>
      </c>
      <c r="F531" s="1" t="str">
        <f aca="false">IF(Brasil!C531="","",Brasil!D531)</f>
        <v/>
      </c>
      <c r="I531" s="1" t="str">
        <f aca="false">IF(Brasil!C531="","",Brasil!H531)</f>
        <v/>
      </c>
      <c r="J531" s="1" t="str">
        <f aca="false">IF(Brasil!C531="","",Brasil!D531*Brasil!H531)</f>
        <v/>
      </c>
      <c r="K531" s="1" t="str">
        <f aca="false">IF(Brasil!C531="","","BR")</f>
        <v/>
      </c>
      <c r="L531" s="1" t="str">
        <f aca="false">IF(Brasil!C531="","",IFERROR(INDEX(Gamma_Catalogo!$D$3:$D$1451,MATCH(Brasil!E531,Gamma_Catalogo!$A$3:$A$1451,0)),"Revisar Ip Code"))</f>
        <v/>
      </c>
      <c r="M531" s="1" t="str">
        <f aca="false">IF(Brasil!C531="","",IFERROR(INDEX(Gamma_Catalogo!$C$3:$C$1451,MATCH(Brasil!E531,Gamma_Catalogo!$A$3:$A$1451,0)),"Revisar Ip Code"))</f>
        <v/>
      </c>
      <c r="N531" s="1" t="str">
        <f aca="false">IF(Brasil!C531="","",IFERROR(INDEX(Gamma_Catalogo!$E$3:$E$1451,MATCH(Brasil!E531,Gamma_Catalogo!$A$3:$A$1451,0)),"Revisar Ip Code"))</f>
        <v/>
      </c>
      <c r="O531" s="1" t="str">
        <f aca="false">IF(Brasil!C531="","","Brasil")</f>
        <v/>
      </c>
    </row>
    <row r="532" customFormat="false" ht="15" hidden="false" customHeight="true" outlineLevel="0" collapsed="false">
      <c r="A532" s="1" t="str">
        <f aca="false">IF(Brasil!C532="","",IFERROR(INDEX(Mercados!$C$2:$C$32,MATCH(Brasil!B532,Mercados!$A$2:$A$32,0)),"Revisar Tscode"))</f>
        <v/>
      </c>
      <c r="B532" s="1" t="str">
        <f aca="false">IF(Brasil!C532="","",Brasil!C532)</f>
        <v/>
      </c>
      <c r="C532" s="1" t="str">
        <f aca="false">IF(Brasil!C532="","",Brasil!A532)</f>
        <v/>
      </c>
      <c r="D532" s="1" t="str">
        <f aca="false">IF(Brasil!C532="","",Brasil!E532)</f>
        <v/>
      </c>
      <c r="E532" s="1" t="str">
        <f aca="false">IF(Brasil!C532="","",Brasil!F532)</f>
        <v/>
      </c>
      <c r="F532" s="1" t="str">
        <f aca="false">IF(Brasil!C532="","",Brasil!D532)</f>
        <v/>
      </c>
      <c r="I532" s="1" t="str">
        <f aca="false">IF(Brasil!C532="","",Brasil!H532)</f>
        <v/>
      </c>
      <c r="J532" s="1" t="str">
        <f aca="false">IF(Brasil!C532="","",Brasil!D532*Brasil!H532)</f>
        <v/>
      </c>
      <c r="K532" s="1" t="str">
        <f aca="false">IF(Brasil!C532="","","BR")</f>
        <v/>
      </c>
      <c r="L532" s="1" t="str">
        <f aca="false">IF(Brasil!C532="","",IFERROR(INDEX(Gamma_Catalogo!$D$3:$D$1451,MATCH(Brasil!E532,Gamma_Catalogo!$A$3:$A$1451,0)),"Revisar Ip Code"))</f>
        <v/>
      </c>
      <c r="M532" s="1" t="str">
        <f aca="false">IF(Brasil!C532="","",IFERROR(INDEX(Gamma_Catalogo!$C$3:$C$1451,MATCH(Brasil!E532,Gamma_Catalogo!$A$3:$A$1451,0)),"Revisar Ip Code"))</f>
        <v/>
      </c>
      <c r="N532" s="1" t="str">
        <f aca="false">IF(Brasil!C532="","",IFERROR(INDEX(Gamma_Catalogo!$E$3:$E$1451,MATCH(Brasil!E532,Gamma_Catalogo!$A$3:$A$1451,0)),"Revisar Ip Code"))</f>
        <v/>
      </c>
      <c r="O532" s="1" t="str">
        <f aca="false">IF(Brasil!C532="","","Brasil")</f>
        <v/>
      </c>
    </row>
    <row r="533" customFormat="false" ht="15" hidden="false" customHeight="true" outlineLevel="0" collapsed="false">
      <c r="A533" s="1" t="str">
        <f aca="false">IF(Brasil!C533="","",IFERROR(INDEX(Mercados!$C$2:$C$32,MATCH(Brasil!B533,Mercados!$A$2:$A$32,0)),"Revisar Tscode"))</f>
        <v/>
      </c>
      <c r="B533" s="1" t="str">
        <f aca="false">IF(Brasil!C533="","",Brasil!C533)</f>
        <v/>
      </c>
      <c r="C533" s="1" t="str">
        <f aca="false">IF(Brasil!C533="","",Brasil!A533)</f>
        <v/>
      </c>
      <c r="D533" s="1" t="str">
        <f aca="false">IF(Brasil!C533="","",Brasil!E533)</f>
        <v/>
      </c>
      <c r="E533" s="1" t="str">
        <f aca="false">IF(Brasil!C533="","",Brasil!F533)</f>
        <v/>
      </c>
      <c r="F533" s="1" t="str">
        <f aca="false">IF(Brasil!C533="","",Brasil!D533)</f>
        <v/>
      </c>
      <c r="I533" s="1" t="str">
        <f aca="false">IF(Brasil!C533="","",Brasil!H533)</f>
        <v/>
      </c>
      <c r="J533" s="1" t="str">
        <f aca="false">IF(Brasil!C533="","",Brasil!D533*Brasil!H533)</f>
        <v/>
      </c>
      <c r="K533" s="1" t="str">
        <f aca="false">IF(Brasil!C533="","","BR")</f>
        <v/>
      </c>
      <c r="L533" s="1" t="str">
        <f aca="false">IF(Brasil!C533="","",IFERROR(INDEX(Gamma_Catalogo!$D$3:$D$1451,MATCH(Brasil!E533,Gamma_Catalogo!$A$3:$A$1451,0)),"Revisar Ip Code"))</f>
        <v/>
      </c>
      <c r="M533" s="1" t="str">
        <f aca="false">IF(Brasil!C533="","",IFERROR(INDEX(Gamma_Catalogo!$C$3:$C$1451,MATCH(Brasil!E533,Gamma_Catalogo!$A$3:$A$1451,0)),"Revisar Ip Code"))</f>
        <v/>
      </c>
      <c r="N533" s="1" t="str">
        <f aca="false">IF(Brasil!C533="","",IFERROR(INDEX(Gamma_Catalogo!$E$3:$E$1451,MATCH(Brasil!E533,Gamma_Catalogo!$A$3:$A$1451,0)),"Revisar Ip Code"))</f>
        <v/>
      </c>
      <c r="O533" s="1" t="str">
        <f aca="false">IF(Brasil!C533="","","Brasil")</f>
        <v/>
      </c>
    </row>
    <row r="534" customFormat="false" ht="15" hidden="false" customHeight="true" outlineLevel="0" collapsed="false">
      <c r="A534" s="1" t="str">
        <f aca="false">IF(Brasil!C534="","",IFERROR(INDEX(Mercados!$C$2:$C$32,MATCH(Brasil!B534,Mercados!$A$2:$A$32,0)),"Revisar Tscode"))</f>
        <v/>
      </c>
      <c r="B534" s="1" t="str">
        <f aca="false">IF(Brasil!C534="","",Brasil!C534)</f>
        <v/>
      </c>
      <c r="C534" s="1" t="str">
        <f aca="false">IF(Brasil!C534="","",Brasil!A534)</f>
        <v/>
      </c>
      <c r="D534" s="1" t="str">
        <f aca="false">IF(Brasil!C534="","",Brasil!E534)</f>
        <v/>
      </c>
      <c r="E534" s="1" t="str">
        <f aca="false">IF(Brasil!C534="","",Brasil!F534)</f>
        <v/>
      </c>
      <c r="F534" s="1" t="str">
        <f aca="false">IF(Brasil!C534="","",Brasil!D534)</f>
        <v/>
      </c>
      <c r="I534" s="1" t="str">
        <f aca="false">IF(Brasil!C534="","",Brasil!H534)</f>
        <v/>
      </c>
      <c r="J534" s="1" t="str">
        <f aca="false">IF(Brasil!C534="","",Brasil!D534*Brasil!H534)</f>
        <v/>
      </c>
      <c r="K534" s="1" t="str">
        <f aca="false">IF(Brasil!C534="","","BR")</f>
        <v/>
      </c>
      <c r="L534" s="1" t="str">
        <f aca="false">IF(Brasil!C534="","",IFERROR(INDEX(Gamma_Catalogo!$D$3:$D$1451,MATCH(Brasil!E534,Gamma_Catalogo!$A$3:$A$1451,0)),"Revisar Ip Code"))</f>
        <v/>
      </c>
      <c r="M534" s="1" t="str">
        <f aca="false">IF(Brasil!C534="","",IFERROR(INDEX(Gamma_Catalogo!$C$3:$C$1451,MATCH(Brasil!E534,Gamma_Catalogo!$A$3:$A$1451,0)),"Revisar Ip Code"))</f>
        <v/>
      </c>
      <c r="N534" s="1" t="str">
        <f aca="false">IF(Brasil!C534="","",IFERROR(INDEX(Gamma_Catalogo!$E$3:$E$1451,MATCH(Brasil!E534,Gamma_Catalogo!$A$3:$A$1451,0)),"Revisar Ip Code"))</f>
        <v/>
      </c>
      <c r="O534" s="1" t="str">
        <f aca="false">IF(Brasil!C534="","","Brasil")</f>
        <v/>
      </c>
    </row>
    <row r="535" customFormat="false" ht="15" hidden="false" customHeight="true" outlineLevel="0" collapsed="false">
      <c r="A535" s="1" t="str">
        <f aca="false">IF(Brasil!C535="","",IFERROR(INDEX(Mercados!$C$2:$C$32,MATCH(Brasil!B535,Mercados!$A$2:$A$32,0)),"Revisar Tscode"))</f>
        <v/>
      </c>
      <c r="B535" s="1" t="str">
        <f aca="false">IF(Brasil!C535="","",Brasil!C535)</f>
        <v/>
      </c>
      <c r="C535" s="1" t="str">
        <f aca="false">IF(Brasil!C535="","",Brasil!A535)</f>
        <v/>
      </c>
      <c r="D535" s="1" t="str">
        <f aca="false">IF(Brasil!C535="","",Brasil!E535)</f>
        <v/>
      </c>
      <c r="E535" s="1" t="str">
        <f aca="false">IF(Brasil!C535="","",Brasil!F535)</f>
        <v/>
      </c>
      <c r="F535" s="1" t="str">
        <f aca="false">IF(Brasil!C535="","",Brasil!D535)</f>
        <v/>
      </c>
      <c r="I535" s="1" t="str">
        <f aca="false">IF(Brasil!C535="","",Brasil!H535)</f>
        <v/>
      </c>
      <c r="J535" s="1" t="str">
        <f aca="false">IF(Brasil!C535="","",Brasil!D535*Brasil!H535)</f>
        <v/>
      </c>
      <c r="K535" s="1" t="str">
        <f aca="false">IF(Brasil!C535="","","BR")</f>
        <v/>
      </c>
      <c r="L535" s="1" t="str">
        <f aca="false">IF(Brasil!C535="","",IFERROR(INDEX(Gamma_Catalogo!$D$3:$D$1451,MATCH(Brasil!E535,Gamma_Catalogo!$A$3:$A$1451,0)),"Revisar Ip Code"))</f>
        <v/>
      </c>
      <c r="M535" s="1" t="str">
        <f aca="false">IF(Brasil!C535="","",IFERROR(INDEX(Gamma_Catalogo!$C$3:$C$1451,MATCH(Brasil!E535,Gamma_Catalogo!$A$3:$A$1451,0)),"Revisar Ip Code"))</f>
        <v/>
      </c>
      <c r="N535" s="1" t="str">
        <f aca="false">IF(Brasil!C535="","",IFERROR(INDEX(Gamma_Catalogo!$E$3:$E$1451,MATCH(Brasil!E535,Gamma_Catalogo!$A$3:$A$1451,0)),"Revisar Ip Code"))</f>
        <v/>
      </c>
      <c r="O535" s="1" t="str">
        <f aca="false">IF(Brasil!C535="","","Brasil")</f>
        <v/>
      </c>
    </row>
    <row r="536" customFormat="false" ht="15" hidden="false" customHeight="true" outlineLevel="0" collapsed="false">
      <c r="A536" s="1" t="str">
        <f aca="false">IF(Brasil!C536="","",IFERROR(INDEX(Mercados!$C$2:$C$32,MATCH(Brasil!B536,Mercados!$A$2:$A$32,0)),"Revisar Tscode"))</f>
        <v/>
      </c>
      <c r="B536" s="1" t="str">
        <f aca="false">IF(Brasil!C536="","",Brasil!C536)</f>
        <v/>
      </c>
      <c r="C536" s="1" t="str">
        <f aca="false">IF(Brasil!C536="","",Brasil!A536)</f>
        <v/>
      </c>
      <c r="D536" s="1" t="str">
        <f aca="false">IF(Brasil!C536="","",Brasil!E536)</f>
        <v/>
      </c>
      <c r="E536" s="1" t="str">
        <f aca="false">IF(Brasil!C536="","",Brasil!F536)</f>
        <v/>
      </c>
      <c r="F536" s="1" t="str">
        <f aca="false">IF(Brasil!C536="","",Brasil!D536)</f>
        <v/>
      </c>
      <c r="I536" s="1" t="str">
        <f aca="false">IF(Brasil!C536="","",Brasil!H536)</f>
        <v/>
      </c>
      <c r="J536" s="1" t="str">
        <f aca="false">IF(Brasil!C536="","",Brasil!D536*Brasil!H536)</f>
        <v/>
      </c>
      <c r="K536" s="1" t="str">
        <f aca="false">IF(Brasil!C536="","","BR")</f>
        <v/>
      </c>
      <c r="L536" s="1" t="str">
        <f aca="false">IF(Brasil!C536="","",IFERROR(INDEX(Gamma_Catalogo!$D$3:$D$1451,MATCH(Brasil!E536,Gamma_Catalogo!$A$3:$A$1451,0)),"Revisar Ip Code"))</f>
        <v/>
      </c>
      <c r="M536" s="1" t="str">
        <f aca="false">IF(Brasil!C536="","",IFERROR(INDEX(Gamma_Catalogo!$C$3:$C$1451,MATCH(Brasil!E536,Gamma_Catalogo!$A$3:$A$1451,0)),"Revisar Ip Code"))</f>
        <v/>
      </c>
      <c r="N536" s="1" t="str">
        <f aca="false">IF(Brasil!C536="","",IFERROR(INDEX(Gamma_Catalogo!$E$3:$E$1451,MATCH(Brasil!E536,Gamma_Catalogo!$A$3:$A$1451,0)),"Revisar Ip Code"))</f>
        <v/>
      </c>
      <c r="O536" s="1" t="str">
        <f aca="false">IF(Brasil!C536="","","Brasil")</f>
        <v/>
      </c>
    </row>
    <row r="537" customFormat="false" ht="15" hidden="false" customHeight="true" outlineLevel="0" collapsed="false">
      <c r="A537" s="1" t="str">
        <f aca="false">IF(Brasil!C537="","",IFERROR(INDEX(Mercados!$C$2:$C$32,MATCH(Brasil!B537,Mercados!$A$2:$A$32,0)),"Revisar Tscode"))</f>
        <v/>
      </c>
      <c r="B537" s="1" t="str">
        <f aca="false">IF(Brasil!C537="","",Brasil!C537)</f>
        <v/>
      </c>
      <c r="C537" s="1" t="str">
        <f aca="false">IF(Brasil!C537="","",Brasil!A537)</f>
        <v/>
      </c>
      <c r="D537" s="1" t="str">
        <f aca="false">IF(Brasil!C537="","",Brasil!E537)</f>
        <v/>
      </c>
      <c r="E537" s="1" t="str">
        <f aca="false">IF(Brasil!C537="","",Brasil!F537)</f>
        <v/>
      </c>
      <c r="F537" s="1" t="str">
        <f aca="false">IF(Brasil!C537="","",Brasil!D537)</f>
        <v/>
      </c>
      <c r="I537" s="1" t="str">
        <f aca="false">IF(Brasil!C537="","",Brasil!H537)</f>
        <v/>
      </c>
      <c r="J537" s="1" t="str">
        <f aca="false">IF(Brasil!C537="","",Brasil!D537*Brasil!H537)</f>
        <v/>
      </c>
      <c r="K537" s="1" t="str">
        <f aca="false">IF(Brasil!C537="","","BR")</f>
        <v/>
      </c>
      <c r="L537" s="1" t="str">
        <f aca="false">IF(Brasil!C537="","",IFERROR(INDEX(Gamma_Catalogo!$D$3:$D$1451,MATCH(Brasil!E537,Gamma_Catalogo!$A$3:$A$1451,0)),"Revisar Ip Code"))</f>
        <v/>
      </c>
      <c r="M537" s="1" t="str">
        <f aca="false">IF(Brasil!C537="","",IFERROR(INDEX(Gamma_Catalogo!$C$3:$C$1451,MATCH(Brasil!E537,Gamma_Catalogo!$A$3:$A$1451,0)),"Revisar Ip Code"))</f>
        <v/>
      </c>
      <c r="N537" s="1" t="str">
        <f aca="false">IF(Brasil!C537="","",IFERROR(INDEX(Gamma_Catalogo!$E$3:$E$1451,MATCH(Brasil!E537,Gamma_Catalogo!$A$3:$A$1451,0)),"Revisar Ip Code"))</f>
        <v/>
      </c>
      <c r="O537" s="1" t="str">
        <f aca="false">IF(Brasil!C537="","","Brasil")</f>
        <v/>
      </c>
    </row>
    <row r="538" customFormat="false" ht="15" hidden="false" customHeight="true" outlineLevel="0" collapsed="false">
      <c r="A538" s="1" t="str">
        <f aca="false">IF(Brasil!C538="","",IFERROR(INDEX(Mercados!$C$2:$C$32,MATCH(Brasil!B538,Mercados!$A$2:$A$32,0)),"Revisar Tscode"))</f>
        <v/>
      </c>
      <c r="B538" s="1" t="str">
        <f aca="false">IF(Brasil!C538="","",Brasil!C538)</f>
        <v/>
      </c>
      <c r="C538" s="1" t="str">
        <f aca="false">IF(Brasil!C538="","",Brasil!A538)</f>
        <v/>
      </c>
      <c r="D538" s="1" t="str">
        <f aca="false">IF(Brasil!C538="","",Brasil!E538)</f>
        <v/>
      </c>
      <c r="E538" s="1" t="str">
        <f aca="false">IF(Brasil!C538="","",Brasil!F538)</f>
        <v/>
      </c>
      <c r="F538" s="1" t="str">
        <f aca="false">IF(Brasil!C538="","",Brasil!D538)</f>
        <v/>
      </c>
      <c r="I538" s="1" t="str">
        <f aca="false">IF(Brasil!C538="","",Brasil!H538)</f>
        <v/>
      </c>
      <c r="J538" s="1" t="str">
        <f aca="false">IF(Brasil!C538="","",Brasil!D538*Brasil!H538)</f>
        <v/>
      </c>
      <c r="K538" s="1" t="str">
        <f aca="false">IF(Brasil!C538="","","BR")</f>
        <v/>
      </c>
      <c r="L538" s="1" t="str">
        <f aca="false">IF(Brasil!C538="","",IFERROR(INDEX(Gamma_Catalogo!$D$3:$D$1451,MATCH(Brasil!E538,Gamma_Catalogo!$A$3:$A$1451,0)),"Revisar Ip Code"))</f>
        <v/>
      </c>
      <c r="M538" s="1" t="str">
        <f aca="false">IF(Brasil!C538="","",IFERROR(INDEX(Gamma_Catalogo!$C$3:$C$1451,MATCH(Brasil!E538,Gamma_Catalogo!$A$3:$A$1451,0)),"Revisar Ip Code"))</f>
        <v/>
      </c>
      <c r="N538" s="1" t="str">
        <f aca="false">IF(Brasil!C538="","",IFERROR(INDEX(Gamma_Catalogo!$E$3:$E$1451,MATCH(Brasil!E538,Gamma_Catalogo!$A$3:$A$1451,0)),"Revisar Ip Code"))</f>
        <v/>
      </c>
      <c r="O538" s="1" t="str">
        <f aca="false">IF(Brasil!C538="","","Brasil")</f>
        <v/>
      </c>
    </row>
    <row r="539" customFormat="false" ht="15" hidden="false" customHeight="true" outlineLevel="0" collapsed="false">
      <c r="A539" s="1" t="str">
        <f aca="false">IF(Brasil!C539="","",IFERROR(INDEX(Mercados!$C$2:$C$32,MATCH(Brasil!B539,Mercados!$A$2:$A$32,0)),"Revisar Tscode"))</f>
        <v/>
      </c>
      <c r="B539" s="1" t="str">
        <f aca="false">IF(Brasil!C539="","",Brasil!C539)</f>
        <v/>
      </c>
      <c r="C539" s="1" t="str">
        <f aca="false">IF(Brasil!C539="","",Brasil!A539)</f>
        <v/>
      </c>
      <c r="D539" s="1" t="str">
        <f aca="false">IF(Brasil!C539="","",Brasil!E539)</f>
        <v/>
      </c>
      <c r="E539" s="1" t="str">
        <f aca="false">IF(Brasil!C539="","",Brasil!F539)</f>
        <v/>
      </c>
      <c r="F539" s="1" t="str">
        <f aca="false">IF(Brasil!C539="","",Brasil!D539)</f>
        <v/>
      </c>
      <c r="I539" s="1" t="str">
        <f aca="false">IF(Brasil!C539="","",Brasil!H539)</f>
        <v/>
      </c>
      <c r="J539" s="1" t="str">
        <f aca="false">IF(Brasil!C539="","",Brasil!D539*Brasil!H539)</f>
        <v/>
      </c>
      <c r="K539" s="1" t="str">
        <f aca="false">IF(Brasil!C539="","","BR")</f>
        <v/>
      </c>
      <c r="L539" s="1" t="str">
        <f aca="false">IF(Brasil!C539="","",IFERROR(INDEX(Gamma_Catalogo!$D$3:$D$1451,MATCH(Brasil!E539,Gamma_Catalogo!$A$3:$A$1451,0)),"Revisar Ip Code"))</f>
        <v/>
      </c>
      <c r="M539" s="1" t="str">
        <f aca="false">IF(Brasil!C539="","",IFERROR(INDEX(Gamma_Catalogo!$C$3:$C$1451,MATCH(Brasil!E539,Gamma_Catalogo!$A$3:$A$1451,0)),"Revisar Ip Code"))</f>
        <v/>
      </c>
      <c r="N539" s="1" t="str">
        <f aca="false">IF(Brasil!C539="","",IFERROR(INDEX(Gamma_Catalogo!$E$3:$E$1451,MATCH(Brasil!E539,Gamma_Catalogo!$A$3:$A$1451,0)),"Revisar Ip Code"))</f>
        <v/>
      </c>
      <c r="O539" s="1" t="str">
        <f aca="false">IF(Brasil!C539="","","Brasil")</f>
        <v/>
      </c>
    </row>
    <row r="540" customFormat="false" ht="15" hidden="false" customHeight="true" outlineLevel="0" collapsed="false">
      <c r="A540" s="1" t="str">
        <f aca="false">IF(Brasil!C540="","",IFERROR(INDEX(Mercados!$C$2:$C$32,MATCH(Brasil!B540,Mercados!$A$2:$A$32,0)),"Revisar Tscode"))</f>
        <v/>
      </c>
      <c r="B540" s="1" t="str">
        <f aca="false">IF(Brasil!C540="","",Brasil!C540)</f>
        <v/>
      </c>
      <c r="C540" s="1" t="str">
        <f aca="false">IF(Brasil!C540="","",Brasil!A540)</f>
        <v/>
      </c>
      <c r="D540" s="1" t="str">
        <f aca="false">IF(Brasil!C540="","",Brasil!E540)</f>
        <v/>
      </c>
      <c r="E540" s="1" t="str">
        <f aca="false">IF(Brasil!C540="","",Brasil!F540)</f>
        <v/>
      </c>
      <c r="F540" s="1" t="str">
        <f aca="false">IF(Brasil!C540="","",Brasil!D540)</f>
        <v/>
      </c>
      <c r="I540" s="1" t="str">
        <f aca="false">IF(Brasil!C540="","",Brasil!H540)</f>
        <v/>
      </c>
      <c r="J540" s="1" t="str">
        <f aca="false">IF(Brasil!C540="","",Brasil!D540*Brasil!H540)</f>
        <v/>
      </c>
      <c r="K540" s="1" t="str">
        <f aca="false">IF(Brasil!C540="","","BR")</f>
        <v/>
      </c>
      <c r="L540" s="1" t="str">
        <f aca="false">IF(Brasil!C540="","",IFERROR(INDEX(Gamma_Catalogo!$D$3:$D$1451,MATCH(Brasil!E540,Gamma_Catalogo!$A$3:$A$1451,0)),"Revisar Ip Code"))</f>
        <v/>
      </c>
      <c r="M540" s="1" t="str">
        <f aca="false">IF(Brasil!C540="","",IFERROR(INDEX(Gamma_Catalogo!$C$3:$C$1451,MATCH(Brasil!E540,Gamma_Catalogo!$A$3:$A$1451,0)),"Revisar Ip Code"))</f>
        <v/>
      </c>
      <c r="N540" s="1" t="str">
        <f aca="false">IF(Brasil!C540="","",IFERROR(INDEX(Gamma_Catalogo!$E$3:$E$1451,MATCH(Brasil!E540,Gamma_Catalogo!$A$3:$A$1451,0)),"Revisar Ip Code"))</f>
        <v/>
      </c>
      <c r="O540" s="1" t="str">
        <f aca="false">IF(Brasil!C540="","","Brasil")</f>
        <v/>
      </c>
    </row>
    <row r="541" customFormat="false" ht="15" hidden="false" customHeight="true" outlineLevel="0" collapsed="false">
      <c r="A541" s="1" t="str">
        <f aca="false">IF(Brasil!C541="","",IFERROR(INDEX(Mercados!$C$2:$C$32,MATCH(Brasil!B541,Mercados!$A$2:$A$32,0)),"Revisar Tscode"))</f>
        <v/>
      </c>
      <c r="B541" s="1" t="str">
        <f aca="false">IF(Brasil!C541="","",Brasil!C541)</f>
        <v/>
      </c>
      <c r="C541" s="1" t="str">
        <f aca="false">IF(Brasil!C541="","",Brasil!A541)</f>
        <v/>
      </c>
      <c r="D541" s="1" t="str">
        <f aca="false">IF(Brasil!C541="","",Brasil!E541)</f>
        <v/>
      </c>
      <c r="E541" s="1" t="str">
        <f aca="false">IF(Brasil!C541="","",Brasil!F541)</f>
        <v/>
      </c>
      <c r="F541" s="1" t="str">
        <f aca="false">IF(Brasil!C541="","",Brasil!D541)</f>
        <v/>
      </c>
      <c r="I541" s="1" t="str">
        <f aca="false">IF(Brasil!C541="","",Brasil!H541)</f>
        <v/>
      </c>
      <c r="J541" s="1" t="str">
        <f aca="false">IF(Brasil!C541="","",Brasil!D541*Brasil!H541)</f>
        <v/>
      </c>
      <c r="K541" s="1" t="str">
        <f aca="false">IF(Brasil!C541="","","BR")</f>
        <v/>
      </c>
      <c r="L541" s="1" t="str">
        <f aca="false">IF(Brasil!C541="","",IFERROR(INDEX(Gamma_Catalogo!$D$3:$D$1451,MATCH(Brasil!E541,Gamma_Catalogo!$A$3:$A$1451,0)),"Revisar Ip Code"))</f>
        <v/>
      </c>
      <c r="M541" s="1" t="str">
        <f aca="false">IF(Brasil!C541="","",IFERROR(INDEX(Gamma_Catalogo!$C$3:$C$1451,MATCH(Brasil!E541,Gamma_Catalogo!$A$3:$A$1451,0)),"Revisar Ip Code"))</f>
        <v/>
      </c>
      <c r="N541" s="1" t="str">
        <f aca="false">IF(Brasil!C541="","",IFERROR(INDEX(Gamma_Catalogo!$E$3:$E$1451,MATCH(Brasil!E541,Gamma_Catalogo!$A$3:$A$1451,0)),"Revisar Ip Code"))</f>
        <v/>
      </c>
      <c r="O541" s="1" t="str">
        <f aca="false">IF(Brasil!C541="","","Brasil")</f>
        <v/>
      </c>
    </row>
    <row r="542" customFormat="false" ht="15" hidden="false" customHeight="true" outlineLevel="0" collapsed="false">
      <c r="A542" s="1" t="str">
        <f aca="false">IF(Brasil!C542="","",IFERROR(INDEX(Mercados!$C$2:$C$32,MATCH(Brasil!B542,Mercados!$A$2:$A$32,0)),"Revisar Tscode"))</f>
        <v/>
      </c>
      <c r="B542" s="1" t="str">
        <f aca="false">IF(Brasil!C542="","",Brasil!C542)</f>
        <v/>
      </c>
      <c r="C542" s="1" t="str">
        <f aca="false">IF(Brasil!C542="","",Brasil!A542)</f>
        <v/>
      </c>
      <c r="D542" s="1" t="str">
        <f aca="false">IF(Brasil!C542="","",Brasil!E542)</f>
        <v/>
      </c>
      <c r="E542" s="1" t="str">
        <f aca="false">IF(Brasil!C542="","",Brasil!F542)</f>
        <v/>
      </c>
      <c r="F542" s="1" t="str">
        <f aca="false">IF(Brasil!C542="","",Brasil!D542)</f>
        <v/>
      </c>
      <c r="I542" s="1" t="str">
        <f aca="false">IF(Brasil!C542="","",Brasil!H542)</f>
        <v/>
      </c>
      <c r="J542" s="1" t="str">
        <f aca="false">IF(Brasil!C542="","",Brasil!D542*Brasil!H542)</f>
        <v/>
      </c>
      <c r="K542" s="1" t="str">
        <f aca="false">IF(Brasil!C542="","","BR")</f>
        <v/>
      </c>
      <c r="L542" s="1" t="str">
        <f aca="false">IF(Brasil!C542="","",IFERROR(INDEX(Gamma_Catalogo!$D$3:$D$1451,MATCH(Brasil!E542,Gamma_Catalogo!$A$3:$A$1451,0)),"Revisar Ip Code"))</f>
        <v/>
      </c>
      <c r="M542" s="1" t="str">
        <f aca="false">IF(Brasil!C542="","",IFERROR(INDEX(Gamma_Catalogo!$C$3:$C$1451,MATCH(Brasil!E542,Gamma_Catalogo!$A$3:$A$1451,0)),"Revisar Ip Code"))</f>
        <v/>
      </c>
      <c r="N542" s="1" t="str">
        <f aca="false">IF(Brasil!C542="","",IFERROR(INDEX(Gamma_Catalogo!$E$3:$E$1451,MATCH(Brasil!E542,Gamma_Catalogo!$A$3:$A$1451,0)),"Revisar Ip Code"))</f>
        <v/>
      </c>
      <c r="O542" s="1" t="str">
        <f aca="false">IF(Brasil!C542="","","Brasil")</f>
        <v/>
      </c>
    </row>
    <row r="543" customFormat="false" ht="15" hidden="false" customHeight="true" outlineLevel="0" collapsed="false">
      <c r="A543" s="1" t="str">
        <f aca="false">IF(Brasil!C543="","",IFERROR(INDEX(Mercados!$C$2:$C$32,MATCH(Brasil!B543,Mercados!$A$2:$A$32,0)),"Revisar Tscode"))</f>
        <v/>
      </c>
      <c r="B543" s="1" t="str">
        <f aca="false">IF(Brasil!C543="","",Brasil!C543)</f>
        <v/>
      </c>
      <c r="C543" s="1" t="str">
        <f aca="false">IF(Brasil!C543="","",Brasil!A543)</f>
        <v/>
      </c>
      <c r="D543" s="1" t="str">
        <f aca="false">IF(Brasil!C543="","",Brasil!E543)</f>
        <v/>
      </c>
      <c r="E543" s="1" t="str">
        <f aca="false">IF(Brasil!C543="","",Brasil!F543)</f>
        <v/>
      </c>
      <c r="F543" s="1" t="str">
        <f aca="false">IF(Brasil!C543="","",Brasil!D543)</f>
        <v/>
      </c>
      <c r="I543" s="1" t="str">
        <f aca="false">IF(Brasil!C543="","",Brasil!H543)</f>
        <v/>
      </c>
      <c r="J543" s="1" t="str">
        <f aca="false">IF(Brasil!C543="","",Brasil!D543*Brasil!H543)</f>
        <v/>
      </c>
      <c r="K543" s="1" t="str">
        <f aca="false">IF(Brasil!C543="","","BR")</f>
        <v/>
      </c>
      <c r="L543" s="1" t="str">
        <f aca="false">IF(Brasil!C543="","",IFERROR(INDEX(Gamma_Catalogo!$D$3:$D$1451,MATCH(Brasil!E543,Gamma_Catalogo!$A$3:$A$1451,0)),"Revisar Ip Code"))</f>
        <v/>
      </c>
      <c r="M543" s="1" t="str">
        <f aca="false">IF(Brasil!C543="","",IFERROR(INDEX(Gamma_Catalogo!$C$3:$C$1451,MATCH(Brasil!E543,Gamma_Catalogo!$A$3:$A$1451,0)),"Revisar Ip Code"))</f>
        <v/>
      </c>
      <c r="N543" s="1" t="str">
        <f aca="false">IF(Brasil!C543="","",IFERROR(INDEX(Gamma_Catalogo!$E$3:$E$1451,MATCH(Brasil!E543,Gamma_Catalogo!$A$3:$A$1451,0)),"Revisar Ip Code"))</f>
        <v/>
      </c>
      <c r="O543" s="1" t="str">
        <f aca="false">IF(Brasil!C543="","","Brasil")</f>
        <v/>
      </c>
    </row>
    <row r="544" customFormat="false" ht="15" hidden="false" customHeight="true" outlineLevel="0" collapsed="false">
      <c r="A544" s="1" t="str">
        <f aca="false">IF(Brasil!C544="","",IFERROR(INDEX(Mercados!$C$2:$C$32,MATCH(Brasil!B544,Mercados!$A$2:$A$32,0)),"Revisar Tscode"))</f>
        <v/>
      </c>
      <c r="B544" s="1" t="str">
        <f aca="false">IF(Brasil!C544="","",Brasil!C544)</f>
        <v/>
      </c>
      <c r="C544" s="1" t="str">
        <f aca="false">IF(Brasil!C544="","",Brasil!A544)</f>
        <v/>
      </c>
      <c r="D544" s="1" t="str">
        <f aca="false">IF(Brasil!C544="","",Brasil!E544)</f>
        <v/>
      </c>
      <c r="E544" s="1" t="str">
        <f aca="false">IF(Brasil!C544="","",Brasil!F544)</f>
        <v/>
      </c>
      <c r="F544" s="1" t="str">
        <f aca="false">IF(Brasil!C544="","",Brasil!D544)</f>
        <v/>
      </c>
      <c r="I544" s="1" t="str">
        <f aca="false">IF(Brasil!C544="","",Brasil!H544)</f>
        <v/>
      </c>
      <c r="J544" s="1" t="str">
        <f aca="false">IF(Brasil!C544="","",Brasil!D544*Brasil!H544)</f>
        <v/>
      </c>
      <c r="K544" s="1" t="str">
        <f aca="false">IF(Brasil!C544="","","BR")</f>
        <v/>
      </c>
      <c r="L544" s="1" t="str">
        <f aca="false">IF(Brasil!C544="","",IFERROR(INDEX(Gamma_Catalogo!$D$3:$D$1451,MATCH(Brasil!E544,Gamma_Catalogo!$A$3:$A$1451,0)),"Revisar Ip Code"))</f>
        <v/>
      </c>
      <c r="M544" s="1" t="str">
        <f aca="false">IF(Brasil!C544="","",IFERROR(INDEX(Gamma_Catalogo!$C$3:$C$1451,MATCH(Brasil!E544,Gamma_Catalogo!$A$3:$A$1451,0)),"Revisar Ip Code"))</f>
        <v/>
      </c>
      <c r="N544" s="1" t="str">
        <f aca="false">IF(Brasil!C544="","",IFERROR(INDEX(Gamma_Catalogo!$E$3:$E$1451,MATCH(Brasil!E544,Gamma_Catalogo!$A$3:$A$1451,0)),"Revisar Ip Code"))</f>
        <v/>
      </c>
      <c r="O544" s="1" t="str">
        <f aca="false">IF(Brasil!C544="","","Brasil")</f>
        <v/>
      </c>
    </row>
    <row r="545" customFormat="false" ht="15" hidden="false" customHeight="true" outlineLevel="0" collapsed="false">
      <c r="A545" s="1" t="str">
        <f aca="false">IF(Brasil!C545="","",IFERROR(INDEX(Mercados!$C$2:$C$32,MATCH(Brasil!B545,Mercados!$A$2:$A$32,0)),"Revisar Tscode"))</f>
        <v/>
      </c>
      <c r="B545" s="1" t="str">
        <f aca="false">IF(Brasil!C545="","",Brasil!C545)</f>
        <v/>
      </c>
      <c r="C545" s="1" t="str">
        <f aca="false">IF(Brasil!C545="","",Brasil!A545)</f>
        <v/>
      </c>
      <c r="D545" s="1" t="str">
        <f aca="false">IF(Brasil!C545="","",Brasil!E545)</f>
        <v/>
      </c>
      <c r="E545" s="1" t="str">
        <f aca="false">IF(Brasil!C545="","",Brasil!F545)</f>
        <v/>
      </c>
      <c r="F545" s="1" t="str">
        <f aca="false">IF(Brasil!C545="","",Brasil!D545)</f>
        <v/>
      </c>
      <c r="I545" s="1" t="str">
        <f aca="false">IF(Brasil!C545="","",Brasil!H545)</f>
        <v/>
      </c>
      <c r="J545" s="1" t="str">
        <f aca="false">IF(Brasil!C545="","",Brasil!D545*Brasil!H545)</f>
        <v/>
      </c>
      <c r="K545" s="1" t="str">
        <f aca="false">IF(Brasil!C545="","","BR")</f>
        <v/>
      </c>
      <c r="L545" s="1" t="str">
        <f aca="false">IF(Brasil!C545="","",IFERROR(INDEX(Gamma_Catalogo!$D$3:$D$1451,MATCH(Brasil!E545,Gamma_Catalogo!$A$3:$A$1451,0)),"Revisar Ip Code"))</f>
        <v/>
      </c>
      <c r="M545" s="1" t="str">
        <f aca="false">IF(Brasil!C545="","",IFERROR(INDEX(Gamma_Catalogo!$C$3:$C$1451,MATCH(Brasil!E545,Gamma_Catalogo!$A$3:$A$1451,0)),"Revisar Ip Code"))</f>
        <v/>
      </c>
      <c r="N545" s="1" t="str">
        <f aca="false">IF(Brasil!C545="","",IFERROR(INDEX(Gamma_Catalogo!$E$3:$E$1451,MATCH(Brasil!E545,Gamma_Catalogo!$A$3:$A$1451,0)),"Revisar Ip Code"))</f>
        <v/>
      </c>
      <c r="O545" s="1" t="str">
        <f aca="false">IF(Brasil!C545="","","Brasil")</f>
        <v/>
      </c>
    </row>
    <row r="546" customFormat="false" ht="15" hidden="false" customHeight="true" outlineLevel="0" collapsed="false">
      <c r="A546" s="1" t="str">
        <f aca="false">IF(Brasil!C546="","",IFERROR(INDEX(Mercados!$C$2:$C$32,MATCH(Brasil!B546,Mercados!$A$2:$A$32,0)),"Revisar Tscode"))</f>
        <v/>
      </c>
      <c r="B546" s="1" t="str">
        <f aca="false">IF(Brasil!C546="","",Brasil!C546)</f>
        <v/>
      </c>
      <c r="C546" s="1" t="str">
        <f aca="false">IF(Brasil!C546="","",Brasil!A546)</f>
        <v/>
      </c>
      <c r="D546" s="1" t="str">
        <f aca="false">IF(Brasil!C546="","",Brasil!E546)</f>
        <v/>
      </c>
      <c r="E546" s="1" t="str">
        <f aca="false">IF(Brasil!C546="","",Brasil!F546)</f>
        <v/>
      </c>
      <c r="F546" s="1" t="str">
        <f aca="false">IF(Brasil!C546="","",Brasil!D546)</f>
        <v/>
      </c>
      <c r="I546" s="1" t="str">
        <f aca="false">IF(Brasil!C546="","",Brasil!H546)</f>
        <v/>
      </c>
      <c r="J546" s="1" t="str">
        <f aca="false">IF(Brasil!C546="","",Brasil!D546*Brasil!H546)</f>
        <v/>
      </c>
      <c r="K546" s="1" t="str">
        <f aca="false">IF(Brasil!C546="","","BR")</f>
        <v/>
      </c>
      <c r="L546" s="1" t="str">
        <f aca="false">IF(Brasil!C546="","",IFERROR(INDEX(Gamma_Catalogo!$D$3:$D$1451,MATCH(Brasil!E546,Gamma_Catalogo!$A$3:$A$1451,0)),"Revisar Ip Code"))</f>
        <v/>
      </c>
      <c r="M546" s="1" t="str">
        <f aca="false">IF(Brasil!C546="","",IFERROR(INDEX(Gamma_Catalogo!$C$3:$C$1451,MATCH(Brasil!E546,Gamma_Catalogo!$A$3:$A$1451,0)),"Revisar Ip Code"))</f>
        <v/>
      </c>
      <c r="N546" s="1" t="str">
        <f aca="false">IF(Brasil!C546="","",IFERROR(INDEX(Gamma_Catalogo!$E$3:$E$1451,MATCH(Brasil!E546,Gamma_Catalogo!$A$3:$A$1451,0)),"Revisar Ip Code"))</f>
        <v/>
      </c>
      <c r="O546" s="1" t="str">
        <f aca="false">IF(Brasil!C546="","","Brasil")</f>
        <v/>
      </c>
    </row>
    <row r="547" customFormat="false" ht="15" hidden="false" customHeight="true" outlineLevel="0" collapsed="false">
      <c r="A547" s="1" t="str">
        <f aca="false">IF(Brasil!C547="","",IFERROR(INDEX(Mercados!$C$2:$C$32,MATCH(Brasil!B547,Mercados!$A$2:$A$32,0)),"Revisar Tscode"))</f>
        <v/>
      </c>
      <c r="B547" s="1" t="str">
        <f aca="false">IF(Brasil!C547="","",Brasil!C547)</f>
        <v/>
      </c>
      <c r="C547" s="1" t="str">
        <f aca="false">IF(Brasil!C547="","",Brasil!A547)</f>
        <v/>
      </c>
      <c r="D547" s="1" t="str">
        <f aca="false">IF(Brasil!C547="","",Brasil!E547)</f>
        <v/>
      </c>
      <c r="E547" s="1" t="str">
        <f aca="false">IF(Brasil!C547="","",Brasil!F547)</f>
        <v/>
      </c>
      <c r="F547" s="1" t="str">
        <f aca="false">IF(Brasil!C547="","",Brasil!D547)</f>
        <v/>
      </c>
      <c r="I547" s="1" t="str">
        <f aca="false">IF(Brasil!C547="","",Brasil!H547)</f>
        <v/>
      </c>
      <c r="J547" s="1" t="str">
        <f aca="false">IF(Brasil!C547="","",Brasil!D547*Brasil!H547)</f>
        <v/>
      </c>
      <c r="K547" s="1" t="str">
        <f aca="false">IF(Brasil!C547="","","BR")</f>
        <v/>
      </c>
      <c r="L547" s="1" t="str">
        <f aca="false">IF(Brasil!C547="","",IFERROR(INDEX(Gamma_Catalogo!$D$3:$D$1451,MATCH(Brasil!E547,Gamma_Catalogo!$A$3:$A$1451,0)),"Revisar Ip Code"))</f>
        <v/>
      </c>
      <c r="M547" s="1" t="str">
        <f aca="false">IF(Brasil!C547="","",IFERROR(INDEX(Gamma_Catalogo!$C$3:$C$1451,MATCH(Brasil!E547,Gamma_Catalogo!$A$3:$A$1451,0)),"Revisar Ip Code"))</f>
        <v/>
      </c>
      <c r="N547" s="1" t="str">
        <f aca="false">IF(Brasil!C547="","",IFERROR(INDEX(Gamma_Catalogo!$E$3:$E$1451,MATCH(Brasil!E547,Gamma_Catalogo!$A$3:$A$1451,0)),"Revisar Ip Code"))</f>
        <v/>
      </c>
      <c r="O547" s="1" t="str">
        <f aca="false">IF(Brasil!C547="","","Brasil")</f>
        <v/>
      </c>
    </row>
    <row r="548" customFormat="false" ht="15" hidden="false" customHeight="true" outlineLevel="0" collapsed="false">
      <c r="A548" s="1" t="str">
        <f aca="false">IF(Brasil!C548="","",IFERROR(INDEX(Mercados!$C$2:$C$32,MATCH(Brasil!B548,Mercados!$A$2:$A$32,0)),"Revisar Tscode"))</f>
        <v/>
      </c>
      <c r="B548" s="1" t="str">
        <f aca="false">IF(Brasil!C548="","",Brasil!C548)</f>
        <v/>
      </c>
      <c r="C548" s="1" t="str">
        <f aca="false">IF(Brasil!C548="","",Brasil!A548)</f>
        <v/>
      </c>
      <c r="D548" s="1" t="str">
        <f aca="false">IF(Brasil!C548="","",Brasil!E548)</f>
        <v/>
      </c>
      <c r="E548" s="1" t="str">
        <f aca="false">IF(Brasil!C548="","",Brasil!F548)</f>
        <v/>
      </c>
      <c r="F548" s="1" t="str">
        <f aca="false">IF(Brasil!C548="","",Brasil!D548)</f>
        <v/>
      </c>
      <c r="I548" s="1" t="str">
        <f aca="false">IF(Brasil!C548="","",Brasil!H548)</f>
        <v/>
      </c>
      <c r="J548" s="1" t="str">
        <f aca="false">IF(Brasil!C548="","",Brasil!D548*Brasil!H548)</f>
        <v/>
      </c>
      <c r="K548" s="1" t="str">
        <f aca="false">IF(Brasil!C548="","","BR")</f>
        <v/>
      </c>
      <c r="L548" s="1" t="str">
        <f aca="false">IF(Brasil!C548="","",IFERROR(INDEX(Gamma_Catalogo!$D$3:$D$1451,MATCH(Brasil!E548,Gamma_Catalogo!$A$3:$A$1451,0)),"Revisar Ip Code"))</f>
        <v/>
      </c>
      <c r="M548" s="1" t="str">
        <f aca="false">IF(Brasil!C548="","",IFERROR(INDEX(Gamma_Catalogo!$C$3:$C$1451,MATCH(Brasil!E548,Gamma_Catalogo!$A$3:$A$1451,0)),"Revisar Ip Code"))</f>
        <v/>
      </c>
      <c r="N548" s="1" t="str">
        <f aca="false">IF(Brasil!C548="","",IFERROR(INDEX(Gamma_Catalogo!$E$3:$E$1451,MATCH(Brasil!E548,Gamma_Catalogo!$A$3:$A$1451,0)),"Revisar Ip Code"))</f>
        <v/>
      </c>
      <c r="O548" s="1" t="str">
        <f aca="false">IF(Brasil!C548="","","Brasil")</f>
        <v/>
      </c>
    </row>
    <row r="549" customFormat="false" ht="15" hidden="false" customHeight="true" outlineLevel="0" collapsed="false">
      <c r="A549" s="1" t="str">
        <f aca="false">IF(Brasil!C549="","",IFERROR(INDEX(Mercados!$C$2:$C$32,MATCH(Brasil!B549,Mercados!$A$2:$A$32,0)),"Revisar Tscode"))</f>
        <v/>
      </c>
      <c r="B549" s="1" t="str">
        <f aca="false">IF(Brasil!C549="","",Brasil!C549)</f>
        <v/>
      </c>
      <c r="C549" s="1" t="str">
        <f aca="false">IF(Brasil!C549="","",Brasil!A549)</f>
        <v/>
      </c>
      <c r="D549" s="1" t="str">
        <f aca="false">IF(Brasil!C549="","",Brasil!E549)</f>
        <v/>
      </c>
      <c r="E549" s="1" t="str">
        <f aca="false">IF(Brasil!C549="","",Brasil!F549)</f>
        <v/>
      </c>
      <c r="F549" s="1" t="str">
        <f aca="false">IF(Brasil!C549="","",Brasil!D549)</f>
        <v/>
      </c>
      <c r="I549" s="1" t="str">
        <f aca="false">IF(Brasil!C549="","",Brasil!H549)</f>
        <v/>
      </c>
      <c r="J549" s="1" t="str">
        <f aca="false">IF(Brasil!C549="","",Brasil!D549*Brasil!H549)</f>
        <v/>
      </c>
      <c r="K549" s="1" t="str">
        <f aca="false">IF(Brasil!C549="","","BR")</f>
        <v/>
      </c>
      <c r="L549" s="1" t="str">
        <f aca="false">IF(Brasil!C549="","",IFERROR(INDEX(Gamma_Catalogo!$D$3:$D$1451,MATCH(Brasil!E549,Gamma_Catalogo!$A$3:$A$1451,0)),"Revisar Ip Code"))</f>
        <v/>
      </c>
      <c r="M549" s="1" t="str">
        <f aca="false">IF(Brasil!C549="","",IFERROR(INDEX(Gamma_Catalogo!$C$3:$C$1451,MATCH(Brasil!E549,Gamma_Catalogo!$A$3:$A$1451,0)),"Revisar Ip Code"))</f>
        <v/>
      </c>
      <c r="N549" s="1" t="str">
        <f aca="false">IF(Brasil!C549="","",IFERROR(INDEX(Gamma_Catalogo!$E$3:$E$1451,MATCH(Brasil!E549,Gamma_Catalogo!$A$3:$A$1451,0)),"Revisar Ip Code"))</f>
        <v/>
      </c>
      <c r="O549" s="1" t="str">
        <f aca="false">IF(Brasil!C549="","","Brasil")</f>
        <v/>
      </c>
    </row>
    <row r="550" customFormat="false" ht="15" hidden="false" customHeight="true" outlineLevel="0" collapsed="false">
      <c r="A550" s="1" t="str">
        <f aca="false">IF(Brasil!C550="","",IFERROR(INDEX(Mercados!$C$2:$C$32,MATCH(Brasil!B550,Mercados!$A$2:$A$32,0)),"Revisar Tscode"))</f>
        <v/>
      </c>
      <c r="B550" s="1" t="str">
        <f aca="false">IF(Brasil!C550="","",Brasil!C550)</f>
        <v/>
      </c>
      <c r="C550" s="1" t="str">
        <f aca="false">IF(Brasil!C550="","",Brasil!A550)</f>
        <v/>
      </c>
      <c r="D550" s="1" t="str">
        <f aca="false">IF(Brasil!C550="","",Brasil!E550)</f>
        <v/>
      </c>
      <c r="E550" s="1" t="str">
        <f aca="false">IF(Brasil!C550="","",Brasil!F550)</f>
        <v/>
      </c>
      <c r="F550" s="1" t="str">
        <f aca="false">IF(Brasil!C550="","",Brasil!D550)</f>
        <v/>
      </c>
      <c r="I550" s="1" t="str">
        <f aca="false">IF(Brasil!C550="","",Brasil!H550)</f>
        <v/>
      </c>
      <c r="J550" s="1" t="str">
        <f aca="false">IF(Brasil!C550="","",Brasil!D550*Brasil!H550)</f>
        <v/>
      </c>
      <c r="K550" s="1" t="str">
        <f aca="false">IF(Brasil!C550="","","BR")</f>
        <v/>
      </c>
      <c r="L550" s="1" t="str">
        <f aca="false">IF(Brasil!C550="","",IFERROR(INDEX(Gamma_Catalogo!$D$3:$D$1451,MATCH(Brasil!E550,Gamma_Catalogo!$A$3:$A$1451,0)),"Revisar Ip Code"))</f>
        <v/>
      </c>
      <c r="M550" s="1" t="str">
        <f aca="false">IF(Brasil!C550="","",IFERROR(INDEX(Gamma_Catalogo!$C$3:$C$1451,MATCH(Brasil!E550,Gamma_Catalogo!$A$3:$A$1451,0)),"Revisar Ip Code"))</f>
        <v/>
      </c>
      <c r="N550" s="1" t="str">
        <f aca="false">IF(Brasil!C550="","",IFERROR(INDEX(Gamma_Catalogo!$E$3:$E$1451,MATCH(Brasil!E550,Gamma_Catalogo!$A$3:$A$1451,0)),"Revisar Ip Code"))</f>
        <v/>
      </c>
      <c r="O550" s="1" t="str">
        <f aca="false">IF(Brasil!C550="","","Brasil")</f>
        <v/>
      </c>
    </row>
    <row r="551" customFormat="false" ht="15" hidden="false" customHeight="true" outlineLevel="0" collapsed="false">
      <c r="A551" s="1" t="str">
        <f aca="false">IF(Brasil!C551="","",IFERROR(INDEX(Mercados!$C$2:$C$32,MATCH(Brasil!B551,Mercados!$A$2:$A$32,0)),"Revisar Tscode"))</f>
        <v/>
      </c>
      <c r="B551" s="1" t="str">
        <f aca="false">IF(Brasil!C551="","",Brasil!C551)</f>
        <v/>
      </c>
      <c r="C551" s="1" t="str">
        <f aca="false">IF(Brasil!C551="","",Brasil!A551)</f>
        <v/>
      </c>
      <c r="D551" s="1" t="str">
        <f aca="false">IF(Brasil!C551="","",Brasil!E551)</f>
        <v/>
      </c>
      <c r="E551" s="1" t="str">
        <f aca="false">IF(Brasil!C551="","",Brasil!F551)</f>
        <v/>
      </c>
      <c r="F551" s="1" t="str">
        <f aca="false">IF(Brasil!C551="","",Brasil!D551)</f>
        <v/>
      </c>
      <c r="I551" s="1" t="str">
        <f aca="false">IF(Brasil!C551="","",Brasil!H551)</f>
        <v/>
      </c>
      <c r="J551" s="1" t="str">
        <f aca="false">IF(Brasil!C551="","",Brasil!D551*Brasil!H551)</f>
        <v/>
      </c>
      <c r="K551" s="1" t="str">
        <f aca="false">IF(Brasil!C551="","","BR")</f>
        <v/>
      </c>
      <c r="L551" s="1" t="str">
        <f aca="false">IF(Brasil!C551="","",IFERROR(INDEX(Gamma_Catalogo!$D$3:$D$1451,MATCH(Brasil!E551,Gamma_Catalogo!$A$3:$A$1451,0)),"Revisar Ip Code"))</f>
        <v/>
      </c>
      <c r="M551" s="1" t="str">
        <f aca="false">IF(Brasil!C551="","",IFERROR(INDEX(Gamma_Catalogo!$C$3:$C$1451,MATCH(Brasil!E551,Gamma_Catalogo!$A$3:$A$1451,0)),"Revisar Ip Code"))</f>
        <v/>
      </c>
      <c r="N551" s="1" t="str">
        <f aca="false">IF(Brasil!C551="","",IFERROR(INDEX(Gamma_Catalogo!$E$3:$E$1451,MATCH(Brasil!E551,Gamma_Catalogo!$A$3:$A$1451,0)),"Revisar Ip Code"))</f>
        <v/>
      </c>
      <c r="O551" s="1" t="str">
        <f aca="false">IF(Brasil!C551="","","Brasil")</f>
        <v/>
      </c>
    </row>
    <row r="552" customFormat="false" ht="15" hidden="false" customHeight="true" outlineLevel="0" collapsed="false">
      <c r="A552" s="1" t="str">
        <f aca="false">IF(Brasil!C552="","",IFERROR(INDEX(Mercados!$C$2:$C$32,MATCH(Brasil!B552,Mercados!$A$2:$A$32,0)),"Revisar Tscode"))</f>
        <v/>
      </c>
      <c r="B552" s="1" t="str">
        <f aca="false">IF(Brasil!C552="","",Brasil!C552)</f>
        <v/>
      </c>
      <c r="C552" s="1" t="str">
        <f aca="false">IF(Brasil!C552="","",Brasil!A552)</f>
        <v/>
      </c>
      <c r="D552" s="1" t="str">
        <f aca="false">IF(Brasil!C552="","",Brasil!E552)</f>
        <v/>
      </c>
      <c r="E552" s="1" t="str">
        <f aca="false">IF(Brasil!C552="","",Brasil!F552)</f>
        <v/>
      </c>
      <c r="F552" s="1" t="str">
        <f aca="false">IF(Brasil!C552="","",Brasil!D552)</f>
        <v/>
      </c>
      <c r="I552" s="1" t="str">
        <f aca="false">IF(Brasil!C552="","",Brasil!H552)</f>
        <v/>
      </c>
      <c r="J552" s="1" t="str">
        <f aca="false">IF(Brasil!C552="","",Brasil!D552*Brasil!H552)</f>
        <v/>
      </c>
      <c r="K552" s="1" t="str">
        <f aca="false">IF(Brasil!C552="","","BR")</f>
        <v/>
      </c>
      <c r="L552" s="1" t="str">
        <f aca="false">IF(Brasil!C552="","",IFERROR(INDEX(Gamma_Catalogo!$D$3:$D$1451,MATCH(Brasil!E552,Gamma_Catalogo!$A$3:$A$1451,0)),"Revisar Ip Code"))</f>
        <v/>
      </c>
      <c r="M552" s="1" t="str">
        <f aca="false">IF(Brasil!C552="","",IFERROR(INDEX(Gamma_Catalogo!$C$3:$C$1451,MATCH(Brasil!E552,Gamma_Catalogo!$A$3:$A$1451,0)),"Revisar Ip Code"))</f>
        <v/>
      </c>
      <c r="N552" s="1" t="str">
        <f aca="false">IF(Brasil!C552="","",IFERROR(INDEX(Gamma_Catalogo!$E$3:$E$1451,MATCH(Brasil!E552,Gamma_Catalogo!$A$3:$A$1451,0)),"Revisar Ip Code"))</f>
        <v/>
      </c>
      <c r="O552" s="1" t="str">
        <f aca="false">IF(Brasil!C552="","","Brasil")</f>
        <v/>
      </c>
    </row>
    <row r="553" customFormat="false" ht="15" hidden="false" customHeight="true" outlineLevel="0" collapsed="false">
      <c r="A553" s="1" t="str">
        <f aca="false">IF(Brasil!C553="","",IFERROR(INDEX(Mercados!$C$2:$C$32,MATCH(Brasil!B553,Mercados!$A$2:$A$32,0)),"Revisar Tscode"))</f>
        <v/>
      </c>
      <c r="B553" s="1" t="str">
        <f aca="false">IF(Brasil!C553="","",Brasil!C553)</f>
        <v/>
      </c>
      <c r="C553" s="1" t="str">
        <f aca="false">IF(Brasil!C553="","",Brasil!A553)</f>
        <v/>
      </c>
      <c r="D553" s="1" t="str">
        <f aca="false">IF(Brasil!C553="","",Brasil!E553)</f>
        <v/>
      </c>
      <c r="E553" s="1" t="str">
        <f aca="false">IF(Brasil!C553="","",Brasil!F553)</f>
        <v/>
      </c>
      <c r="F553" s="1" t="str">
        <f aca="false">IF(Brasil!C553="","",Brasil!D553)</f>
        <v/>
      </c>
      <c r="I553" s="1" t="str">
        <f aca="false">IF(Brasil!C553="","",Brasil!H553)</f>
        <v/>
      </c>
      <c r="J553" s="1" t="str">
        <f aca="false">IF(Brasil!C553="","",Brasil!D553*Brasil!H553)</f>
        <v/>
      </c>
      <c r="K553" s="1" t="str">
        <f aca="false">IF(Brasil!C553="","","BR")</f>
        <v/>
      </c>
      <c r="L553" s="1" t="str">
        <f aca="false">IF(Brasil!C553="","",IFERROR(INDEX(Gamma_Catalogo!$D$3:$D$1451,MATCH(Brasil!E553,Gamma_Catalogo!$A$3:$A$1451,0)),"Revisar Ip Code"))</f>
        <v/>
      </c>
      <c r="M553" s="1" t="str">
        <f aca="false">IF(Brasil!C553="","",IFERROR(INDEX(Gamma_Catalogo!$C$3:$C$1451,MATCH(Brasil!E553,Gamma_Catalogo!$A$3:$A$1451,0)),"Revisar Ip Code"))</f>
        <v/>
      </c>
      <c r="N553" s="1" t="str">
        <f aca="false">IF(Brasil!C553="","",IFERROR(INDEX(Gamma_Catalogo!$E$3:$E$1451,MATCH(Brasil!E553,Gamma_Catalogo!$A$3:$A$1451,0)),"Revisar Ip Code"))</f>
        <v/>
      </c>
      <c r="O553" s="1" t="str">
        <f aca="false">IF(Brasil!C553="","","Brasil")</f>
        <v/>
      </c>
    </row>
    <row r="554" customFormat="false" ht="15" hidden="false" customHeight="true" outlineLevel="0" collapsed="false">
      <c r="A554" s="1" t="str">
        <f aca="false">IF(Brasil!C554="","",IFERROR(INDEX(Mercados!$C$2:$C$32,MATCH(Brasil!B554,Mercados!$A$2:$A$32,0)),"Revisar Tscode"))</f>
        <v/>
      </c>
      <c r="B554" s="1" t="str">
        <f aca="false">IF(Brasil!C554="","",Brasil!C554)</f>
        <v/>
      </c>
      <c r="C554" s="1" t="str">
        <f aca="false">IF(Brasil!C554="","",Brasil!A554)</f>
        <v/>
      </c>
      <c r="D554" s="1" t="str">
        <f aca="false">IF(Brasil!C554="","",Brasil!E554)</f>
        <v/>
      </c>
      <c r="E554" s="1" t="str">
        <f aca="false">IF(Brasil!C554="","",Brasil!F554)</f>
        <v/>
      </c>
      <c r="F554" s="1" t="str">
        <f aca="false">IF(Brasil!C554="","",Brasil!D554)</f>
        <v/>
      </c>
      <c r="I554" s="1" t="str">
        <f aca="false">IF(Brasil!C554="","",Brasil!H554)</f>
        <v/>
      </c>
      <c r="J554" s="1" t="str">
        <f aca="false">IF(Brasil!C554="","",Brasil!D554*Brasil!H554)</f>
        <v/>
      </c>
      <c r="K554" s="1" t="str">
        <f aca="false">IF(Brasil!C554="","","BR")</f>
        <v/>
      </c>
      <c r="L554" s="1" t="str">
        <f aca="false">IF(Brasil!C554="","",IFERROR(INDEX(Gamma_Catalogo!$D$3:$D$1451,MATCH(Brasil!E554,Gamma_Catalogo!$A$3:$A$1451,0)),"Revisar Ip Code"))</f>
        <v/>
      </c>
      <c r="M554" s="1" t="str">
        <f aca="false">IF(Brasil!C554="","",IFERROR(INDEX(Gamma_Catalogo!$C$3:$C$1451,MATCH(Brasil!E554,Gamma_Catalogo!$A$3:$A$1451,0)),"Revisar Ip Code"))</f>
        <v/>
      </c>
      <c r="N554" s="1" t="str">
        <f aca="false">IF(Brasil!C554="","",IFERROR(INDEX(Gamma_Catalogo!$E$3:$E$1451,MATCH(Brasil!E554,Gamma_Catalogo!$A$3:$A$1451,0)),"Revisar Ip Code"))</f>
        <v/>
      </c>
      <c r="O554" s="1" t="str">
        <f aca="false">IF(Brasil!C554="","","Brasil")</f>
        <v/>
      </c>
    </row>
    <row r="555" customFormat="false" ht="15" hidden="false" customHeight="true" outlineLevel="0" collapsed="false">
      <c r="A555" s="1" t="str">
        <f aca="false">IF(Brasil!C555="","",IFERROR(INDEX(Mercados!$C$2:$C$32,MATCH(Brasil!B555,Mercados!$A$2:$A$32,0)),"Revisar Tscode"))</f>
        <v/>
      </c>
      <c r="B555" s="1" t="str">
        <f aca="false">IF(Brasil!C555="","",Brasil!C555)</f>
        <v/>
      </c>
      <c r="C555" s="1" t="str">
        <f aca="false">IF(Brasil!C555="","",Brasil!A555)</f>
        <v/>
      </c>
      <c r="D555" s="1" t="str">
        <f aca="false">IF(Brasil!C555="","",Brasil!E555)</f>
        <v/>
      </c>
      <c r="E555" s="1" t="str">
        <f aca="false">IF(Brasil!C555="","",Brasil!F555)</f>
        <v/>
      </c>
      <c r="F555" s="1" t="str">
        <f aca="false">IF(Brasil!C555="","",Brasil!D555)</f>
        <v/>
      </c>
      <c r="I555" s="1" t="str">
        <f aca="false">IF(Brasil!C555="","",Brasil!H555)</f>
        <v/>
      </c>
      <c r="J555" s="1" t="str">
        <f aca="false">IF(Brasil!C555="","",Brasil!D555*Brasil!H555)</f>
        <v/>
      </c>
      <c r="K555" s="1" t="str">
        <f aca="false">IF(Brasil!C555="","","BR")</f>
        <v/>
      </c>
      <c r="L555" s="1" t="str">
        <f aca="false">IF(Brasil!C555="","",IFERROR(INDEX(Gamma_Catalogo!$D$3:$D$1451,MATCH(Brasil!E555,Gamma_Catalogo!$A$3:$A$1451,0)),"Revisar Ip Code"))</f>
        <v/>
      </c>
      <c r="M555" s="1" t="str">
        <f aca="false">IF(Brasil!C555="","",IFERROR(INDEX(Gamma_Catalogo!$C$3:$C$1451,MATCH(Brasil!E555,Gamma_Catalogo!$A$3:$A$1451,0)),"Revisar Ip Code"))</f>
        <v/>
      </c>
      <c r="N555" s="1" t="str">
        <f aca="false">IF(Brasil!C555="","",IFERROR(INDEX(Gamma_Catalogo!$E$3:$E$1451,MATCH(Brasil!E555,Gamma_Catalogo!$A$3:$A$1451,0)),"Revisar Ip Code"))</f>
        <v/>
      </c>
      <c r="O555" s="1" t="str">
        <f aca="false">IF(Brasil!C555="","","Brasil")</f>
        <v/>
      </c>
    </row>
    <row r="556" customFormat="false" ht="15" hidden="false" customHeight="true" outlineLevel="0" collapsed="false">
      <c r="A556" s="1" t="str">
        <f aca="false">IF(Brasil!C556="","",IFERROR(INDEX(Mercados!$C$2:$C$32,MATCH(Brasil!B556,Mercados!$A$2:$A$32,0)),"Revisar Tscode"))</f>
        <v/>
      </c>
      <c r="B556" s="1" t="str">
        <f aca="false">IF(Brasil!C556="","",Brasil!C556)</f>
        <v/>
      </c>
      <c r="C556" s="1" t="str">
        <f aca="false">IF(Brasil!C556="","",Brasil!A556)</f>
        <v/>
      </c>
      <c r="D556" s="1" t="str">
        <f aca="false">IF(Brasil!C556="","",Brasil!E556)</f>
        <v/>
      </c>
      <c r="E556" s="1" t="str">
        <f aca="false">IF(Brasil!C556="","",Brasil!F556)</f>
        <v/>
      </c>
      <c r="F556" s="1" t="str">
        <f aca="false">IF(Brasil!C556="","",Brasil!D556)</f>
        <v/>
      </c>
      <c r="I556" s="1" t="str">
        <f aca="false">IF(Brasil!C556="","",Brasil!H556)</f>
        <v/>
      </c>
      <c r="J556" s="1" t="str">
        <f aca="false">IF(Brasil!C556="","",Brasil!D556*Brasil!H556)</f>
        <v/>
      </c>
      <c r="K556" s="1" t="str">
        <f aca="false">IF(Brasil!C556="","","BR")</f>
        <v/>
      </c>
      <c r="L556" s="1" t="str">
        <f aca="false">IF(Brasil!C556="","",IFERROR(INDEX(Gamma_Catalogo!$D$3:$D$1451,MATCH(Brasil!E556,Gamma_Catalogo!$A$3:$A$1451,0)),"Revisar Ip Code"))</f>
        <v/>
      </c>
      <c r="M556" s="1" t="str">
        <f aca="false">IF(Brasil!C556="","",IFERROR(INDEX(Gamma_Catalogo!$C$3:$C$1451,MATCH(Brasil!E556,Gamma_Catalogo!$A$3:$A$1451,0)),"Revisar Ip Code"))</f>
        <v/>
      </c>
      <c r="N556" s="1" t="str">
        <f aca="false">IF(Brasil!C556="","",IFERROR(INDEX(Gamma_Catalogo!$E$3:$E$1451,MATCH(Brasil!E556,Gamma_Catalogo!$A$3:$A$1451,0)),"Revisar Ip Code"))</f>
        <v/>
      </c>
      <c r="O556" s="1" t="str">
        <f aca="false">IF(Brasil!C556="","","Brasil")</f>
        <v/>
      </c>
    </row>
    <row r="557" customFormat="false" ht="15" hidden="false" customHeight="true" outlineLevel="0" collapsed="false">
      <c r="A557" s="1" t="str">
        <f aca="false">IF(Brasil!C557="","",IFERROR(INDEX(Mercados!$C$2:$C$32,MATCH(Brasil!B557,Mercados!$A$2:$A$32,0)),"Revisar Tscode"))</f>
        <v/>
      </c>
      <c r="B557" s="1" t="str">
        <f aca="false">IF(Brasil!C557="","",Brasil!C557)</f>
        <v/>
      </c>
      <c r="C557" s="1" t="str">
        <f aca="false">IF(Brasil!C557="","",Brasil!A557)</f>
        <v/>
      </c>
      <c r="D557" s="1" t="str">
        <f aca="false">IF(Brasil!C557="","",Brasil!E557)</f>
        <v/>
      </c>
      <c r="E557" s="1" t="str">
        <f aca="false">IF(Brasil!C557="","",Brasil!F557)</f>
        <v/>
      </c>
      <c r="F557" s="1" t="str">
        <f aca="false">IF(Brasil!C557="","",Brasil!D557)</f>
        <v/>
      </c>
      <c r="I557" s="1" t="str">
        <f aca="false">IF(Brasil!C557="","",Brasil!H557)</f>
        <v/>
      </c>
      <c r="J557" s="1" t="str">
        <f aca="false">IF(Brasil!C557="","",Brasil!D557*Brasil!H557)</f>
        <v/>
      </c>
      <c r="K557" s="1" t="str">
        <f aca="false">IF(Brasil!C557="","","BR")</f>
        <v/>
      </c>
      <c r="L557" s="1" t="str">
        <f aca="false">IF(Brasil!C557="","",IFERROR(INDEX(Gamma_Catalogo!$D$3:$D$1451,MATCH(Brasil!E557,Gamma_Catalogo!$A$3:$A$1451,0)),"Revisar Ip Code"))</f>
        <v/>
      </c>
      <c r="M557" s="1" t="str">
        <f aca="false">IF(Brasil!C557="","",IFERROR(INDEX(Gamma_Catalogo!$C$3:$C$1451,MATCH(Brasil!E557,Gamma_Catalogo!$A$3:$A$1451,0)),"Revisar Ip Code"))</f>
        <v/>
      </c>
      <c r="N557" s="1" t="str">
        <f aca="false">IF(Brasil!C557="","",IFERROR(INDEX(Gamma_Catalogo!$E$3:$E$1451,MATCH(Brasil!E557,Gamma_Catalogo!$A$3:$A$1451,0)),"Revisar Ip Code"))</f>
        <v/>
      </c>
      <c r="O557" s="1" t="str">
        <f aca="false">IF(Brasil!C557="","","Brasil")</f>
        <v/>
      </c>
    </row>
    <row r="558" customFormat="false" ht="15" hidden="false" customHeight="true" outlineLevel="0" collapsed="false">
      <c r="A558" s="1" t="str">
        <f aca="false">IF(Brasil!C558="","",IFERROR(INDEX(Mercados!$C$2:$C$32,MATCH(Brasil!B558,Mercados!$A$2:$A$32,0)),"Revisar Tscode"))</f>
        <v/>
      </c>
      <c r="B558" s="1" t="str">
        <f aca="false">IF(Brasil!C558="","",Brasil!C558)</f>
        <v/>
      </c>
      <c r="C558" s="1" t="str">
        <f aca="false">IF(Brasil!C558="","",Brasil!A558)</f>
        <v/>
      </c>
      <c r="D558" s="1" t="str">
        <f aca="false">IF(Brasil!C558="","",Brasil!E558)</f>
        <v/>
      </c>
      <c r="E558" s="1" t="str">
        <f aca="false">IF(Brasil!C558="","",Brasil!F558)</f>
        <v/>
      </c>
      <c r="F558" s="1" t="str">
        <f aca="false">IF(Brasil!C558="","",Brasil!D558)</f>
        <v/>
      </c>
      <c r="I558" s="1" t="str">
        <f aca="false">IF(Brasil!C558="","",Brasil!H558)</f>
        <v/>
      </c>
      <c r="J558" s="1" t="str">
        <f aca="false">IF(Brasil!C558="","",Brasil!D558*Brasil!H558)</f>
        <v/>
      </c>
      <c r="K558" s="1" t="str">
        <f aca="false">IF(Brasil!C558="","","BR")</f>
        <v/>
      </c>
      <c r="L558" s="1" t="str">
        <f aca="false">IF(Brasil!C558="","",IFERROR(INDEX(Gamma_Catalogo!$D$3:$D$1451,MATCH(Brasil!E558,Gamma_Catalogo!$A$3:$A$1451,0)),"Revisar Ip Code"))</f>
        <v/>
      </c>
      <c r="M558" s="1" t="str">
        <f aca="false">IF(Brasil!C558="","",IFERROR(INDEX(Gamma_Catalogo!$C$3:$C$1451,MATCH(Brasil!E558,Gamma_Catalogo!$A$3:$A$1451,0)),"Revisar Ip Code"))</f>
        <v/>
      </c>
      <c r="N558" s="1" t="str">
        <f aca="false">IF(Brasil!C558="","",IFERROR(INDEX(Gamma_Catalogo!$E$3:$E$1451,MATCH(Brasil!E558,Gamma_Catalogo!$A$3:$A$1451,0)),"Revisar Ip Code"))</f>
        <v/>
      </c>
      <c r="O558" s="1" t="str">
        <f aca="false">IF(Brasil!C558="","","Brasil")</f>
        <v/>
      </c>
    </row>
    <row r="559" customFormat="false" ht="15" hidden="false" customHeight="true" outlineLevel="0" collapsed="false">
      <c r="A559" s="1" t="str">
        <f aca="false">IF(Brasil!C559="","",IFERROR(INDEX(Mercados!$C$2:$C$32,MATCH(Brasil!B559,Mercados!$A$2:$A$32,0)),"Revisar Tscode"))</f>
        <v/>
      </c>
      <c r="B559" s="1" t="str">
        <f aca="false">IF(Brasil!C559="","",Brasil!C559)</f>
        <v/>
      </c>
      <c r="C559" s="1" t="str">
        <f aca="false">IF(Brasil!C559="","",Brasil!A559)</f>
        <v/>
      </c>
      <c r="D559" s="1" t="str">
        <f aca="false">IF(Brasil!C559="","",Brasil!E559)</f>
        <v/>
      </c>
      <c r="E559" s="1" t="str">
        <f aca="false">IF(Brasil!C559="","",Brasil!F559)</f>
        <v/>
      </c>
      <c r="F559" s="1" t="str">
        <f aca="false">IF(Brasil!C559="","",Brasil!D559)</f>
        <v/>
      </c>
      <c r="I559" s="1" t="str">
        <f aca="false">IF(Brasil!C559="","",Brasil!H559)</f>
        <v/>
      </c>
      <c r="J559" s="1" t="str">
        <f aca="false">IF(Brasil!C559="","",Brasil!D559*Brasil!H559)</f>
        <v/>
      </c>
      <c r="K559" s="1" t="str">
        <f aca="false">IF(Brasil!C559="","","BR")</f>
        <v/>
      </c>
      <c r="L559" s="1" t="str">
        <f aca="false">IF(Brasil!C559="","",IFERROR(INDEX(Gamma_Catalogo!$D$3:$D$1451,MATCH(Brasil!E559,Gamma_Catalogo!$A$3:$A$1451,0)),"Revisar Ip Code"))</f>
        <v/>
      </c>
      <c r="M559" s="1" t="str">
        <f aca="false">IF(Brasil!C559="","",IFERROR(INDEX(Gamma_Catalogo!$C$3:$C$1451,MATCH(Brasil!E559,Gamma_Catalogo!$A$3:$A$1451,0)),"Revisar Ip Code"))</f>
        <v/>
      </c>
      <c r="N559" s="1" t="str">
        <f aca="false">IF(Brasil!C559="","",IFERROR(INDEX(Gamma_Catalogo!$E$3:$E$1451,MATCH(Brasil!E559,Gamma_Catalogo!$A$3:$A$1451,0)),"Revisar Ip Code"))</f>
        <v/>
      </c>
      <c r="O559" s="1" t="str">
        <f aca="false">IF(Brasil!C559="","","Brasil")</f>
        <v/>
      </c>
    </row>
    <row r="560" customFormat="false" ht="15" hidden="false" customHeight="true" outlineLevel="0" collapsed="false">
      <c r="A560" s="1" t="str">
        <f aca="false">IF(Brasil!C560="","",IFERROR(INDEX(Mercados!$C$2:$C$32,MATCH(Brasil!B560,Mercados!$A$2:$A$32,0)),"Revisar Tscode"))</f>
        <v/>
      </c>
      <c r="B560" s="1" t="str">
        <f aca="false">IF(Brasil!C560="","",Brasil!C560)</f>
        <v/>
      </c>
      <c r="C560" s="1" t="str">
        <f aca="false">IF(Brasil!C560="","",Brasil!A560)</f>
        <v/>
      </c>
      <c r="D560" s="1" t="str">
        <f aca="false">IF(Brasil!C560="","",Brasil!E560)</f>
        <v/>
      </c>
      <c r="E560" s="1" t="str">
        <f aca="false">IF(Brasil!C560="","",Brasil!F560)</f>
        <v/>
      </c>
      <c r="F560" s="1" t="str">
        <f aca="false">IF(Brasil!C560="","",Brasil!D560)</f>
        <v/>
      </c>
      <c r="I560" s="1" t="str">
        <f aca="false">IF(Brasil!C560="","",Brasil!H560)</f>
        <v/>
      </c>
      <c r="J560" s="1" t="str">
        <f aca="false">IF(Brasil!C560="","",Brasil!D560*Brasil!H560)</f>
        <v/>
      </c>
      <c r="K560" s="1" t="str">
        <f aca="false">IF(Brasil!C560="","","BR")</f>
        <v/>
      </c>
      <c r="L560" s="1" t="str">
        <f aca="false">IF(Brasil!C560="","",IFERROR(INDEX(Gamma_Catalogo!$D$3:$D$1451,MATCH(Brasil!E560,Gamma_Catalogo!$A$3:$A$1451,0)),"Revisar Ip Code"))</f>
        <v/>
      </c>
      <c r="M560" s="1" t="str">
        <f aca="false">IF(Brasil!C560="","",IFERROR(INDEX(Gamma_Catalogo!$C$3:$C$1451,MATCH(Brasil!E560,Gamma_Catalogo!$A$3:$A$1451,0)),"Revisar Ip Code"))</f>
        <v/>
      </c>
      <c r="N560" s="1" t="str">
        <f aca="false">IF(Brasil!C560="","",IFERROR(INDEX(Gamma_Catalogo!$E$3:$E$1451,MATCH(Brasil!E560,Gamma_Catalogo!$A$3:$A$1451,0)),"Revisar Ip Code"))</f>
        <v/>
      </c>
      <c r="O560" s="1" t="str">
        <f aca="false">IF(Brasil!C560="","","Brasil")</f>
        <v/>
      </c>
    </row>
    <row r="561" customFormat="false" ht="15" hidden="false" customHeight="true" outlineLevel="0" collapsed="false">
      <c r="A561" s="1" t="str">
        <f aca="false">IF(Brasil!C561="","",IFERROR(INDEX(Mercados!$C$2:$C$32,MATCH(Brasil!B561,Mercados!$A$2:$A$32,0)),"Revisar Tscode"))</f>
        <v/>
      </c>
      <c r="B561" s="1" t="str">
        <f aca="false">IF(Brasil!C561="","",Brasil!C561)</f>
        <v/>
      </c>
      <c r="C561" s="1" t="str">
        <f aca="false">IF(Brasil!C561="","",Brasil!A561)</f>
        <v/>
      </c>
      <c r="D561" s="1" t="str">
        <f aca="false">IF(Brasil!C561="","",Brasil!E561)</f>
        <v/>
      </c>
      <c r="E561" s="1" t="str">
        <f aca="false">IF(Brasil!C561="","",Brasil!F561)</f>
        <v/>
      </c>
      <c r="F561" s="1" t="str">
        <f aca="false">IF(Brasil!C561="","",Brasil!D561)</f>
        <v/>
      </c>
      <c r="I561" s="1" t="str">
        <f aca="false">IF(Brasil!C561="","",Brasil!H561)</f>
        <v/>
      </c>
      <c r="J561" s="1" t="str">
        <f aca="false">IF(Brasil!C561="","",Brasil!D561*Brasil!H561)</f>
        <v/>
      </c>
      <c r="K561" s="1" t="str">
        <f aca="false">IF(Brasil!C561="","","BR")</f>
        <v/>
      </c>
      <c r="L561" s="1" t="str">
        <f aca="false">IF(Brasil!C561="","",IFERROR(INDEX(Gamma_Catalogo!$D$3:$D$1451,MATCH(Brasil!E561,Gamma_Catalogo!$A$3:$A$1451,0)),"Revisar Ip Code"))</f>
        <v/>
      </c>
      <c r="M561" s="1" t="str">
        <f aca="false">IF(Brasil!C561="","",IFERROR(INDEX(Gamma_Catalogo!$C$3:$C$1451,MATCH(Brasil!E561,Gamma_Catalogo!$A$3:$A$1451,0)),"Revisar Ip Code"))</f>
        <v/>
      </c>
      <c r="N561" s="1" t="str">
        <f aca="false">IF(Brasil!C561="","",IFERROR(INDEX(Gamma_Catalogo!$E$3:$E$1451,MATCH(Brasil!E561,Gamma_Catalogo!$A$3:$A$1451,0)),"Revisar Ip Code"))</f>
        <v/>
      </c>
      <c r="O561" s="1" t="str">
        <f aca="false">IF(Brasil!C561="","","Brasil")</f>
        <v/>
      </c>
    </row>
    <row r="562" customFormat="false" ht="15" hidden="false" customHeight="true" outlineLevel="0" collapsed="false">
      <c r="A562" s="1" t="str">
        <f aca="false">IF(Brasil!C562="","",IFERROR(INDEX(Mercados!$C$2:$C$32,MATCH(Brasil!B562,Mercados!$A$2:$A$32,0)),"Revisar Tscode"))</f>
        <v/>
      </c>
      <c r="B562" s="1" t="str">
        <f aca="false">IF(Brasil!C562="","",Brasil!C562)</f>
        <v/>
      </c>
      <c r="C562" s="1" t="str">
        <f aca="false">IF(Brasil!C562="","",Brasil!A562)</f>
        <v/>
      </c>
      <c r="D562" s="1" t="str">
        <f aca="false">IF(Brasil!C562="","",Brasil!E562)</f>
        <v/>
      </c>
      <c r="E562" s="1" t="str">
        <f aca="false">IF(Brasil!C562="","",Brasil!F562)</f>
        <v/>
      </c>
      <c r="F562" s="1" t="str">
        <f aca="false">IF(Brasil!C562="","",Brasil!D562)</f>
        <v/>
      </c>
      <c r="I562" s="1" t="str">
        <f aca="false">IF(Brasil!C562="","",Brasil!H562)</f>
        <v/>
      </c>
      <c r="J562" s="1" t="str">
        <f aca="false">IF(Brasil!C562="","",Brasil!D562*Brasil!H562)</f>
        <v/>
      </c>
      <c r="K562" s="1" t="str">
        <f aca="false">IF(Brasil!C562="","","BR")</f>
        <v/>
      </c>
      <c r="L562" s="1" t="str">
        <f aca="false">IF(Brasil!C562="","",IFERROR(INDEX(Gamma_Catalogo!$D$3:$D$1451,MATCH(Brasil!E562,Gamma_Catalogo!$A$3:$A$1451,0)),"Revisar Ip Code"))</f>
        <v/>
      </c>
      <c r="M562" s="1" t="str">
        <f aca="false">IF(Brasil!C562="","",IFERROR(INDEX(Gamma_Catalogo!$C$3:$C$1451,MATCH(Brasil!E562,Gamma_Catalogo!$A$3:$A$1451,0)),"Revisar Ip Code"))</f>
        <v/>
      </c>
      <c r="N562" s="1" t="str">
        <f aca="false">IF(Brasil!C562="","",IFERROR(INDEX(Gamma_Catalogo!$E$3:$E$1451,MATCH(Brasil!E562,Gamma_Catalogo!$A$3:$A$1451,0)),"Revisar Ip Code"))</f>
        <v/>
      </c>
      <c r="O562" s="1" t="str">
        <f aca="false">IF(Brasil!C562="","","Brasil")</f>
        <v/>
      </c>
    </row>
    <row r="563" customFormat="false" ht="15" hidden="false" customHeight="true" outlineLevel="0" collapsed="false">
      <c r="A563" s="1" t="str">
        <f aca="false">IF(Brasil!C563="","",IFERROR(INDEX(Mercados!$C$2:$C$32,MATCH(Brasil!B563,Mercados!$A$2:$A$32,0)),"Revisar Tscode"))</f>
        <v/>
      </c>
      <c r="B563" s="1" t="str">
        <f aca="false">IF(Brasil!C563="","",Brasil!C563)</f>
        <v/>
      </c>
      <c r="C563" s="1" t="str">
        <f aca="false">IF(Brasil!C563="","",Brasil!A563)</f>
        <v/>
      </c>
      <c r="D563" s="1" t="str">
        <f aca="false">IF(Brasil!C563="","",Brasil!E563)</f>
        <v/>
      </c>
      <c r="E563" s="1" t="str">
        <f aca="false">IF(Brasil!C563="","",Brasil!F563)</f>
        <v/>
      </c>
      <c r="F563" s="1" t="str">
        <f aca="false">IF(Brasil!C563="","",Brasil!D563)</f>
        <v/>
      </c>
      <c r="I563" s="1" t="str">
        <f aca="false">IF(Brasil!C563="","",Brasil!H563)</f>
        <v/>
      </c>
      <c r="J563" s="1" t="str">
        <f aca="false">IF(Brasil!C563="","",Brasil!D563*Brasil!H563)</f>
        <v/>
      </c>
      <c r="K563" s="1" t="str">
        <f aca="false">IF(Brasil!C563="","","BR")</f>
        <v/>
      </c>
      <c r="L563" s="1" t="str">
        <f aca="false">IF(Brasil!C563="","",IFERROR(INDEX(Gamma_Catalogo!$D$3:$D$1451,MATCH(Brasil!E563,Gamma_Catalogo!$A$3:$A$1451,0)),"Revisar Ip Code"))</f>
        <v/>
      </c>
      <c r="M563" s="1" t="str">
        <f aca="false">IF(Brasil!C563="","",IFERROR(INDEX(Gamma_Catalogo!$C$3:$C$1451,MATCH(Brasil!E563,Gamma_Catalogo!$A$3:$A$1451,0)),"Revisar Ip Code"))</f>
        <v/>
      </c>
      <c r="N563" s="1" t="str">
        <f aca="false">IF(Brasil!C563="","",IFERROR(INDEX(Gamma_Catalogo!$E$3:$E$1451,MATCH(Brasil!E563,Gamma_Catalogo!$A$3:$A$1451,0)),"Revisar Ip Code"))</f>
        <v/>
      </c>
      <c r="O563" s="1" t="str">
        <f aca="false">IF(Brasil!C563="","","Brasil")</f>
        <v/>
      </c>
    </row>
    <row r="564" customFormat="false" ht="15" hidden="false" customHeight="true" outlineLevel="0" collapsed="false">
      <c r="A564" s="1" t="str">
        <f aca="false">IF(Brasil!C564="","",IFERROR(INDEX(Mercados!$C$2:$C$32,MATCH(Brasil!B564,Mercados!$A$2:$A$32,0)),"Revisar Tscode"))</f>
        <v/>
      </c>
      <c r="B564" s="1" t="str">
        <f aca="false">IF(Brasil!C564="","",Brasil!C564)</f>
        <v/>
      </c>
      <c r="C564" s="1" t="str">
        <f aca="false">IF(Brasil!C564="","",Brasil!A564)</f>
        <v/>
      </c>
      <c r="D564" s="1" t="str">
        <f aca="false">IF(Brasil!C564="","",Brasil!E564)</f>
        <v/>
      </c>
      <c r="E564" s="1" t="str">
        <f aca="false">IF(Brasil!C564="","",Brasil!F564)</f>
        <v/>
      </c>
      <c r="F564" s="1" t="str">
        <f aca="false">IF(Brasil!C564="","",Brasil!D564)</f>
        <v/>
      </c>
      <c r="I564" s="1" t="str">
        <f aca="false">IF(Brasil!C564="","",Brasil!H564)</f>
        <v/>
      </c>
      <c r="J564" s="1" t="str">
        <f aca="false">IF(Brasil!C564="","",Brasil!D564*Brasil!H564)</f>
        <v/>
      </c>
      <c r="K564" s="1" t="str">
        <f aca="false">IF(Brasil!C564="","","BR")</f>
        <v/>
      </c>
      <c r="L564" s="1" t="str">
        <f aca="false">IF(Brasil!C564="","",IFERROR(INDEX(Gamma_Catalogo!$D$3:$D$1451,MATCH(Brasil!E564,Gamma_Catalogo!$A$3:$A$1451,0)),"Revisar Ip Code"))</f>
        <v/>
      </c>
      <c r="M564" s="1" t="str">
        <f aca="false">IF(Brasil!C564="","",IFERROR(INDEX(Gamma_Catalogo!$C$3:$C$1451,MATCH(Brasil!E564,Gamma_Catalogo!$A$3:$A$1451,0)),"Revisar Ip Code"))</f>
        <v/>
      </c>
      <c r="N564" s="1" t="str">
        <f aca="false">IF(Brasil!C564="","",IFERROR(INDEX(Gamma_Catalogo!$E$3:$E$1451,MATCH(Brasil!E564,Gamma_Catalogo!$A$3:$A$1451,0)),"Revisar Ip Code"))</f>
        <v/>
      </c>
      <c r="O564" s="1" t="str">
        <f aca="false">IF(Brasil!C564="","","Brasil")</f>
        <v/>
      </c>
    </row>
    <row r="565" customFormat="false" ht="15" hidden="false" customHeight="true" outlineLevel="0" collapsed="false">
      <c r="A565" s="1" t="str">
        <f aca="false">IF(Brasil!C565="","",IFERROR(INDEX(Mercados!$C$2:$C$32,MATCH(Brasil!B565,Mercados!$A$2:$A$32,0)),"Revisar Tscode"))</f>
        <v/>
      </c>
      <c r="B565" s="1" t="str">
        <f aca="false">IF(Brasil!C565="","",Brasil!C565)</f>
        <v/>
      </c>
      <c r="C565" s="1" t="str">
        <f aca="false">IF(Brasil!C565="","",Brasil!A565)</f>
        <v/>
      </c>
      <c r="D565" s="1" t="str">
        <f aca="false">IF(Brasil!C565="","",Brasil!E565)</f>
        <v/>
      </c>
      <c r="E565" s="1" t="str">
        <f aca="false">IF(Brasil!C565="","",Brasil!F565)</f>
        <v/>
      </c>
      <c r="F565" s="1" t="str">
        <f aca="false">IF(Brasil!C565="","",Brasil!D565)</f>
        <v/>
      </c>
      <c r="I565" s="1" t="str">
        <f aca="false">IF(Brasil!C565="","",Brasil!H565)</f>
        <v/>
      </c>
      <c r="J565" s="1" t="str">
        <f aca="false">IF(Brasil!C565="","",Brasil!D565*Brasil!H565)</f>
        <v/>
      </c>
      <c r="K565" s="1" t="str">
        <f aca="false">IF(Brasil!C565="","","BR")</f>
        <v/>
      </c>
      <c r="L565" s="1" t="str">
        <f aca="false">IF(Brasil!C565="","",IFERROR(INDEX(Gamma_Catalogo!$D$3:$D$1451,MATCH(Brasil!E565,Gamma_Catalogo!$A$3:$A$1451,0)),"Revisar Ip Code"))</f>
        <v/>
      </c>
      <c r="M565" s="1" t="str">
        <f aca="false">IF(Brasil!C565="","",IFERROR(INDEX(Gamma_Catalogo!$C$3:$C$1451,MATCH(Brasil!E565,Gamma_Catalogo!$A$3:$A$1451,0)),"Revisar Ip Code"))</f>
        <v/>
      </c>
      <c r="N565" s="1" t="str">
        <f aca="false">IF(Brasil!C565="","",IFERROR(INDEX(Gamma_Catalogo!$E$3:$E$1451,MATCH(Brasil!E565,Gamma_Catalogo!$A$3:$A$1451,0)),"Revisar Ip Code"))</f>
        <v/>
      </c>
      <c r="O565" s="1" t="str">
        <f aca="false">IF(Brasil!C565="","","Brasil")</f>
        <v/>
      </c>
    </row>
    <row r="566" customFormat="false" ht="15" hidden="false" customHeight="true" outlineLevel="0" collapsed="false">
      <c r="A566" s="1" t="str">
        <f aca="false">IF(Brasil!C566="","",IFERROR(INDEX(Mercados!$C$2:$C$32,MATCH(Brasil!B566,Mercados!$A$2:$A$32,0)),"Revisar Tscode"))</f>
        <v/>
      </c>
      <c r="B566" s="1" t="str">
        <f aca="false">IF(Brasil!C566="","",Brasil!C566)</f>
        <v/>
      </c>
      <c r="C566" s="1" t="str">
        <f aca="false">IF(Brasil!C566="","",Brasil!A566)</f>
        <v/>
      </c>
      <c r="D566" s="1" t="str">
        <f aca="false">IF(Brasil!C566="","",Brasil!E566)</f>
        <v/>
      </c>
      <c r="E566" s="1" t="str">
        <f aca="false">IF(Brasil!C566="","",Brasil!F566)</f>
        <v/>
      </c>
      <c r="F566" s="1" t="str">
        <f aca="false">IF(Brasil!C566="","",Brasil!D566)</f>
        <v/>
      </c>
      <c r="I566" s="1" t="str">
        <f aca="false">IF(Brasil!C566="","",Brasil!H566)</f>
        <v/>
      </c>
      <c r="J566" s="1" t="str">
        <f aca="false">IF(Brasil!C566="","",Brasil!D566*Brasil!H566)</f>
        <v/>
      </c>
      <c r="K566" s="1" t="str">
        <f aca="false">IF(Brasil!C566="","","BR")</f>
        <v/>
      </c>
      <c r="L566" s="1" t="str">
        <f aca="false">IF(Brasil!C566="","",IFERROR(INDEX(Gamma_Catalogo!$D$3:$D$1451,MATCH(Brasil!E566,Gamma_Catalogo!$A$3:$A$1451,0)),"Revisar Ip Code"))</f>
        <v/>
      </c>
      <c r="M566" s="1" t="str">
        <f aca="false">IF(Brasil!C566="","",IFERROR(INDEX(Gamma_Catalogo!$C$3:$C$1451,MATCH(Brasil!E566,Gamma_Catalogo!$A$3:$A$1451,0)),"Revisar Ip Code"))</f>
        <v/>
      </c>
      <c r="N566" s="1" t="str">
        <f aca="false">IF(Brasil!C566="","",IFERROR(INDEX(Gamma_Catalogo!$E$3:$E$1451,MATCH(Brasil!E566,Gamma_Catalogo!$A$3:$A$1451,0)),"Revisar Ip Code"))</f>
        <v/>
      </c>
      <c r="O566" s="1" t="str">
        <f aca="false">IF(Brasil!C566="","","Brasil")</f>
        <v/>
      </c>
    </row>
    <row r="567" customFormat="false" ht="15" hidden="false" customHeight="true" outlineLevel="0" collapsed="false">
      <c r="A567" s="1" t="str">
        <f aca="false">IF(Brasil!C567="","",IFERROR(INDEX(Mercados!$C$2:$C$32,MATCH(Brasil!B567,Mercados!$A$2:$A$32,0)),"Revisar Tscode"))</f>
        <v/>
      </c>
      <c r="B567" s="1" t="str">
        <f aca="false">IF(Brasil!C567="","",Brasil!C567)</f>
        <v/>
      </c>
      <c r="C567" s="1" t="str">
        <f aca="false">IF(Brasil!C567="","",Brasil!A567)</f>
        <v/>
      </c>
      <c r="D567" s="1" t="str">
        <f aca="false">IF(Brasil!C567="","",Brasil!E567)</f>
        <v/>
      </c>
      <c r="E567" s="1" t="str">
        <f aca="false">IF(Brasil!C567="","",Brasil!F567)</f>
        <v/>
      </c>
      <c r="F567" s="1" t="str">
        <f aca="false">IF(Brasil!C567="","",Brasil!D567)</f>
        <v/>
      </c>
      <c r="I567" s="1" t="str">
        <f aca="false">IF(Brasil!C567="","",Brasil!H567)</f>
        <v/>
      </c>
      <c r="J567" s="1" t="str">
        <f aca="false">IF(Brasil!C567="","",Brasil!D567*Brasil!H567)</f>
        <v/>
      </c>
      <c r="K567" s="1" t="str">
        <f aca="false">IF(Brasil!C567="","","BR")</f>
        <v/>
      </c>
      <c r="L567" s="1" t="str">
        <f aca="false">IF(Brasil!C567="","",IFERROR(INDEX(Gamma_Catalogo!$D$3:$D$1451,MATCH(Brasil!E567,Gamma_Catalogo!$A$3:$A$1451,0)),"Revisar Ip Code"))</f>
        <v/>
      </c>
      <c r="M567" s="1" t="str">
        <f aca="false">IF(Brasil!C567="","",IFERROR(INDEX(Gamma_Catalogo!$C$3:$C$1451,MATCH(Brasil!E567,Gamma_Catalogo!$A$3:$A$1451,0)),"Revisar Ip Code"))</f>
        <v/>
      </c>
      <c r="N567" s="1" t="str">
        <f aca="false">IF(Brasil!C567="","",IFERROR(INDEX(Gamma_Catalogo!$E$3:$E$1451,MATCH(Brasil!E567,Gamma_Catalogo!$A$3:$A$1451,0)),"Revisar Ip Code"))</f>
        <v/>
      </c>
      <c r="O567" s="1" t="str">
        <f aca="false">IF(Brasil!C567="","","Brasil")</f>
        <v/>
      </c>
    </row>
    <row r="568" customFormat="false" ht="15" hidden="false" customHeight="true" outlineLevel="0" collapsed="false">
      <c r="A568" s="1" t="str">
        <f aca="false">IF(Brasil!C568="","",IFERROR(INDEX(Mercados!$C$2:$C$32,MATCH(Brasil!B568,Mercados!$A$2:$A$32,0)),"Revisar Tscode"))</f>
        <v/>
      </c>
      <c r="B568" s="1" t="str">
        <f aca="false">IF(Brasil!C568="","",Brasil!C568)</f>
        <v/>
      </c>
      <c r="C568" s="1" t="str">
        <f aca="false">IF(Brasil!C568="","",Brasil!A568)</f>
        <v/>
      </c>
      <c r="D568" s="1" t="str">
        <f aca="false">IF(Brasil!C568="","",Brasil!E568)</f>
        <v/>
      </c>
      <c r="E568" s="1" t="str">
        <f aca="false">IF(Brasil!C568="","",Brasil!F568)</f>
        <v/>
      </c>
      <c r="F568" s="1" t="str">
        <f aca="false">IF(Brasil!C568="","",Brasil!D568)</f>
        <v/>
      </c>
      <c r="I568" s="1" t="str">
        <f aca="false">IF(Brasil!C568="","",Brasil!H568)</f>
        <v/>
      </c>
      <c r="J568" s="1" t="str">
        <f aca="false">IF(Brasil!C568="","",Brasil!D568*Brasil!H568)</f>
        <v/>
      </c>
      <c r="K568" s="1" t="str">
        <f aca="false">IF(Brasil!C568="","","BR")</f>
        <v/>
      </c>
      <c r="L568" s="1" t="str">
        <f aca="false">IF(Brasil!C568="","",IFERROR(INDEX(Gamma_Catalogo!$D$3:$D$1451,MATCH(Brasil!E568,Gamma_Catalogo!$A$3:$A$1451,0)),"Revisar Ip Code"))</f>
        <v/>
      </c>
      <c r="M568" s="1" t="str">
        <f aca="false">IF(Brasil!C568="","",IFERROR(INDEX(Gamma_Catalogo!$C$3:$C$1451,MATCH(Brasil!E568,Gamma_Catalogo!$A$3:$A$1451,0)),"Revisar Ip Code"))</f>
        <v/>
      </c>
      <c r="N568" s="1" t="str">
        <f aca="false">IF(Brasil!C568="","",IFERROR(INDEX(Gamma_Catalogo!$E$3:$E$1451,MATCH(Brasil!E568,Gamma_Catalogo!$A$3:$A$1451,0)),"Revisar Ip Code"))</f>
        <v/>
      </c>
      <c r="O568" s="1" t="str">
        <f aca="false">IF(Brasil!C568="","","Brasil")</f>
        <v/>
      </c>
    </row>
    <row r="569" customFormat="false" ht="15" hidden="false" customHeight="true" outlineLevel="0" collapsed="false">
      <c r="A569" s="1" t="str">
        <f aca="false">IF(Brasil!C569="","",IFERROR(INDEX(Mercados!$C$2:$C$32,MATCH(Brasil!B569,Mercados!$A$2:$A$32,0)),"Revisar Tscode"))</f>
        <v/>
      </c>
      <c r="B569" s="1" t="str">
        <f aca="false">IF(Brasil!C569="","",Brasil!C569)</f>
        <v/>
      </c>
      <c r="C569" s="1" t="str">
        <f aca="false">IF(Brasil!C569="","",Brasil!A569)</f>
        <v/>
      </c>
      <c r="D569" s="1" t="str">
        <f aca="false">IF(Brasil!C569="","",Brasil!E569)</f>
        <v/>
      </c>
      <c r="E569" s="1" t="str">
        <f aca="false">IF(Brasil!C569="","",Brasil!F569)</f>
        <v/>
      </c>
      <c r="F569" s="1" t="str">
        <f aca="false">IF(Brasil!C569="","",Brasil!D569)</f>
        <v/>
      </c>
      <c r="I569" s="1" t="str">
        <f aca="false">IF(Brasil!C569="","",Brasil!H569)</f>
        <v/>
      </c>
      <c r="J569" s="1" t="str">
        <f aca="false">IF(Brasil!C569="","",Brasil!D569*Brasil!H569)</f>
        <v/>
      </c>
      <c r="K569" s="1" t="str">
        <f aca="false">IF(Brasil!C569="","","BR")</f>
        <v/>
      </c>
      <c r="L569" s="1" t="str">
        <f aca="false">IF(Brasil!C569="","",IFERROR(INDEX(Gamma_Catalogo!$D$3:$D$1451,MATCH(Brasil!E569,Gamma_Catalogo!$A$3:$A$1451,0)),"Revisar Ip Code"))</f>
        <v/>
      </c>
      <c r="M569" s="1" t="str">
        <f aca="false">IF(Brasil!C569="","",IFERROR(INDEX(Gamma_Catalogo!$C$3:$C$1451,MATCH(Brasil!E569,Gamma_Catalogo!$A$3:$A$1451,0)),"Revisar Ip Code"))</f>
        <v/>
      </c>
      <c r="N569" s="1" t="str">
        <f aca="false">IF(Brasil!C569="","",IFERROR(INDEX(Gamma_Catalogo!$E$3:$E$1451,MATCH(Brasil!E569,Gamma_Catalogo!$A$3:$A$1451,0)),"Revisar Ip Code"))</f>
        <v/>
      </c>
      <c r="O569" s="1" t="str">
        <f aca="false">IF(Brasil!C569="","","Brasil")</f>
        <v/>
      </c>
    </row>
    <row r="570" customFormat="false" ht="15" hidden="false" customHeight="true" outlineLevel="0" collapsed="false">
      <c r="A570" s="1" t="str">
        <f aca="false">IF(Brasil!C570="","",IFERROR(INDEX(Mercados!$C$2:$C$32,MATCH(Brasil!B570,Mercados!$A$2:$A$32,0)),"Revisar Tscode"))</f>
        <v/>
      </c>
      <c r="B570" s="1" t="str">
        <f aca="false">IF(Brasil!C570="","",Brasil!C570)</f>
        <v/>
      </c>
      <c r="C570" s="1" t="str">
        <f aca="false">IF(Brasil!C570="","",Brasil!A570)</f>
        <v/>
      </c>
      <c r="D570" s="1" t="str">
        <f aca="false">IF(Brasil!C570="","",Brasil!E570)</f>
        <v/>
      </c>
      <c r="E570" s="1" t="str">
        <f aca="false">IF(Brasil!C570="","",Brasil!F570)</f>
        <v/>
      </c>
      <c r="F570" s="1" t="str">
        <f aca="false">IF(Brasil!C570="","",Brasil!D570)</f>
        <v/>
      </c>
      <c r="I570" s="1" t="str">
        <f aca="false">IF(Brasil!C570="","",Brasil!H570)</f>
        <v/>
      </c>
      <c r="J570" s="1" t="str">
        <f aca="false">IF(Brasil!C570="","",Brasil!D570*Brasil!H570)</f>
        <v/>
      </c>
      <c r="K570" s="1" t="str">
        <f aca="false">IF(Brasil!C570="","","BR")</f>
        <v/>
      </c>
      <c r="L570" s="1" t="str">
        <f aca="false">IF(Brasil!C570="","",IFERROR(INDEX(Gamma_Catalogo!$D$3:$D$1451,MATCH(Brasil!E570,Gamma_Catalogo!$A$3:$A$1451,0)),"Revisar Ip Code"))</f>
        <v/>
      </c>
      <c r="M570" s="1" t="str">
        <f aca="false">IF(Brasil!C570="","",IFERROR(INDEX(Gamma_Catalogo!$C$3:$C$1451,MATCH(Brasil!E570,Gamma_Catalogo!$A$3:$A$1451,0)),"Revisar Ip Code"))</f>
        <v/>
      </c>
      <c r="N570" s="1" t="str">
        <f aca="false">IF(Brasil!C570="","",IFERROR(INDEX(Gamma_Catalogo!$E$3:$E$1451,MATCH(Brasil!E570,Gamma_Catalogo!$A$3:$A$1451,0)),"Revisar Ip Code"))</f>
        <v/>
      </c>
      <c r="O570" s="1" t="str">
        <f aca="false">IF(Brasil!C570="","","Brasil")</f>
        <v/>
      </c>
    </row>
    <row r="571" customFormat="false" ht="15" hidden="false" customHeight="true" outlineLevel="0" collapsed="false">
      <c r="A571" s="1" t="str">
        <f aca="false">IF(Brasil!C571="","",IFERROR(INDEX(Mercados!$C$2:$C$32,MATCH(Brasil!B571,Mercados!$A$2:$A$32,0)),"Revisar Tscode"))</f>
        <v/>
      </c>
      <c r="B571" s="1" t="str">
        <f aca="false">IF(Brasil!C571="","",Brasil!C571)</f>
        <v/>
      </c>
      <c r="C571" s="1" t="str">
        <f aca="false">IF(Brasil!C571="","",Brasil!A571)</f>
        <v/>
      </c>
      <c r="D571" s="1" t="str">
        <f aca="false">IF(Brasil!C571="","",Brasil!E571)</f>
        <v/>
      </c>
      <c r="E571" s="1" t="str">
        <f aca="false">IF(Brasil!C571="","",Brasil!F571)</f>
        <v/>
      </c>
      <c r="F571" s="1" t="str">
        <f aca="false">IF(Brasil!C571="","",Brasil!D571)</f>
        <v/>
      </c>
      <c r="I571" s="1" t="str">
        <f aca="false">IF(Brasil!C571="","",Brasil!H571)</f>
        <v/>
      </c>
      <c r="J571" s="1" t="str">
        <f aca="false">IF(Brasil!C571="","",Brasil!D571*Brasil!H571)</f>
        <v/>
      </c>
      <c r="K571" s="1" t="str">
        <f aca="false">IF(Brasil!C571="","","BR")</f>
        <v/>
      </c>
      <c r="L571" s="1" t="str">
        <f aca="false">IF(Brasil!C571="","",IFERROR(INDEX(Gamma_Catalogo!$D$3:$D$1451,MATCH(Brasil!E571,Gamma_Catalogo!$A$3:$A$1451,0)),"Revisar Ip Code"))</f>
        <v/>
      </c>
      <c r="M571" s="1" t="str">
        <f aca="false">IF(Brasil!C571="","",IFERROR(INDEX(Gamma_Catalogo!$C$3:$C$1451,MATCH(Brasil!E571,Gamma_Catalogo!$A$3:$A$1451,0)),"Revisar Ip Code"))</f>
        <v/>
      </c>
      <c r="N571" s="1" t="str">
        <f aca="false">IF(Brasil!C571="","",IFERROR(INDEX(Gamma_Catalogo!$E$3:$E$1451,MATCH(Brasil!E571,Gamma_Catalogo!$A$3:$A$1451,0)),"Revisar Ip Code"))</f>
        <v/>
      </c>
      <c r="O571" s="1" t="str">
        <f aca="false">IF(Brasil!C571="","","Brasil")</f>
        <v/>
      </c>
    </row>
    <row r="572" customFormat="false" ht="15" hidden="false" customHeight="true" outlineLevel="0" collapsed="false">
      <c r="A572" s="1" t="str">
        <f aca="false">IF(Brasil!C572="","",IFERROR(INDEX(Mercados!$C$2:$C$32,MATCH(Brasil!B572,Mercados!$A$2:$A$32,0)),"Revisar Tscode"))</f>
        <v/>
      </c>
      <c r="B572" s="1" t="str">
        <f aca="false">IF(Brasil!C572="","",Brasil!C572)</f>
        <v/>
      </c>
      <c r="C572" s="1" t="str">
        <f aca="false">IF(Brasil!C572="","",Brasil!A572)</f>
        <v/>
      </c>
      <c r="D572" s="1" t="str">
        <f aca="false">IF(Brasil!C572="","",Brasil!E572)</f>
        <v/>
      </c>
      <c r="E572" s="1" t="str">
        <f aca="false">IF(Brasil!C572="","",Brasil!F572)</f>
        <v/>
      </c>
      <c r="F572" s="1" t="str">
        <f aca="false">IF(Brasil!C572="","",Brasil!D572)</f>
        <v/>
      </c>
      <c r="I572" s="1" t="str">
        <f aca="false">IF(Brasil!C572="","",Brasil!H572)</f>
        <v/>
      </c>
      <c r="J572" s="1" t="str">
        <f aca="false">IF(Brasil!C572="","",Brasil!D572*Brasil!H572)</f>
        <v/>
      </c>
      <c r="K572" s="1" t="str">
        <f aca="false">IF(Brasil!C572="","","BR")</f>
        <v/>
      </c>
      <c r="L572" s="1" t="str">
        <f aca="false">IF(Brasil!C572="","",IFERROR(INDEX(Gamma_Catalogo!$D$3:$D$1451,MATCH(Brasil!E572,Gamma_Catalogo!$A$3:$A$1451,0)),"Revisar Ip Code"))</f>
        <v/>
      </c>
      <c r="M572" s="1" t="str">
        <f aca="false">IF(Brasil!C572="","",IFERROR(INDEX(Gamma_Catalogo!$C$3:$C$1451,MATCH(Brasil!E572,Gamma_Catalogo!$A$3:$A$1451,0)),"Revisar Ip Code"))</f>
        <v/>
      </c>
      <c r="N572" s="1" t="str">
        <f aca="false">IF(Brasil!C572="","",IFERROR(INDEX(Gamma_Catalogo!$E$3:$E$1451,MATCH(Brasil!E572,Gamma_Catalogo!$A$3:$A$1451,0)),"Revisar Ip Code"))</f>
        <v/>
      </c>
      <c r="O572" s="1" t="str">
        <f aca="false">IF(Brasil!C572="","","Brasil")</f>
        <v/>
      </c>
    </row>
    <row r="573" customFormat="false" ht="15" hidden="false" customHeight="true" outlineLevel="0" collapsed="false">
      <c r="A573" s="1" t="str">
        <f aca="false">IF(Brasil!C573="","",IFERROR(INDEX(Mercados!$C$2:$C$32,MATCH(Brasil!B573,Mercados!$A$2:$A$32,0)),"Revisar Tscode"))</f>
        <v/>
      </c>
      <c r="B573" s="1" t="str">
        <f aca="false">IF(Brasil!C573="","",Brasil!C573)</f>
        <v/>
      </c>
      <c r="C573" s="1" t="str">
        <f aca="false">IF(Brasil!C573="","",Brasil!A573)</f>
        <v/>
      </c>
      <c r="D573" s="1" t="str">
        <f aca="false">IF(Brasil!C573="","",Brasil!E573)</f>
        <v/>
      </c>
      <c r="E573" s="1" t="str">
        <f aca="false">IF(Brasil!C573="","",Brasil!F573)</f>
        <v/>
      </c>
      <c r="F573" s="1" t="str">
        <f aca="false">IF(Brasil!C573="","",Brasil!D573)</f>
        <v/>
      </c>
      <c r="I573" s="1" t="str">
        <f aca="false">IF(Brasil!C573="","",Brasil!H573)</f>
        <v/>
      </c>
      <c r="J573" s="1" t="str">
        <f aca="false">IF(Brasil!C573="","",Brasil!D573*Brasil!H573)</f>
        <v/>
      </c>
      <c r="K573" s="1" t="str">
        <f aca="false">IF(Brasil!C573="","","BR")</f>
        <v/>
      </c>
      <c r="L573" s="1" t="str">
        <f aca="false">IF(Brasil!C573="","",IFERROR(INDEX(Gamma_Catalogo!$D$3:$D$1451,MATCH(Brasil!E573,Gamma_Catalogo!$A$3:$A$1451,0)),"Revisar Ip Code"))</f>
        <v/>
      </c>
      <c r="M573" s="1" t="str">
        <f aca="false">IF(Brasil!C573="","",IFERROR(INDEX(Gamma_Catalogo!$C$3:$C$1451,MATCH(Brasil!E573,Gamma_Catalogo!$A$3:$A$1451,0)),"Revisar Ip Code"))</f>
        <v/>
      </c>
      <c r="N573" s="1" t="str">
        <f aca="false">IF(Brasil!C573="","",IFERROR(INDEX(Gamma_Catalogo!$E$3:$E$1451,MATCH(Brasil!E573,Gamma_Catalogo!$A$3:$A$1451,0)),"Revisar Ip Code"))</f>
        <v/>
      </c>
      <c r="O573" s="1" t="str">
        <f aca="false">IF(Brasil!C573="","","Brasil")</f>
        <v/>
      </c>
    </row>
    <row r="574" customFormat="false" ht="15" hidden="false" customHeight="true" outlineLevel="0" collapsed="false">
      <c r="A574" s="1" t="str">
        <f aca="false">IF(Brasil!C574="","",IFERROR(INDEX(Mercados!$C$2:$C$32,MATCH(Brasil!B574,Mercados!$A$2:$A$32,0)),"Revisar Tscode"))</f>
        <v/>
      </c>
      <c r="B574" s="1" t="str">
        <f aca="false">IF(Brasil!C574="","",Brasil!C574)</f>
        <v/>
      </c>
      <c r="C574" s="1" t="str">
        <f aca="false">IF(Brasil!C574="","",Brasil!A574)</f>
        <v/>
      </c>
      <c r="D574" s="1" t="str">
        <f aca="false">IF(Brasil!C574="","",Brasil!E574)</f>
        <v/>
      </c>
      <c r="E574" s="1" t="str">
        <f aca="false">IF(Brasil!C574="","",Brasil!F574)</f>
        <v/>
      </c>
      <c r="F574" s="1" t="str">
        <f aca="false">IF(Brasil!C574="","",Brasil!D574)</f>
        <v/>
      </c>
      <c r="I574" s="1" t="str">
        <f aca="false">IF(Brasil!C574="","",Brasil!H574)</f>
        <v/>
      </c>
      <c r="J574" s="1" t="str">
        <f aca="false">IF(Brasil!C574="","",Brasil!D574*Brasil!H574)</f>
        <v/>
      </c>
      <c r="K574" s="1" t="str">
        <f aca="false">IF(Brasil!C574="","","BR")</f>
        <v/>
      </c>
      <c r="L574" s="1" t="str">
        <f aca="false">IF(Brasil!C574="","",IFERROR(INDEX(Gamma_Catalogo!$D$3:$D$1451,MATCH(Brasil!E574,Gamma_Catalogo!$A$3:$A$1451,0)),"Revisar Ip Code"))</f>
        <v/>
      </c>
      <c r="M574" s="1" t="str">
        <f aca="false">IF(Brasil!C574="","",IFERROR(INDEX(Gamma_Catalogo!$C$3:$C$1451,MATCH(Brasil!E574,Gamma_Catalogo!$A$3:$A$1451,0)),"Revisar Ip Code"))</f>
        <v/>
      </c>
      <c r="N574" s="1" t="str">
        <f aca="false">IF(Brasil!C574="","",IFERROR(INDEX(Gamma_Catalogo!$E$3:$E$1451,MATCH(Brasil!E574,Gamma_Catalogo!$A$3:$A$1451,0)),"Revisar Ip Code"))</f>
        <v/>
      </c>
      <c r="O574" s="1" t="str">
        <f aca="false">IF(Brasil!C574="","","Brasil")</f>
        <v/>
      </c>
    </row>
    <row r="575" customFormat="false" ht="15" hidden="false" customHeight="true" outlineLevel="0" collapsed="false">
      <c r="A575" s="1" t="str">
        <f aca="false">IF(Brasil!C575="","",IFERROR(INDEX(Mercados!$C$2:$C$32,MATCH(Brasil!B575,Mercados!$A$2:$A$32,0)),"Revisar Tscode"))</f>
        <v/>
      </c>
      <c r="B575" s="1" t="str">
        <f aca="false">IF(Brasil!C575="","",Brasil!C575)</f>
        <v/>
      </c>
      <c r="C575" s="1" t="str">
        <f aca="false">IF(Brasil!C575="","",Brasil!A575)</f>
        <v/>
      </c>
      <c r="D575" s="1" t="str">
        <f aca="false">IF(Brasil!C575="","",Brasil!E575)</f>
        <v/>
      </c>
      <c r="E575" s="1" t="str">
        <f aca="false">IF(Brasil!C575="","",Brasil!F575)</f>
        <v/>
      </c>
      <c r="F575" s="1" t="str">
        <f aca="false">IF(Brasil!C575="","",Brasil!D575)</f>
        <v/>
      </c>
      <c r="I575" s="1" t="str">
        <f aca="false">IF(Brasil!C575="","",Brasil!H575)</f>
        <v/>
      </c>
      <c r="J575" s="1" t="str">
        <f aca="false">IF(Brasil!C575="","",Brasil!D575*Brasil!H575)</f>
        <v/>
      </c>
      <c r="K575" s="1" t="str">
        <f aca="false">IF(Brasil!C575="","","BR")</f>
        <v/>
      </c>
      <c r="L575" s="1" t="str">
        <f aca="false">IF(Brasil!C575="","",IFERROR(INDEX(Gamma_Catalogo!$D$3:$D$1451,MATCH(Brasil!E575,Gamma_Catalogo!$A$3:$A$1451,0)),"Revisar Ip Code"))</f>
        <v/>
      </c>
      <c r="M575" s="1" t="str">
        <f aca="false">IF(Brasil!C575="","",IFERROR(INDEX(Gamma_Catalogo!$C$3:$C$1451,MATCH(Brasil!E575,Gamma_Catalogo!$A$3:$A$1451,0)),"Revisar Ip Code"))</f>
        <v/>
      </c>
      <c r="N575" s="1" t="str">
        <f aca="false">IF(Brasil!C575="","",IFERROR(INDEX(Gamma_Catalogo!$E$3:$E$1451,MATCH(Brasil!E575,Gamma_Catalogo!$A$3:$A$1451,0)),"Revisar Ip Code"))</f>
        <v/>
      </c>
      <c r="O575" s="1" t="str">
        <f aca="false">IF(Brasil!C575="","","Brasil")</f>
        <v/>
      </c>
    </row>
    <row r="576" customFormat="false" ht="15" hidden="false" customHeight="true" outlineLevel="0" collapsed="false">
      <c r="A576" s="1" t="str">
        <f aca="false">IF(Brasil!C576="","",IFERROR(INDEX(Mercados!$C$2:$C$32,MATCH(Brasil!B576,Mercados!$A$2:$A$32,0)),"Revisar Tscode"))</f>
        <v/>
      </c>
      <c r="B576" s="1" t="str">
        <f aca="false">IF(Brasil!C576="","",Brasil!C576)</f>
        <v/>
      </c>
      <c r="C576" s="1" t="str">
        <f aca="false">IF(Brasil!C576="","",Brasil!A576)</f>
        <v/>
      </c>
      <c r="D576" s="1" t="str">
        <f aca="false">IF(Brasil!C576="","",Brasil!E576)</f>
        <v/>
      </c>
      <c r="E576" s="1" t="str">
        <f aca="false">IF(Brasil!C576="","",Brasil!F576)</f>
        <v/>
      </c>
      <c r="F576" s="1" t="str">
        <f aca="false">IF(Brasil!C576="","",Brasil!D576)</f>
        <v/>
      </c>
      <c r="I576" s="1" t="str">
        <f aca="false">IF(Brasil!C576="","",Brasil!H576)</f>
        <v/>
      </c>
      <c r="J576" s="1" t="str">
        <f aca="false">IF(Brasil!C576="","",Brasil!D576*Brasil!H576)</f>
        <v/>
      </c>
      <c r="K576" s="1" t="str">
        <f aca="false">IF(Brasil!C576="","","BR")</f>
        <v/>
      </c>
      <c r="L576" s="1" t="str">
        <f aca="false">IF(Brasil!C576="","",IFERROR(INDEX(Gamma_Catalogo!$D$3:$D$1451,MATCH(Brasil!E576,Gamma_Catalogo!$A$3:$A$1451,0)),"Revisar Ip Code"))</f>
        <v/>
      </c>
      <c r="M576" s="1" t="str">
        <f aca="false">IF(Brasil!C576="","",IFERROR(INDEX(Gamma_Catalogo!$C$3:$C$1451,MATCH(Brasil!E576,Gamma_Catalogo!$A$3:$A$1451,0)),"Revisar Ip Code"))</f>
        <v/>
      </c>
      <c r="N576" s="1" t="str">
        <f aca="false">IF(Brasil!C576="","",IFERROR(INDEX(Gamma_Catalogo!$E$3:$E$1451,MATCH(Brasil!E576,Gamma_Catalogo!$A$3:$A$1451,0)),"Revisar Ip Code"))</f>
        <v/>
      </c>
      <c r="O576" s="1" t="str">
        <f aca="false">IF(Brasil!C576="","","Brasil")</f>
        <v/>
      </c>
    </row>
    <row r="577" customFormat="false" ht="15" hidden="false" customHeight="true" outlineLevel="0" collapsed="false">
      <c r="A577" s="1" t="str">
        <f aca="false">IF(Brasil!C577="","",IFERROR(INDEX(Mercados!$C$2:$C$32,MATCH(Brasil!B577,Mercados!$A$2:$A$32,0)),"Revisar Tscode"))</f>
        <v/>
      </c>
      <c r="B577" s="1" t="str">
        <f aca="false">IF(Brasil!C577="","",Brasil!C577)</f>
        <v/>
      </c>
      <c r="C577" s="1" t="str">
        <f aca="false">IF(Brasil!C577="","",Brasil!A577)</f>
        <v/>
      </c>
      <c r="D577" s="1" t="str">
        <f aca="false">IF(Brasil!C577="","",Brasil!E577)</f>
        <v/>
      </c>
      <c r="E577" s="1" t="str">
        <f aca="false">IF(Brasil!C577="","",Brasil!F577)</f>
        <v/>
      </c>
      <c r="F577" s="1" t="str">
        <f aca="false">IF(Brasil!C577="","",Brasil!D577)</f>
        <v/>
      </c>
      <c r="I577" s="1" t="str">
        <f aca="false">IF(Brasil!C577="","",Brasil!H577)</f>
        <v/>
      </c>
      <c r="J577" s="1" t="str">
        <f aca="false">IF(Brasil!C577="","",Brasil!D577*Brasil!H577)</f>
        <v/>
      </c>
      <c r="K577" s="1" t="str">
        <f aca="false">IF(Brasil!C577="","","BR")</f>
        <v/>
      </c>
      <c r="L577" s="1" t="str">
        <f aca="false">IF(Brasil!C577="","",IFERROR(INDEX(Gamma_Catalogo!$D$3:$D$1451,MATCH(Brasil!E577,Gamma_Catalogo!$A$3:$A$1451,0)),"Revisar Ip Code"))</f>
        <v/>
      </c>
      <c r="M577" s="1" t="str">
        <f aca="false">IF(Brasil!C577="","",IFERROR(INDEX(Gamma_Catalogo!$C$3:$C$1451,MATCH(Brasil!E577,Gamma_Catalogo!$A$3:$A$1451,0)),"Revisar Ip Code"))</f>
        <v/>
      </c>
      <c r="N577" s="1" t="str">
        <f aca="false">IF(Brasil!C577="","",IFERROR(INDEX(Gamma_Catalogo!$E$3:$E$1451,MATCH(Brasil!E577,Gamma_Catalogo!$A$3:$A$1451,0)),"Revisar Ip Code"))</f>
        <v/>
      </c>
      <c r="O577" s="1" t="str">
        <f aca="false">IF(Brasil!C577="","","Brasil")</f>
        <v/>
      </c>
    </row>
    <row r="578" customFormat="false" ht="15" hidden="false" customHeight="true" outlineLevel="0" collapsed="false">
      <c r="A578" s="1" t="str">
        <f aca="false">IF(Brasil!C578="","",IFERROR(INDEX(Mercados!$C$2:$C$32,MATCH(Brasil!B578,Mercados!$A$2:$A$32,0)),"Revisar Tscode"))</f>
        <v/>
      </c>
      <c r="B578" s="1" t="str">
        <f aca="false">IF(Brasil!C578="","",Brasil!C578)</f>
        <v/>
      </c>
      <c r="C578" s="1" t="str">
        <f aca="false">IF(Brasil!C578="","",Brasil!A578)</f>
        <v/>
      </c>
      <c r="D578" s="1" t="str">
        <f aca="false">IF(Brasil!C578="","",Brasil!E578)</f>
        <v/>
      </c>
      <c r="E578" s="1" t="str">
        <f aca="false">IF(Brasil!C578="","",Brasil!F578)</f>
        <v/>
      </c>
      <c r="F578" s="1" t="str">
        <f aca="false">IF(Brasil!C578="","",Brasil!D578)</f>
        <v/>
      </c>
      <c r="I578" s="1" t="str">
        <f aca="false">IF(Brasil!C578="","",Brasil!H578)</f>
        <v/>
      </c>
      <c r="J578" s="1" t="str">
        <f aca="false">IF(Brasil!C578="","",Brasil!D578*Brasil!H578)</f>
        <v/>
      </c>
      <c r="K578" s="1" t="str">
        <f aca="false">IF(Brasil!C578="","","BR")</f>
        <v/>
      </c>
      <c r="L578" s="1" t="str">
        <f aca="false">IF(Brasil!C578="","",IFERROR(INDEX(Gamma_Catalogo!$D$3:$D$1451,MATCH(Brasil!E578,Gamma_Catalogo!$A$3:$A$1451,0)),"Revisar Ip Code"))</f>
        <v/>
      </c>
      <c r="M578" s="1" t="str">
        <f aca="false">IF(Brasil!C578="","",IFERROR(INDEX(Gamma_Catalogo!$C$3:$C$1451,MATCH(Brasil!E578,Gamma_Catalogo!$A$3:$A$1451,0)),"Revisar Ip Code"))</f>
        <v/>
      </c>
      <c r="N578" s="1" t="str">
        <f aca="false">IF(Brasil!C578="","",IFERROR(INDEX(Gamma_Catalogo!$E$3:$E$1451,MATCH(Brasil!E578,Gamma_Catalogo!$A$3:$A$1451,0)),"Revisar Ip Code"))</f>
        <v/>
      </c>
      <c r="O578" s="1" t="str">
        <f aca="false">IF(Brasil!C578="","","Brasil")</f>
        <v/>
      </c>
    </row>
    <row r="579" customFormat="false" ht="15" hidden="false" customHeight="true" outlineLevel="0" collapsed="false">
      <c r="A579" s="1" t="str">
        <f aca="false">IF(Brasil!C579="","",IFERROR(INDEX(Mercados!$C$2:$C$32,MATCH(Brasil!B579,Mercados!$A$2:$A$32,0)),"Revisar Tscode"))</f>
        <v/>
      </c>
      <c r="B579" s="1" t="str">
        <f aca="false">IF(Brasil!C579="","",Brasil!C579)</f>
        <v/>
      </c>
      <c r="C579" s="1" t="str">
        <f aca="false">IF(Brasil!C579="","",Brasil!A579)</f>
        <v/>
      </c>
      <c r="D579" s="1" t="str">
        <f aca="false">IF(Brasil!C579="","",Brasil!E579)</f>
        <v/>
      </c>
      <c r="E579" s="1" t="str">
        <f aca="false">IF(Brasil!C579="","",Brasil!F579)</f>
        <v/>
      </c>
      <c r="F579" s="1" t="str">
        <f aca="false">IF(Brasil!C579="","",Brasil!D579)</f>
        <v/>
      </c>
      <c r="I579" s="1" t="str">
        <f aca="false">IF(Brasil!C579="","",Brasil!H579)</f>
        <v/>
      </c>
      <c r="J579" s="1" t="str">
        <f aca="false">IF(Brasil!C579="","",Brasil!D579*Brasil!H579)</f>
        <v/>
      </c>
      <c r="K579" s="1" t="str">
        <f aca="false">IF(Brasil!C579="","","BR")</f>
        <v/>
      </c>
      <c r="L579" s="1" t="str">
        <f aca="false">IF(Brasil!C579="","",IFERROR(INDEX(Gamma_Catalogo!$D$3:$D$1451,MATCH(Brasil!E579,Gamma_Catalogo!$A$3:$A$1451,0)),"Revisar Ip Code"))</f>
        <v/>
      </c>
      <c r="M579" s="1" t="str">
        <f aca="false">IF(Brasil!C579="","",IFERROR(INDEX(Gamma_Catalogo!$C$3:$C$1451,MATCH(Brasil!E579,Gamma_Catalogo!$A$3:$A$1451,0)),"Revisar Ip Code"))</f>
        <v/>
      </c>
      <c r="N579" s="1" t="str">
        <f aca="false">IF(Brasil!C579="","",IFERROR(INDEX(Gamma_Catalogo!$E$3:$E$1451,MATCH(Brasil!E579,Gamma_Catalogo!$A$3:$A$1451,0)),"Revisar Ip Code"))</f>
        <v/>
      </c>
      <c r="O579" s="1" t="str">
        <f aca="false">IF(Brasil!C579="","","Brasil")</f>
        <v/>
      </c>
    </row>
    <row r="580" customFormat="false" ht="15" hidden="false" customHeight="true" outlineLevel="0" collapsed="false">
      <c r="A580" s="1" t="str">
        <f aca="false">IF(Brasil!C580="","",IFERROR(INDEX(Mercados!$C$2:$C$32,MATCH(Brasil!B580,Mercados!$A$2:$A$32,0)),"Revisar Tscode"))</f>
        <v/>
      </c>
      <c r="B580" s="1" t="str">
        <f aca="false">IF(Brasil!C580="","",Brasil!C580)</f>
        <v/>
      </c>
      <c r="C580" s="1" t="str">
        <f aca="false">IF(Brasil!C580="","",Brasil!A580)</f>
        <v/>
      </c>
      <c r="D580" s="1" t="str">
        <f aca="false">IF(Brasil!C580="","",Brasil!E580)</f>
        <v/>
      </c>
      <c r="E580" s="1" t="str">
        <f aca="false">IF(Brasil!C580="","",Brasil!F580)</f>
        <v/>
      </c>
      <c r="F580" s="1" t="str">
        <f aca="false">IF(Brasil!C580="","",Brasil!D580)</f>
        <v/>
      </c>
      <c r="I580" s="1" t="str">
        <f aca="false">IF(Brasil!C580="","",Brasil!H580)</f>
        <v/>
      </c>
      <c r="J580" s="1" t="str">
        <f aca="false">IF(Brasil!C580="","",Brasil!D580*Brasil!H580)</f>
        <v/>
      </c>
      <c r="K580" s="1" t="str">
        <f aca="false">IF(Brasil!C580="","","BR")</f>
        <v/>
      </c>
      <c r="L580" s="1" t="str">
        <f aca="false">IF(Brasil!C580="","",IFERROR(INDEX(Gamma_Catalogo!$D$3:$D$1451,MATCH(Brasil!E580,Gamma_Catalogo!$A$3:$A$1451,0)),"Revisar Ip Code"))</f>
        <v/>
      </c>
      <c r="M580" s="1" t="str">
        <f aca="false">IF(Brasil!C580="","",IFERROR(INDEX(Gamma_Catalogo!$C$3:$C$1451,MATCH(Brasil!E580,Gamma_Catalogo!$A$3:$A$1451,0)),"Revisar Ip Code"))</f>
        <v/>
      </c>
      <c r="N580" s="1" t="str">
        <f aca="false">IF(Brasil!C580="","",IFERROR(INDEX(Gamma_Catalogo!$E$3:$E$1451,MATCH(Brasil!E580,Gamma_Catalogo!$A$3:$A$1451,0)),"Revisar Ip Code"))</f>
        <v/>
      </c>
      <c r="O580" s="1" t="str">
        <f aca="false">IF(Brasil!C580="","","Brasil")</f>
        <v/>
      </c>
    </row>
    <row r="581" customFormat="false" ht="15" hidden="false" customHeight="true" outlineLevel="0" collapsed="false">
      <c r="A581" s="1" t="str">
        <f aca="false">IF(Brasil!C581="","",IFERROR(INDEX(Mercados!$C$2:$C$32,MATCH(Brasil!B581,Mercados!$A$2:$A$32,0)),"Revisar Tscode"))</f>
        <v/>
      </c>
      <c r="B581" s="1" t="str">
        <f aca="false">IF(Brasil!C581="","",Brasil!C581)</f>
        <v/>
      </c>
      <c r="C581" s="1" t="str">
        <f aca="false">IF(Brasil!C581="","",Brasil!A581)</f>
        <v/>
      </c>
      <c r="D581" s="1" t="str">
        <f aca="false">IF(Brasil!C581="","",Brasil!E581)</f>
        <v/>
      </c>
      <c r="E581" s="1" t="str">
        <f aca="false">IF(Brasil!C581="","",Brasil!F581)</f>
        <v/>
      </c>
      <c r="F581" s="1" t="str">
        <f aca="false">IF(Brasil!C581="","",Brasil!D581)</f>
        <v/>
      </c>
      <c r="I581" s="1" t="str">
        <f aca="false">IF(Brasil!C581="","",Brasil!H581)</f>
        <v/>
      </c>
      <c r="J581" s="1" t="str">
        <f aca="false">IF(Brasil!C581="","",Brasil!D581*Brasil!H581)</f>
        <v/>
      </c>
      <c r="K581" s="1" t="str">
        <f aca="false">IF(Brasil!C581="","","BR")</f>
        <v/>
      </c>
      <c r="L581" s="1" t="str">
        <f aca="false">IF(Brasil!C581="","",IFERROR(INDEX(Gamma_Catalogo!$D$3:$D$1451,MATCH(Brasil!E581,Gamma_Catalogo!$A$3:$A$1451,0)),"Revisar Ip Code"))</f>
        <v/>
      </c>
      <c r="M581" s="1" t="str">
        <f aca="false">IF(Brasil!C581="","",IFERROR(INDEX(Gamma_Catalogo!$C$3:$C$1451,MATCH(Brasil!E581,Gamma_Catalogo!$A$3:$A$1451,0)),"Revisar Ip Code"))</f>
        <v/>
      </c>
      <c r="N581" s="1" t="str">
        <f aca="false">IF(Brasil!C581="","",IFERROR(INDEX(Gamma_Catalogo!$E$3:$E$1451,MATCH(Brasil!E581,Gamma_Catalogo!$A$3:$A$1451,0)),"Revisar Ip Code"))</f>
        <v/>
      </c>
      <c r="O581" s="1" t="str">
        <f aca="false">IF(Brasil!C581="","","Brasil")</f>
        <v/>
      </c>
    </row>
    <row r="582" customFormat="false" ht="15" hidden="false" customHeight="true" outlineLevel="0" collapsed="false">
      <c r="A582" s="1" t="str">
        <f aca="false">IF(Brasil!C582="","",IFERROR(INDEX(Mercados!$C$2:$C$32,MATCH(Brasil!B582,Mercados!$A$2:$A$32,0)),"Revisar Tscode"))</f>
        <v/>
      </c>
      <c r="B582" s="1" t="str">
        <f aca="false">IF(Brasil!C582="","",Brasil!C582)</f>
        <v/>
      </c>
      <c r="C582" s="1" t="str">
        <f aca="false">IF(Brasil!C582="","",Brasil!A582)</f>
        <v/>
      </c>
      <c r="D582" s="1" t="str">
        <f aca="false">IF(Brasil!C582="","",Brasil!E582)</f>
        <v/>
      </c>
      <c r="E582" s="1" t="str">
        <f aca="false">IF(Brasil!C582="","",Brasil!F582)</f>
        <v/>
      </c>
      <c r="F582" s="1" t="str">
        <f aca="false">IF(Brasil!C582="","",Brasil!D582)</f>
        <v/>
      </c>
      <c r="I582" s="1" t="str">
        <f aca="false">IF(Brasil!C582="","",Brasil!H582)</f>
        <v/>
      </c>
      <c r="J582" s="1" t="str">
        <f aca="false">IF(Brasil!C582="","",Brasil!D582*Brasil!H582)</f>
        <v/>
      </c>
      <c r="K582" s="1" t="str">
        <f aca="false">IF(Brasil!C582="","","BR")</f>
        <v/>
      </c>
      <c r="L582" s="1" t="str">
        <f aca="false">IF(Brasil!C582="","",IFERROR(INDEX(Gamma_Catalogo!$D$3:$D$1451,MATCH(Brasil!E582,Gamma_Catalogo!$A$3:$A$1451,0)),"Revisar Ip Code"))</f>
        <v/>
      </c>
      <c r="M582" s="1" t="str">
        <f aca="false">IF(Brasil!C582="","",IFERROR(INDEX(Gamma_Catalogo!$C$3:$C$1451,MATCH(Brasil!E582,Gamma_Catalogo!$A$3:$A$1451,0)),"Revisar Ip Code"))</f>
        <v/>
      </c>
      <c r="N582" s="1" t="str">
        <f aca="false">IF(Brasil!C582="","",IFERROR(INDEX(Gamma_Catalogo!$E$3:$E$1451,MATCH(Brasil!E582,Gamma_Catalogo!$A$3:$A$1451,0)),"Revisar Ip Code"))</f>
        <v/>
      </c>
      <c r="O582" s="1" t="str">
        <f aca="false">IF(Brasil!C582="","","Brasil")</f>
        <v/>
      </c>
    </row>
    <row r="583" customFormat="false" ht="15" hidden="false" customHeight="true" outlineLevel="0" collapsed="false">
      <c r="A583" s="1" t="str">
        <f aca="false">IF(Brasil!C583="","",IFERROR(INDEX(Mercados!$C$2:$C$32,MATCH(Brasil!B583,Mercados!$A$2:$A$32,0)),"Revisar Tscode"))</f>
        <v/>
      </c>
      <c r="B583" s="1" t="str">
        <f aca="false">IF(Brasil!C583="","",Brasil!C583)</f>
        <v/>
      </c>
      <c r="C583" s="1" t="str">
        <f aca="false">IF(Brasil!C583="","",Brasil!A583)</f>
        <v/>
      </c>
      <c r="D583" s="1" t="str">
        <f aca="false">IF(Brasil!C583="","",Brasil!E583)</f>
        <v/>
      </c>
      <c r="E583" s="1" t="str">
        <f aca="false">IF(Brasil!C583="","",Brasil!F583)</f>
        <v/>
      </c>
      <c r="F583" s="1" t="str">
        <f aca="false">IF(Brasil!C583="","",Brasil!D583)</f>
        <v/>
      </c>
      <c r="I583" s="1" t="str">
        <f aca="false">IF(Brasil!C583="","",Brasil!H583)</f>
        <v/>
      </c>
      <c r="J583" s="1" t="str">
        <f aca="false">IF(Brasil!C583="","",Brasil!D583*Brasil!H583)</f>
        <v/>
      </c>
      <c r="K583" s="1" t="str">
        <f aca="false">IF(Brasil!C583="","","BR")</f>
        <v/>
      </c>
      <c r="L583" s="1" t="str">
        <f aca="false">IF(Brasil!C583="","",IFERROR(INDEX(Gamma_Catalogo!$D$3:$D$1451,MATCH(Brasil!E583,Gamma_Catalogo!$A$3:$A$1451,0)),"Revisar Ip Code"))</f>
        <v/>
      </c>
      <c r="M583" s="1" t="str">
        <f aca="false">IF(Brasil!C583="","",IFERROR(INDEX(Gamma_Catalogo!$C$3:$C$1451,MATCH(Brasil!E583,Gamma_Catalogo!$A$3:$A$1451,0)),"Revisar Ip Code"))</f>
        <v/>
      </c>
      <c r="N583" s="1" t="str">
        <f aca="false">IF(Brasil!C583="","",IFERROR(INDEX(Gamma_Catalogo!$E$3:$E$1451,MATCH(Brasil!E583,Gamma_Catalogo!$A$3:$A$1451,0)),"Revisar Ip Code"))</f>
        <v/>
      </c>
      <c r="O583" s="1" t="str">
        <f aca="false">IF(Brasil!C583="","","Brasil")</f>
        <v/>
      </c>
    </row>
    <row r="584" customFormat="false" ht="15" hidden="false" customHeight="true" outlineLevel="0" collapsed="false">
      <c r="A584" s="1" t="str">
        <f aca="false">IF(Brasil!C584="","",IFERROR(INDEX(Mercados!$C$2:$C$32,MATCH(Brasil!B584,Mercados!$A$2:$A$32,0)),"Revisar Tscode"))</f>
        <v/>
      </c>
      <c r="B584" s="1" t="str">
        <f aca="false">IF(Brasil!C584="","",Brasil!C584)</f>
        <v/>
      </c>
      <c r="C584" s="1" t="str">
        <f aca="false">IF(Brasil!C584="","",Brasil!A584)</f>
        <v/>
      </c>
      <c r="D584" s="1" t="str">
        <f aca="false">IF(Brasil!C584="","",Brasil!E584)</f>
        <v/>
      </c>
      <c r="E584" s="1" t="str">
        <f aca="false">IF(Brasil!C584="","",Brasil!F584)</f>
        <v/>
      </c>
      <c r="F584" s="1" t="str">
        <f aca="false">IF(Brasil!C584="","",Brasil!D584)</f>
        <v/>
      </c>
      <c r="I584" s="1" t="str">
        <f aca="false">IF(Brasil!C584="","",Brasil!H584)</f>
        <v/>
      </c>
      <c r="J584" s="1" t="str">
        <f aca="false">IF(Brasil!C584="","",Brasil!D584*Brasil!H584)</f>
        <v/>
      </c>
      <c r="K584" s="1" t="str">
        <f aca="false">IF(Brasil!C584="","","BR")</f>
        <v/>
      </c>
      <c r="L584" s="1" t="str">
        <f aca="false">IF(Brasil!C584="","",IFERROR(INDEX(Gamma_Catalogo!$D$3:$D$1451,MATCH(Brasil!E584,Gamma_Catalogo!$A$3:$A$1451,0)),"Revisar Ip Code"))</f>
        <v/>
      </c>
      <c r="M584" s="1" t="str">
        <f aca="false">IF(Brasil!C584="","",IFERROR(INDEX(Gamma_Catalogo!$C$3:$C$1451,MATCH(Brasil!E584,Gamma_Catalogo!$A$3:$A$1451,0)),"Revisar Ip Code"))</f>
        <v/>
      </c>
      <c r="N584" s="1" t="str">
        <f aca="false">IF(Brasil!C584="","",IFERROR(INDEX(Gamma_Catalogo!$E$3:$E$1451,MATCH(Brasil!E584,Gamma_Catalogo!$A$3:$A$1451,0)),"Revisar Ip Code"))</f>
        <v/>
      </c>
      <c r="O584" s="1" t="str">
        <f aca="false">IF(Brasil!C584="","","Brasil")</f>
        <v/>
      </c>
    </row>
    <row r="585" customFormat="false" ht="15" hidden="false" customHeight="true" outlineLevel="0" collapsed="false">
      <c r="A585" s="1" t="str">
        <f aca="false">IF(Brasil!C585="","",IFERROR(INDEX(Mercados!$C$2:$C$32,MATCH(Brasil!B585,Mercados!$A$2:$A$32,0)),"Revisar Tscode"))</f>
        <v/>
      </c>
      <c r="B585" s="1" t="str">
        <f aca="false">IF(Brasil!C585="","",Brasil!C585)</f>
        <v/>
      </c>
      <c r="C585" s="1" t="str">
        <f aca="false">IF(Brasil!C585="","",Brasil!A585)</f>
        <v/>
      </c>
      <c r="D585" s="1" t="str">
        <f aca="false">IF(Brasil!C585="","",Brasil!E585)</f>
        <v/>
      </c>
      <c r="E585" s="1" t="str">
        <f aca="false">IF(Brasil!C585="","",Brasil!F585)</f>
        <v/>
      </c>
      <c r="F585" s="1" t="str">
        <f aca="false">IF(Brasil!C585="","",Brasil!D585)</f>
        <v/>
      </c>
      <c r="I585" s="1" t="str">
        <f aca="false">IF(Brasil!C585="","",Brasil!H585)</f>
        <v/>
      </c>
      <c r="J585" s="1" t="str">
        <f aca="false">IF(Brasil!C585="","",Brasil!D585*Brasil!H585)</f>
        <v/>
      </c>
      <c r="K585" s="1" t="str">
        <f aca="false">IF(Brasil!C585="","","BR")</f>
        <v/>
      </c>
      <c r="L585" s="1" t="str">
        <f aca="false">IF(Brasil!C585="","",IFERROR(INDEX(Gamma_Catalogo!$D$3:$D$1451,MATCH(Brasil!E585,Gamma_Catalogo!$A$3:$A$1451,0)),"Revisar Ip Code"))</f>
        <v/>
      </c>
      <c r="M585" s="1" t="str">
        <f aca="false">IF(Brasil!C585="","",IFERROR(INDEX(Gamma_Catalogo!$C$3:$C$1451,MATCH(Brasil!E585,Gamma_Catalogo!$A$3:$A$1451,0)),"Revisar Ip Code"))</f>
        <v/>
      </c>
      <c r="N585" s="1" t="str">
        <f aca="false">IF(Brasil!C585="","",IFERROR(INDEX(Gamma_Catalogo!$E$3:$E$1451,MATCH(Brasil!E585,Gamma_Catalogo!$A$3:$A$1451,0)),"Revisar Ip Code"))</f>
        <v/>
      </c>
      <c r="O585" s="1" t="str">
        <f aca="false">IF(Brasil!C585="","","Brasil")</f>
        <v/>
      </c>
    </row>
    <row r="586" customFormat="false" ht="15" hidden="false" customHeight="true" outlineLevel="0" collapsed="false">
      <c r="A586" s="1" t="str">
        <f aca="false">IF(Brasil!C586="","",IFERROR(INDEX(Mercados!$C$2:$C$32,MATCH(Brasil!B586,Mercados!$A$2:$A$32,0)),"Revisar Tscode"))</f>
        <v/>
      </c>
      <c r="B586" s="1" t="str">
        <f aca="false">IF(Brasil!C586="","",Brasil!C586)</f>
        <v/>
      </c>
      <c r="C586" s="1" t="str">
        <f aca="false">IF(Brasil!C586="","",Brasil!A586)</f>
        <v/>
      </c>
      <c r="D586" s="1" t="str">
        <f aca="false">IF(Brasil!C586="","",Brasil!E586)</f>
        <v/>
      </c>
      <c r="E586" s="1" t="str">
        <f aca="false">IF(Brasil!C586="","",Brasil!F586)</f>
        <v/>
      </c>
      <c r="F586" s="1" t="str">
        <f aca="false">IF(Brasil!C586="","",Brasil!D586)</f>
        <v/>
      </c>
      <c r="I586" s="1" t="str">
        <f aca="false">IF(Brasil!C586="","",Brasil!H586)</f>
        <v/>
      </c>
      <c r="J586" s="1" t="str">
        <f aca="false">IF(Brasil!C586="","",Brasil!D586*Brasil!H586)</f>
        <v/>
      </c>
      <c r="K586" s="1" t="str">
        <f aca="false">IF(Brasil!C586="","","BR")</f>
        <v/>
      </c>
      <c r="L586" s="1" t="str">
        <f aca="false">IF(Brasil!C586="","",IFERROR(INDEX(Gamma_Catalogo!$D$3:$D$1451,MATCH(Brasil!E586,Gamma_Catalogo!$A$3:$A$1451,0)),"Revisar Ip Code"))</f>
        <v/>
      </c>
      <c r="M586" s="1" t="str">
        <f aca="false">IF(Brasil!C586="","",IFERROR(INDEX(Gamma_Catalogo!$C$3:$C$1451,MATCH(Brasil!E586,Gamma_Catalogo!$A$3:$A$1451,0)),"Revisar Ip Code"))</f>
        <v/>
      </c>
      <c r="N586" s="1" t="str">
        <f aca="false">IF(Brasil!C586="","",IFERROR(INDEX(Gamma_Catalogo!$E$3:$E$1451,MATCH(Brasil!E586,Gamma_Catalogo!$A$3:$A$1451,0)),"Revisar Ip Code"))</f>
        <v/>
      </c>
      <c r="O586" s="1" t="str">
        <f aca="false">IF(Brasil!C586="","","Brasil")</f>
        <v/>
      </c>
    </row>
    <row r="587" customFormat="false" ht="15" hidden="false" customHeight="true" outlineLevel="0" collapsed="false">
      <c r="A587" s="1" t="str">
        <f aca="false">IF(Brasil!C587="","",IFERROR(INDEX(Mercados!$C$2:$C$32,MATCH(Brasil!B587,Mercados!$A$2:$A$32,0)),"Revisar Tscode"))</f>
        <v/>
      </c>
      <c r="B587" s="1" t="str">
        <f aca="false">IF(Brasil!C587="","",Brasil!C587)</f>
        <v/>
      </c>
      <c r="C587" s="1" t="str">
        <f aca="false">IF(Brasil!C587="","",Brasil!A587)</f>
        <v/>
      </c>
      <c r="D587" s="1" t="str">
        <f aca="false">IF(Brasil!C587="","",Brasil!E587)</f>
        <v/>
      </c>
      <c r="E587" s="1" t="str">
        <f aca="false">IF(Brasil!C587="","",Brasil!F587)</f>
        <v/>
      </c>
      <c r="F587" s="1" t="str">
        <f aca="false">IF(Brasil!C587="","",Brasil!D587)</f>
        <v/>
      </c>
      <c r="I587" s="1" t="str">
        <f aca="false">IF(Brasil!C587="","",Brasil!H587)</f>
        <v/>
      </c>
      <c r="J587" s="1" t="str">
        <f aca="false">IF(Brasil!C587="","",Brasil!D587*Brasil!H587)</f>
        <v/>
      </c>
      <c r="K587" s="1" t="str">
        <f aca="false">IF(Brasil!C587="","","BR")</f>
        <v/>
      </c>
      <c r="L587" s="1" t="str">
        <f aca="false">IF(Brasil!C587="","",IFERROR(INDEX(Gamma_Catalogo!$D$3:$D$1451,MATCH(Brasil!E587,Gamma_Catalogo!$A$3:$A$1451,0)),"Revisar Ip Code"))</f>
        <v/>
      </c>
      <c r="M587" s="1" t="str">
        <f aca="false">IF(Brasil!C587="","",IFERROR(INDEX(Gamma_Catalogo!$C$3:$C$1451,MATCH(Brasil!E587,Gamma_Catalogo!$A$3:$A$1451,0)),"Revisar Ip Code"))</f>
        <v/>
      </c>
      <c r="N587" s="1" t="str">
        <f aca="false">IF(Brasil!C587="","",IFERROR(INDEX(Gamma_Catalogo!$E$3:$E$1451,MATCH(Brasil!E587,Gamma_Catalogo!$A$3:$A$1451,0)),"Revisar Ip Code"))</f>
        <v/>
      </c>
      <c r="O587" s="1" t="str">
        <f aca="false">IF(Brasil!C587="","","Brasil")</f>
        <v/>
      </c>
    </row>
    <row r="588" customFormat="false" ht="15" hidden="false" customHeight="true" outlineLevel="0" collapsed="false">
      <c r="A588" s="1" t="str">
        <f aca="false">IF(Brasil!C588="","",IFERROR(INDEX(Mercados!$C$2:$C$32,MATCH(Brasil!B588,Mercados!$A$2:$A$32,0)),"Revisar Tscode"))</f>
        <v/>
      </c>
      <c r="B588" s="1" t="str">
        <f aca="false">IF(Brasil!C588="","",Brasil!C588)</f>
        <v/>
      </c>
      <c r="C588" s="1" t="str">
        <f aca="false">IF(Brasil!C588="","",Brasil!A588)</f>
        <v/>
      </c>
      <c r="D588" s="1" t="str">
        <f aca="false">IF(Brasil!C588="","",Brasil!E588)</f>
        <v/>
      </c>
      <c r="E588" s="1" t="str">
        <f aca="false">IF(Brasil!C588="","",Brasil!F588)</f>
        <v/>
      </c>
      <c r="F588" s="1" t="str">
        <f aca="false">IF(Brasil!C588="","",Brasil!D588)</f>
        <v/>
      </c>
      <c r="I588" s="1" t="str">
        <f aca="false">IF(Brasil!C588="","",Brasil!H588)</f>
        <v/>
      </c>
      <c r="J588" s="1" t="str">
        <f aca="false">IF(Brasil!C588="","",Brasil!D588*Brasil!H588)</f>
        <v/>
      </c>
      <c r="K588" s="1" t="str">
        <f aca="false">IF(Brasil!C588="","","BR")</f>
        <v/>
      </c>
      <c r="L588" s="1" t="str">
        <f aca="false">IF(Brasil!C588="","",IFERROR(INDEX(Gamma_Catalogo!$D$3:$D$1451,MATCH(Brasil!E588,Gamma_Catalogo!$A$3:$A$1451,0)),"Revisar Ip Code"))</f>
        <v/>
      </c>
      <c r="M588" s="1" t="str">
        <f aca="false">IF(Brasil!C588="","",IFERROR(INDEX(Gamma_Catalogo!$C$3:$C$1451,MATCH(Brasil!E588,Gamma_Catalogo!$A$3:$A$1451,0)),"Revisar Ip Code"))</f>
        <v/>
      </c>
      <c r="N588" s="1" t="str">
        <f aca="false">IF(Brasil!C588="","",IFERROR(INDEX(Gamma_Catalogo!$E$3:$E$1451,MATCH(Brasil!E588,Gamma_Catalogo!$A$3:$A$1451,0)),"Revisar Ip Code"))</f>
        <v/>
      </c>
      <c r="O588" s="1" t="str">
        <f aca="false">IF(Brasil!C588="","","Brasil")</f>
        <v/>
      </c>
    </row>
    <row r="589" customFormat="false" ht="15" hidden="false" customHeight="true" outlineLevel="0" collapsed="false">
      <c r="A589" s="1" t="str">
        <f aca="false">IF(Brasil!C589="","",IFERROR(INDEX(Mercados!$C$2:$C$32,MATCH(Brasil!B589,Mercados!$A$2:$A$32,0)),"Revisar Tscode"))</f>
        <v/>
      </c>
      <c r="B589" s="1" t="str">
        <f aca="false">IF(Brasil!C589="","",Brasil!C589)</f>
        <v/>
      </c>
      <c r="C589" s="1" t="str">
        <f aca="false">IF(Brasil!C589="","",Brasil!A589)</f>
        <v/>
      </c>
      <c r="D589" s="1" t="str">
        <f aca="false">IF(Brasil!C589="","",Brasil!E589)</f>
        <v/>
      </c>
      <c r="E589" s="1" t="str">
        <f aca="false">IF(Brasil!C589="","",Brasil!F589)</f>
        <v/>
      </c>
      <c r="F589" s="1" t="str">
        <f aca="false">IF(Brasil!C589="","",Brasil!D589)</f>
        <v/>
      </c>
      <c r="I589" s="1" t="str">
        <f aca="false">IF(Brasil!C589="","",Brasil!H589)</f>
        <v/>
      </c>
      <c r="J589" s="1" t="str">
        <f aca="false">IF(Brasil!C589="","",Brasil!D589*Brasil!H589)</f>
        <v/>
      </c>
      <c r="K589" s="1" t="str">
        <f aca="false">IF(Brasil!C589="","","BR")</f>
        <v/>
      </c>
      <c r="L589" s="1" t="str">
        <f aca="false">IF(Brasil!C589="","",IFERROR(INDEX(Gamma_Catalogo!$D$3:$D$1451,MATCH(Brasil!E589,Gamma_Catalogo!$A$3:$A$1451,0)),"Revisar Ip Code"))</f>
        <v/>
      </c>
      <c r="M589" s="1" t="str">
        <f aca="false">IF(Brasil!C589="","",IFERROR(INDEX(Gamma_Catalogo!$C$3:$C$1451,MATCH(Brasil!E589,Gamma_Catalogo!$A$3:$A$1451,0)),"Revisar Ip Code"))</f>
        <v/>
      </c>
      <c r="N589" s="1" t="str">
        <f aca="false">IF(Brasil!C589="","",IFERROR(INDEX(Gamma_Catalogo!$E$3:$E$1451,MATCH(Brasil!E589,Gamma_Catalogo!$A$3:$A$1451,0)),"Revisar Ip Code"))</f>
        <v/>
      </c>
      <c r="O589" s="1" t="str">
        <f aca="false">IF(Brasil!C589="","","Brasil")</f>
        <v/>
      </c>
    </row>
    <row r="590" customFormat="false" ht="15" hidden="false" customHeight="true" outlineLevel="0" collapsed="false">
      <c r="A590" s="1" t="str">
        <f aca="false">IF(Brasil!C590="","",IFERROR(INDEX(Mercados!$C$2:$C$32,MATCH(Brasil!B590,Mercados!$A$2:$A$32,0)),"Revisar Tscode"))</f>
        <v/>
      </c>
      <c r="B590" s="1" t="str">
        <f aca="false">IF(Brasil!C590="","",Brasil!C590)</f>
        <v/>
      </c>
      <c r="C590" s="1" t="str">
        <f aca="false">IF(Brasil!C590="","",Brasil!A590)</f>
        <v/>
      </c>
      <c r="D590" s="1" t="str">
        <f aca="false">IF(Brasil!C590="","",Brasil!E590)</f>
        <v/>
      </c>
      <c r="E590" s="1" t="str">
        <f aca="false">IF(Brasil!C590="","",Brasil!F590)</f>
        <v/>
      </c>
      <c r="F590" s="1" t="str">
        <f aca="false">IF(Brasil!C590="","",Brasil!D590)</f>
        <v/>
      </c>
      <c r="I590" s="1" t="str">
        <f aca="false">IF(Brasil!C590="","",Brasil!H590)</f>
        <v/>
      </c>
      <c r="J590" s="1" t="str">
        <f aca="false">IF(Brasil!C590="","",Brasil!D590*Brasil!H590)</f>
        <v/>
      </c>
      <c r="K590" s="1" t="str">
        <f aca="false">IF(Brasil!C590="","","BR")</f>
        <v/>
      </c>
      <c r="L590" s="1" t="str">
        <f aca="false">IF(Brasil!C590="","",IFERROR(INDEX(Gamma_Catalogo!$D$3:$D$1451,MATCH(Brasil!E590,Gamma_Catalogo!$A$3:$A$1451,0)),"Revisar Ip Code"))</f>
        <v/>
      </c>
      <c r="M590" s="1" t="str">
        <f aca="false">IF(Brasil!C590="","",IFERROR(INDEX(Gamma_Catalogo!$C$3:$C$1451,MATCH(Brasil!E590,Gamma_Catalogo!$A$3:$A$1451,0)),"Revisar Ip Code"))</f>
        <v/>
      </c>
      <c r="N590" s="1" t="str">
        <f aca="false">IF(Brasil!C590="","",IFERROR(INDEX(Gamma_Catalogo!$E$3:$E$1451,MATCH(Brasil!E590,Gamma_Catalogo!$A$3:$A$1451,0)),"Revisar Ip Code"))</f>
        <v/>
      </c>
      <c r="O590" s="1" t="str">
        <f aca="false">IF(Brasil!C590="","","Brasil")</f>
        <v/>
      </c>
    </row>
    <row r="591" customFormat="false" ht="15" hidden="false" customHeight="true" outlineLevel="0" collapsed="false">
      <c r="A591" s="1" t="str">
        <f aca="false">IF(Brasil!C591="","",IFERROR(INDEX(Mercados!$C$2:$C$32,MATCH(Brasil!B591,Mercados!$A$2:$A$32,0)),"Revisar Tscode"))</f>
        <v/>
      </c>
      <c r="B591" s="1" t="str">
        <f aca="false">IF(Brasil!C591="","",Brasil!C591)</f>
        <v/>
      </c>
      <c r="C591" s="1" t="str">
        <f aca="false">IF(Brasil!C591="","",Brasil!A591)</f>
        <v/>
      </c>
      <c r="D591" s="1" t="str">
        <f aca="false">IF(Brasil!C591="","",Brasil!E591)</f>
        <v/>
      </c>
      <c r="E591" s="1" t="str">
        <f aca="false">IF(Brasil!C591="","",Brasil!F591)</f>
        <v/>
      </c>
      <c r="F591" s="1" t="str">
        <f aca="false">IF(Brasil!C591="","",Brasil!D591)</f>
        <v/>
      </c>
      <c r="I591" s="1" t="str">
        <f aca="false">IF(Brasil!C591="","",Brasil!H591)</f>
        <v/>
      </c>
      <c r="J591" s="1" t="str">
        <f aca="false">IF(Brasil!C591="","",Brasil!D591*Brasil!H591)</f>
        <v/>
      </c>
      <c r="K591" s="1" t="str">
        <f aca="false">IF(Brasil!C591="","","BR")</f>
        <v/>
      </c>
      <c r="L591" s="1" t="str">
        <f aca="false">IF(Brasil!C591="","",IFERROR(INDEX(Gamma_Catalogo!$D$3:$D$1451,MATCH(Brasil!E591,Gamma_Catalogo!$A$3:$A$1451,0)),"Revisar Ip Code"))</f>
        <v/>
      </c>
      <c r="M591" s="1" t="str">
        <f aca="false">IF(Brasil!C591="","",IFERROR(INDEX(Gamma_Catalogo!$C$3:$C$1451,MATCH(Brasil!E591,Gamma_Catalogo!$A$3:$A$1451,0)),"Revisar Ip Code"))</f>
        <v/>
      </c>
      <c r="N591" s="1" t="str">
        <f aca="false">IF(Brasil!C591="","",IFERROR(INDEX(Gamma_Catalogo!$E$3:$E$1451,MATCH(Brasil!E591,Gamma_Catalogo!$A$3:$A$1451,0)),"Revisar Ip Code"))</f>
        <v/>
      </c>
      <c r="O591" s="1" t="str">
        <f aca="false">IF(Brasil!C591="","","Brasil")</f>
        <v/>
      </c>
    </row>
    <row r="592" customFormat="false" ht="15" hidden="false" customHeight="true" outlineLevel="0" collapsed="false">
      <c r="A592" s="1" t="str">
        <f aca="false">IF(Brasil!C592="","",IFERROR(INDEX(Mercados!$C$2:$C$32,MATCH(Brasil!B592,Mercados!$A$2:$A$32,0)),"Revisar Tscode"))</f>
        <v/>
      </c>
      <c r="B592" s="1" t="str">
        <f aca="false">IF(Brasil!C592="","",Brasil!C592)</f>
        <v/>
      </c>
      <c r="C592" s="1" t="str">
        <f aca="false">IF(Brasil!C592="","",Brasil!A592)</f>
        <v/>
      </c>
      <c r="D592" s="1" t="str">
        <f aca="false">IF(Brasil!C592="","",Brasil!E592)</f>
        <v/>
      </c>
      <c r="E592" s="1" t="str">
        <f aca="false">IF(Brasil!C592="","",Brasil!F592)</f>
        <v/>
      </c>
      <c r="F592" s="1" t="str">
        <f aca="false">IF(Brasil!C592="","",Brasil!D592)</f>
        <v/>
      </c>
      <c r="I592" s="1" t="str">
        <f aca="false">IF(Brasil!C592="","",Brasil!H592)</f>
        <v/>
      </c>
      <c r="J592" s="1" t="str">
        <f aca="false">IF(Brasil!C592="","",Brasil!D592*Brasil!H592)</f>
        <v/>
      </c>
      <c r="K592" s="1" t="str">
        <f aca="false">IF(Brasil!C592="","","BR")</f>
        <v/>
      </c>
      <c r="L592" s="1" t="str">
        <f aca="false">IF(Brasil!C592="","",IFERROR(INDEX(Gamma_Catalogo!$D$3:$D$1451,MATCH(Brasil!E592,Gamma_Catalogo!$A$3:$A$1451,0)),"Revisar Ip Code"))</f>
        <v/>
      </c>
      <c r="M592" s="1" t="str">
        <f aca="false">IF(Brasil!C592="","",IFERROR(INDEX(Gamma_Catalogo!$C$3:$C$1451,MATCH(Brasil!E592,Gamma_Catalogo!$A$3:$A$1451,0)),"Revisar Ip Code"))</f>
        <v/>
      </c>
      <c r="N592" s="1" t="str">
        <f aca="false">IF(Brasil!C592="","",IFERROR(INDEX(Gamma_Catalogo!$E$3:$E$1451,MATCH(Brasil!E592,Gamma_Catalogo!$A$3:$A$1451,0)),"Revisar Ip Code"))</f>
        <v/>
      </c>
      <c r="O592" s="1" t="str">
        <f aca="false">IF(Brasil!C592="","","Brasil")</f>
        <v/>
      </c>
    </row>
    <row r="593" customFormat="false" ht="15" hidden="false" customHeight="true" outlineLevel="0" collapsed="false">
      <c r="A593" s="1" t="str">
        <f aca="false">IF(Brasil!C593="","",IFERROR(INDEX(Mercados!$C$2:$C$32,MATCH(Brasil!B593,Mercados!$A$2:$A$32,0)),"Revisar Tscode"))</f>
        <v/>
      </c>
      <c r="B593" s="1" t="str">
        <f aca="false">IF(Brasil!C593="","",Brasil!C593)</f>
        <v/>
      </c>
      <c r="C593" s="1" t="str">
        <f aca="false">IF(Brasil!C593="","",Brasil!A593)</f>
        <v/>
      </c>
      <c r="D593" s="1" t="str">
        <f aca="false">IF(Brasil!C593="","",Brasil!E593)</f>
        <v/>
      </c>
      <c r="E593" s="1" t="str">
        <f aca="false">IF(Brasil!C593="","",Brasil!F593)</f>
        <v/>
      </c>
      <c r="F593" s="1" t="str">
        <f aca="false">IF(Brasil!C593="","",Brasil!D593)</f>
        <v/>
      </c>
      <c r="I593" s="1" t="str">
        <f aca="false">IF(Brasil!C593="","",Brasil!H593)</f>
        <v/>
      </c>
      <c r="J593" s="1" t="str">
        <f aca="false">IF(Brasil!C593="","",Brasil!D593*Brasil!H593)</f>
        <v/>
      </c>
      <c r="K593" s="1" t="str">
        <f aca="false">IF(Brasil!C593="","","BR")</f>
        <v/>
      </c>
      <c r="L593" s="1" t="str">
        <f aca="false">IF(Brasil!C593="","",IFERROR(INDEX(Gamma_Catalogo!$D$3:$D$1451,MATCH(Brasil!E593,Gamma_Catalogo!$A$3:$A$1451,0)),"Revisar Ip Code"))</f>
        <v/>
      </c>
      <c r="M593" s="1" t="str">
        <f aca="false">IF(Brasil!C593="","",IFERROR(INDEX(Gamma_Catalogo!$C$3:$C$1451,MATCH(Brasil!E593,Gamma_Catalogo!$A$3:$A$1451,0)),"Revisar Ip Code"))</f>
        <v/>
      </c>
      <c r="N593" s="1" t="str">
        <f aca="false">IF(Brasil!C593="","",IFERROR(INDEX(Gamma_Catalogo!$E$3:$E$1451,MATCH(Brasil!E593,Gamma_Catalogo!$A$3:$A$1451,0)),"Revisar Ip Code"))</f>
        <v/>
      </c>
      <c r="O593" s="1" t="str">
        <f aca="false">IF(Brasil!C593="","","Brasil")</f>
        <v/>
      </c>
    </row>
    <row r="594" customFormat="false" ht="15" hidden="false" customHeight="true" outlineLevel="0" collapsed="false">
      <c r="A594" s="1" t="str">
        <f aca="false">IF(Brasil!C594="","",IFERROR(INDEX(Mercados!$C$2:$C$32,MATCH(Brasil!B594,Mercados!$A$2:$A$32,0)),"Revisar Tscode"))</f>
        <v/>
      </c>
      <c r="B594" s="1" t="str">
        <f aca="false">IF(Brasil!C594="","",Brasil!C594)</f>
        <v/>
      </c>
      <c r="C594" s="1" t="str">
        <f aca="false">IF(Brasil!C594="","",Brasil!A594)</f>
        <v/>
      </c>
      <c r="D594" s="1" t="str">
        <f aca="false">IF(Brasil!C594="","",Brasil!E594)</f>
        <v/>
      </c>
      <c r="E594" s="1" t="str">
        <f aca="false">IF(Brasil!C594="","",Brasil!F594)</f>
        <v/>
      </c>
      <c r="F594" s="1" t="str">
        <f aca="false">IF(Brasil!C594="","",Brasil!D594)</f>
        <v/>
      </c>
      <c r="I594" s="1" t="str">
        <f aca="false">IF(Brasil!C594="","",Brasil!H594)</f>
        <v/>
      </c>
      <c r="J594" s="1" t="str">
        <f aca="false">IF(Brasil!C594="","",Brasil!D594*Brasil!H594)</f>
        <v/>
      </c>
      <c r="K594" s="1" t="str">
        <f aca="false">IF(Brasil!C594="","","BR")</f>
        <v/>
      </c>
      <c r="L594" s="1" t="str">
        <f aca="false">IF(Brasil!C594="","",IFERROR(INDEX(Gamma_Catalogo!$D$3:$D$1451,MATCH(Brasil!E594,Gamma_Catalogo!$A$3:$A$1451,0)),"Revisar Ip Code"))</f>
        <v/>
      </c>
      <c r="M594" s="1" t="str">
        <f aca="false">IF(Brasil!C594="","",IFERROR(INDEX(Gamma_Catalogo!$C$3:$C$1451,MATCH(Brasil!E594,Gamma_Catalogo!$A$3:$A$1451,0)),"Revisar Ip Code"))</f>
        <v/>
      </c>
      <c r="N594" s="1" t="str">
        <f aca="false">IF(Brasil!C594="","",IFERROR(INDEX(Gamma_Catalogo!$E$3:$E$1451,MATCH(Brasil!E594,Gamma_Catalogo!$A$3:$A$1451,0)),"Revisar Ip Code"))</f>
        <v/>
      </c>
      <c r="O594" s="1" t="str">
        <f aca="false">IF(Brasil!C594="","","Brasil")</f>
        <v/>
      </c>
    </row>
    <row r="595" customFormat="false" ht="15" hidden="false" customHeight="true" outlineLevel="0" collapsed="false">
      <c r="A595" s="1" t="str">
        <f aca="false">IF(Brasil!C595="","",IFERROR(INDEX(Mercados!$C$2:$C$32,MATCH(Brasil!B595,Mercados!$A$2:$A$32,0)),"Revisar Tscode"))</f>
        <v/>
      </c>
      <c r="B595" s="1" t="str">
        <f aca="false">IF(Brasil!C595="","",Brasil!C595)</f>
        <v/>
      </c>
      <c r="C595" s="1" t="str">
        <f aca="false">IF(Brasil!C595="","",Brasil!A595)</f>
        <v/>
      </c>
      <c r="D595" s="1" t="str">
        <f aca="false">IF(Brasil!C595="","",Brasil!E595)</f>
        <v/>
      </c>
      <c r="E595" s="1" t="str">
        <f aca="false">IF(Brasil!C595="","",Brasil!F595)</f>
        <v/>
      </c>
      <c r="F595" s="1" t="str">
        <f aca="false">IF(Brasil!C595="","",Brasil!D595)</f>
        <v/>
      </c>
      <c r="I595" s="1" t="str">
        <f aca="false">IF(Brasil!C595="","",Brasil!H595)</f>
        <v/>
      </c>
      <c r="J595" s="1" t="str">
        <f aca="false">IF(Brasil!C595="","",Brasil!D595*Brasil!H595)</f>
        <v/>
      </c>
      <c r="K595" s="1" t="str">
        <f aca="false">IF(Brasil!C595="","","BR")</f>
        <v/>
      </c>
      <c r="L595" s="1" t="str">
        <f aca="false">IF(Brasil!C595="","",IFERROR(INDEX(Gamma_Catalogo!$D$3:$D$1451,MATCH(Brasil!E595,Gamma_Catalogo!$A$3:$A$1451,0)),"Revisar Ip Code"))</f>
        <v/>
      </c>
      <c r="M595" s="1" t="str">
        <f aca="false">IF(Brasil!C595="","",IFERROR(INDEX(Gamma_Catalogo!$C$3:$C$1451,MATCH(Brasil!E595,Gamma_Catalogo!$A$3:$A$1451,0)),"Revisar Ip Code"))</f>
        <v/>
      </c>
      <c r="N595" s="1" t="str">
        <f aca="false">IF(Brasil!C595="","",IFERROR(INDEX(Gamma_Catalogo!$E$3:$E$1451,MATCH(Brasil!E595,Gamma_Catalogo!$A$3:$A$1451,0)),"Revisar Ip Code"))</f>
        <v/>
      </c>
      <c r="O595" s="1" t="str">
        <f aca="false">IF(Brasil!C595="","","Brasil")</f>
        <v/>
      </c>
    </row>
    <row r="596" customFormat="false" ht="15" hidden="false" customHeight="true" outlineLevel="0" collapsed="false">
      <c r="A596" s="1" t="str">
        <f aca="false">IF(Brasil!C596="","",IFERROR(INDEX(Mercados!$C$2:$C$32,MATCH(Brasil!B596,Mercados!$A$2:$A$32,0)),"Revisar Tscode"))</f>
        <v/>
      </c>
      <c r="B596" s="1" t="str">
        <f aca="false">IF(Brasil!C596="","",Brasil!C596)</f>
        <v/>
      </c>
      <c r="C596" s="1" t="str">
        <f aca="false">IF(Brasil!C596="","",Brasil!A596)</f>
        <v/>
      </c>
      <c r="D596" s="1" t="str">
        <f aca="false">IF(Brasil!C596="","",Brasil!E596)</f>
        <v/>
      </c>
      <c r="E596" s="1" t="str">
        <f aca="false">IF(Brasil!C596="","",Brasil!F596)</f>
        <v/>
      </c>
      <c r="F596" s="1" t="str">
        <f aca="false">IF(Brasil!C596="","",Brasil!D596)</f>
        <v/>
      </c>
      <c r="I596" s="1" t="str">
        <f aca="false">IF(Brasil!C596="","",Brasil!H596)</f>
        <v/>
      </c>
      <c r="J596" s="1" t="str">
        <f aca="false">IF(Brasil!C596="","",Brasil!D596*Brasil!H596)</f>
        <v/>
      </c>
      <c r="K596" s="1" t="str">
        <f aca="false">IF(Brasil!C596="","","BR")</f>
        <v/>
      </c>
      <c r="L596" s="1" t="str">
        <f aca="false">IF(Brasil!C596="","",IFERROR(INDEX(Gamma_Catalogo!$D$3:$D$1451,MATCH(Brasil!E596,Gamma_Catalogo!$A$3:$A$1451,0)),"Revisar Ip Code"))</f>
        <v/>
      </c>
      <c r="M596" s="1" t="str">
        <f aca="false">IF(Brasil!C596="","",IFERROR(INDEX(Gamma_Catalogo!$C$3:$C$1451,MATCH(Brasil!E596,Gamma_Catalogo!$A$3:$A$1451,0)),"Revisar Ip Code"))</f>
        <v/>
      </c>
      <c r="N596" s="1" t="str">
        <f aca="false">IF(Brasil!C596="","",IFERROR(INDEX(Gamma_Catalogo!$E$3:$E$1451,MATCH(Brasil!E596,Gamma_Catalogo!$A$3:$A$1451,0)),"Revisar Ip Code"))</f>
        <v/>
      </c>
      <c r="O596" s="1" t="str">
        <f aca="false">IF(Brasil!C596="","","Brasil")</f>
        <v/>
      </c>
    </row>
    <row r="597" customFormat="false" ht="15" hidden="false" customHeight="true" outlineLevel="0" collapsed="false">
      <c r="A597" s="1" t="str">
        <f aca="false">IF(Brasil!C597="","",IFERROR(INDEX(Mercados!$C$2:$C$32,MATCH(Brasil!B597,Mercados!$A$2:$A$32,0)),"Revisar Tscode"))</f>
        <v/>
      </c>
      <c r="B597" s="1" t="str">
        <f aca="false">IF(Brasil!C597="","",Brasil!C597)</f>
        <v/>
      </c>
      <c r="C597" s="1" t="str">
        <f aca="false">IF(Brasil!C597="","",Brasil!A597)</f>
        <v/>
      </c>
      <c r="D597" s="1" t="str">
        <f aca="false">IF(Brasil!C597="","",Brasil!E597)</f>
        <v/>
      </c>
      <c r="E597" s="1" t="str">
        <f aca="false">IF(Brasil!C597="","",Brasil!F597)</f>
        <v/>
      </c>
      <c r="F597" s="1" t="str">
        <f aca="false">IF(Brasil!C597="","",Brasil!D597)</f>
        <v/>
      </c>
      <c r="I597" s="1" t="str">
        <f aca="false">IF(Brasil!C597="","",Brasil!H597)</f>
        <v/>
      </c>
      <c r="J597" s="1" t="str">
        <f aca="false">IF(Brasil!C597="","",Brasil!D597*Brasil!H597)</f>
        <v/>
      </c>
      <c r="K597" s="1" t="str">
        <f aca="false">IF(Brasil!C597="","","BR")</f>
        <v/>
      </c>
      <c r="L597" s="1" t="str">
        <f aca="false">IF(Brasil!C597="","",IFERROR(INDEX(Gamma_Catalogo!$D$3:$D$1451,MATCH(Brasil!E597,Gamma_Catalogo!$A$3:$A$1451,0)),"Revisar Ip Code"))</f>
        <v/>
      </c>
      <c r="M597" s="1" t="str">
        <f aca="false">IF(Brasil!C597="","",IFERROR(INDEX(Gamma_Catalogo!$C$3:$C$1451,MATCH(Brasil!E597,Gamma_Catalogo!$A$3:$A$1451,0)),"Revisar Ip Code"))</f>
        <v/>
      </c>
      <c r="N597" s="1" t="str">
        <f aca="false">IF(Brasil!C597="","",IFERROR(INDEX(Gamma_Catalogo!$E$3:$E$1451,MATCH(Brasil!E597,Gamma_Catalogo!$A$3:$A$1451,0)),"Revisar Ip Code"))</f>
        <v/>
      </c>
      <c r="O597" s="1" t="str">
        <f aca="false">IF(Brasil!C597="","","Brasil")</f>
        <v/>
      </c>
    </row>
    <row r="598" customFormat="false" ht="15" hidden="false" customHeight="true" outlineLevel="0" collapsed="false">
      <c r="A598" s="1" t="str">
        <f aca="false">IF(Brasil!C598="","",IFERROR(INDEX(Mercados!$C$2:$C$32,MATCH(Brasil!B598,Mercados!$A$2:$A$32,0)),"Revisar Tscode"))</f>
        <v/>
      </c>
      <c r="B598" s="1" t="str">
        <f aca="false">IF(Brasil!C598="","",Brasil!C598)</f>
        <v/>
      </c>
      <c r="C598" s="1" t="str">
        <f aca="false">IF(Brasil!C598="","",Brasil!A598)</f>
        <v/>
      </c>
      <c r="D598" s="1" t="str">
        <f aca="false">IF(Brasil!C598="","",Brasil!E598)</f>
        <v/>
      </c>
      <c r="E598" s="1" t="str">
        <f aca="false">IF(Brasil!C598="","",Brasil!F598)</f>
        <v/>
      </c>
      <c r="F598" s="1" t="str">
        <f aca="false">IF(Brasil!C598="","",Brasil!D598)</f>
        <v/>
      </c>
      <c r="I598" s="1" t="str">
        <f aca="false">IF(Brasil!C598="","",Brasil!H598)</f>
        <v/>
      </c>
      <c r="J598" s="1" t="str">
        <f aca="false">IF(Brasil!C598="","",Brasil!D598*Brasil!H598)</f>
        <v/>
      </c>
      <c r="K598" s="1" t="str">
        <f aca="false">IF(Brasil!C598="","","BR")</f>
        <v/>
      </c>
      <c r="L598" s="1" t="str">
        <f aca="false">IF(Brasil!C598="","",IFERROR(INDEX(Gamma_Catalogo!$D$3:$D$1451,MATCH(Brasil!E598,Gamma_Catalogo!$A$3:$A$1451,0)),"Revisar Ip Code"))</f>
        <v/>
      </c>
      <c r="M598" s="1" t="str">
        <f aca="false">IF(Brasil!C598="","",IFERROR(INDEX(Gamma_Catalogo!$C$3:$C$1451,MATCH(Brasil!E598,Gamma_Catalogo!$A$3:$A$1451,0)),"Revisar Ip Code"))</f>
        <v/>
      </c>
      <c r="N598" s="1" t="str">
        <f aca="false">IF(Brasil!C598="","",IFERROR(INDEX(Gamma_Catalogo!$E$3:$E$1451,MATCH(Brasil!E598,Gamma_Catalogo!$A$3:$A$1451,0)),"Revisar Ip Code"))</f>
        <v/>
      </c>
      <c r="O598" s="1" t="str">
        <f aca="false">IF(Brasil!C598="","","Brasil")</f>
        <v/>
      </c>
    </row>
    <row r="599" customFormat="false" ht="15" hidden="false" customHeight="true" outlineLevel="0" collapsed="false">
      <c r="A599" s="1" t="str">
        <f aca="false">IF(Brasil!C599="","",IFERROR(INDEX(Mercados!$C$2:$C$32,MATCH(Brasil!B599,Mercados!$A$2:$A$32,0)),"Revisar Tscode"))</f>
        <v/>
      </c>
      <c r="B599" s="1" t="str">
        <f aca="false">IF(Brasil!C599="","",Brasil!C599)</f>
        <v/>
      </c>
      <c r="C599" s="1" t="str">
        <f aca="false">IF(Brasil!C599="","",Brasil!A599)</f>
        <v/>
      </c>
      <c r="D599" s="1" t="str">
        <f aca="false">IF(Brasil!C599="","",Brasil!E599)</f>
        <v/>
      </c>
      <c r="E599" s="1" t="str">
        <f aca="false">IF(Brasil!C599="","",Brasil!F599)</f>
        <v/>
      </c>
      <c r="F599" s="1" t="str">
        <f aca="false">IF(Brasil!C599="","",Brasil!D599)</f>
        <v/>
      </c>
      <c r="I599" s="1" t="str">
        <f aca="false">IF(Brasil!C599="","",Brasil!H599)</f>
        <v/>
      </c>
      <c r="J599" s="1" t="str">
        <f aca="false">IF(Brasil!C599="","",Brasil!D599*Brasil!H599)</f>
        <v/>
      </c>
      <c r="K599" s="1" t="str">
        <f aca="false">IF(Brasil!C599="","","BR")</f>
        <v/>
      </c>
      <c r="L599" s="1" t="str">
        <f aca="false">IF(Brasil!C599="","",IFERROR(INDEX(Gamma_Catalogo!$D$3:$D$1451,MATCH(Brasil!E599,Gamma_Catalogo!$A$3:$A$1451,0)),"Revisar Ip Code"))</f>
        <v/>
      </c>
      <c r="M599" s="1" t="str">
        <f aca="false">IF(Brasil!C599="","",IFERROR(INDEX(Gamma_Catalogo!$C$3:$C$1451,MATCH(Brasil!E599,Gamma_Catalogo!$A$3:$A$1451,0)),"Revisar Ip Code"))</f>
        <v/>
      </c>
      <c r="N599" s="1" t="str">
        <f aca="false">IF(Brasil!C599="","",IFERROR(INDEX(Gamma_Catalogo!$E$3:$E$1451,MATCH(Brasil!E599,Gamma_Catalogo!$A$3:$A$1451,0)),"Revisar Ip Code"))</f>
        <v/>
      </c>
      <c r="O599" s="1" t="str">
        <f aca="false">IF(Brasil!C599="","","Brasil")</f>
        <v/>
      </c>
    </row>
    <row r="600" customFormat="false" ht="15" hidden="false" customHeight="true" outlineLevel="0" collapsed="false">
      <c r="A600" s="1" t="str">
        <f aca="false">IF(Brasil!C600="","",IFERROR(INDEX(Mercados!$C$2:$C$32,MATCH(Brasil!B600,Mercados!$A$2:$A$32,0)),"Revisar Tscode"))</f>
        <v/>
      </c>
      <c r="B600" s="1" t="str">
        <f aca="false">IF(Brasil!C600="","",Brasil!C600)</f>
        <v/>
      </c>
      <c r="C600" s="1" t="str">
        <f aca="false">IF(Brasil!C600="","",Brasil!A600)</f>
        <v/>
      </c>
      <c r="D600" s="1" t="str">
        <f aca="false">IF(Brasil!C600="","",Brasil!E600)</f>
        <v/>
      </c>
      <c r="E600" s="1" t="str">
        <f aca="false">IF(Brasil!C600="","",Brasil!F600)</f>
        <v/>
      </c>
      <c r="F600" s="1" t="str">
        <f aca="false">IF(Brasil!C600="","",Brasil!D600)</f>
        <v/>
      </c>
      <c r="I600" s="1" t="str">
        <f aca="false">IF(Brasil!C600="","",Brasil!H600)</f>
        <v/>
      </c>
      <c r="J600" s="1" t="str">
        <f aca="false">IF(Brasil!C600="","",Brasil!D600*Brasil!H600)</f>
        <v/>
      </c>
      <c r="K600" s="1" t="str">
        <f aca="false">IF(Brasil!C600="","","BR")</f>
        <v/>
      </c>
      <c r="L600" s="1" t="str">
        <f aca="false">IF(Brasil!C600="","",IFERROR(INDEX(Gamma_Catalogo!$D$3:$D$1451,MATCH(Brasil!E600,Gamma_Catalogo!$A$3:$A$1451,0)),"Revisar Ip Code"))</f>
        <v/>
      </c>
      <c r="M600" s="1" t="str">
        <f aca="false">IF(Brasil!C600="","",IFERROR(INDEX(Gamma_Catalogo!$C$3:$C$1451,MATCH(Brasil!E600,Gamma_Catalogo!$A$3:$A$1451,0)),"Revisar Ip Code"))</f>
        <v/>
      </c>
      <c r="N600" s="1" t="str">
        <f aca="false">IF(Brasil!C600="","",IFERROR(INDEX(Gamma_Catalogo!$E$3:$E$1451,MATCH(Brasil!E600,Gamma_Catalogo!$A$3:$A$1451,0)),"Revisar Ip Code"))</f>
        <v/>
      </c>
      <c r="O600" s="1" t="str">
        <f aca="false">IF(Brasil!C600="","","Brasil")</f>
        <v/>
      </c>
    </row>
    <row r="601" customFormat="false" ht="15" hidden="false" customHeight="true" outlineLevel="0" collapsed="false">
      <c r="A601" s="1" t="str">
        <f aca="false">IF(Brasil!C601="","",IFERROR(INDEX(Mercados!$C$2:$C$32,MATCH(Brasil!B601,Mercados!$A$2:$A$32,0)),"Revisar Tscode"))</f>
        <v/>
      </c>
      <c r="B601" s="1" t="str">
        <f aca="false">IF(Brasil!C601="","",Brasil!C601)</f>
        <v/>
      </c>
      <c r="C601" s="1" t="str">
        <f aca="false">IF(Brasil!C601="","",Brasil!A601)</f>
        <v/>
      </c>
      <c r="D601" s="1" t="str">
        <f aca="false">IF(Brasil!C601="","",Brasil!E601)</f>
        <v/>
      </c>
      <c r="E601" s="1" t="str">
        <f aca="false">IF(Brasil!C601="","",Brasil!F601)</f>
        <v/>
      </c>
      <c r="F601" s="1" t="str">
        <f aca="false">IF(Brasil!C601="","",Brasil!D601)</f>
        <v/>
      </c>
      <c r="I601" s="1" t="str">
        <f aca="false">IF(Brasil!C601="","",Brasil!H601)</f>
        <v/>
      </c>
      <c r="J601" s="1" t="str">
        <f aca="false">IF(Brasil!C601="","",Brasil!D601*Brasil!H601)</f>
        <v/>
      </c>
      <c r="K601" s="1" t="str">
        <f aca="false">IF(Brasil!C601="","","BR")</f>
        <v/>
      </c>
      <c r="L601" s="1" t="str">
        <f aca="false">IF(Brasil!C601="","",IFERROR(INDEX(Gamma_Catalogo!$D$3:$D$1451,MATCH(Brasil!E601,Gamma_Catalogo!$A$3:$A$1451,0)),"Revisar Ip Code"))</f>
        <v/>
      </c>
      <c r="M601" s="1" t="str">
        <f aca="false">IF(Brasil!C601="","",IFERROR(INDEX(Gamma_Catalogo!$C$3:$C$1451,MATCH(Brasil!E601,Gamma_Catalogo!$A$3:$A$1451,0)),"Revisar Ip Code"))</f>
        <v/>
      </c>
      <c r="N601" s="1" t="str">
        <f aca="false">IF(Brasil!C601="","",IFERROR(INDEX(Gamma_Catalogo!$E$3:$E$1451,MATCH(Brasil!E601,Gamma_Catalogo!$A$3:$A$1451,0)),"Revisar Ip Code"))</f>
        <v/>
      </c>
      <c r="O601" s="1" t="str">
        <f aca="false">IF(Brasil!C601="","","Brasil")</f>
        <v/>
      </c>
    </row>
    <row r="602" customFormat="false" ht="15" hidden="false" customHeight="true" outlineLevel="0" collapsed="false">
      <c r="A602" s="1" t="str">
        <f aca="false">IF(Brasil!C602="","",IFERROR(INDEX(Mercados!$C$2:$C$32,MATCH(Brasil!B602,Mercados!$A$2:$A$32,0)),"Revisar Tscode"))</f>
        <v/>
      </c>
      <c r="B602" s="1" t="str">
        <f aca="false">IF(Brasil!C602="","",Brasil!C602)</f>
        <v/>
      </c>
      <c r="C602" s="1" t="str">
        <f aca="false">IF(Brasil!C602="","",Brasil!A602)</f>
        <v/>
      </c>
      <c r="D602" s="1" t="str">
        <f aca="false">IF(Brasil!C602="","",Brasil!E602)</f>
        <v/>
      </c>
      <c r="E602" s="1" t="str">
        <f aca="false">IF(Brasil!C602="","",Brasil!F602)</f>
        <v/>
      </c>
      <c r="F602" s="1" t="str">
        <f aca="false">IF(Brasil!C602="","",Brasil!D602)</f>
        <v/>
      </c>
      <c r="I602" s="1" t="str">
        <f aca="false">IF(Brasil!C602="","",Brasil!H602)</f>
        <v/>
      </c>
      <c r="J602" s="1" t="str">
        <f aca="false">IF(Brasil!C602="","",Brasil!D602*Brasil!H602)</f>
        <v/>
      </c>
      <c r="K602" s="1" t="str">
        <f aca="false">IF(Brasil!C602="","","BR")</f>
        <v/>
      </c>
      <c r="L602" s="1" t="str">
        <f aca="false">IF(Brasil!C602="","",IFERROR(INDEX(Gamma_Catalogo!$D$3:$D$1451,MATCH(Brasil!E602,Gamma_Catalogo!$A$3:$A$1451,0)),"Revisar Ip Code"))</f>
        <v/>
      </c>
      <c r="M602" s="1" t="str">
        <f aca="false">IF(Brasil!C602="","",IFERROR(INDEX(Gamma_Catalogo!$C$3:$C$1451,MATCH(Brasil!E602,Gamma_Catalogo!$A$3:$A$1451,0)),"Revisar Ip Code"))</f>
        <v/>
      </c>
      <c r="N602" s="1" t="str">
        <f aca="false">IF(Brasil!C602="","",IFERROR(INDEX(Gamma_Catalogo!$E$3:$E$1451,MATCH(Brasil!E602,Gamma_Catalogo!$A$3:$A$1451,0)),"Revisar Ip Code"))</f>
        <v/>
      </c>
      <c r="O602" s="1" t="str">
        <f aca="false">IF(Brasil!C602="","","Brasil")</f>
        <v/>
      </c>
    </row>
    <row r="603" customFormat="false" ht="15" hidden="false" customHeight="true" outlineLevel="0" collapsed="false">
      <c r="A603" s="1" t="str">
        <f aca="false">IF(Brasil!C603="","",IFERROR(INDEX(Mercados!$C$2:$C$32,MATCH(Brasil!B603,Mercados!$A$2:$A$32,0)),"Revisar Tscode"))</f>
        <v/>
      </c>
      <c r="B603" s="1" t="str">
        <f aca="false">IF(Brasil!C603="","",Brasil!C603)</f>
        <v/>
      </c>
      <c r="C603" s="1" t="str">
        <f aca="false">IF(Brasil!C603="","",Brasil!A603)</f>
        <v/>
      </c>
      <c r="D603" s="1" t="str">
        <f aca="false">IF(Brasil!C603="","",Brasil!E603)</f>
        <v/>
      </c>
      <c r="E603" s="1" t="str">
        <f aca="false">IF(Brasil!C603="","",Brasil!F603)</f>
        <v/>
      </c>
      <c r="F603" s="1" t="str">
        <f aca="false">IF(Brasil!C603="","",Brasil!D603)</f>
        <v/>
      </c>
      <c r="I603" s="1" t="str">
        <f aca="false">IF(Brasil!C603="","",Brasil!H603)</f>
        <v/>
      </c>
      <c r="J603" s="1" t="str">
        <f aca="false">IF(Brasil!C603="","",Brasil!D603*Brasil!H603)</f>
        <v/>
      </c>
      <c r="K603" s="1" t="str">
        <f aca="false">IF(Brasil!C603="","","BR")</f>
        <v/>
      </c>
      <c r="L603" s="1" t="str">
        <f aca="false">IF(Brasil!C603="","",IFERROR(INDEX(Gamma_Catalogo!$D$3:$D$1451,MATCH(Brasil!E603,Gamma_Catalogo!$A$3:$A$1451,0)),"Revisar Ip Code"))</f>
        <v/>
      </c>
      <c r="M603" s="1" t="str">
        <f aca="false">IF(Brasil!C603="","",IFERROR(INDEX(Gamma_Catalogo!$C$3:$C$1451,MATCH(Brasil!E603,Gamma_Catalogo!$A$3:$A$1451,0)),"Revisar Ip Code"))</f>
        <v/>
      </c>
      <c r="N603" s="1" t="str">
        <f aca="false">IF(Brasil!C603="","",IFERROR(INDEX(Gamma_Catalogo!$E$3:$E$1451,MATCH(Brasil!E603,Gamma_Catalogo!$A$3:$A$1451,0)),"Revisar Ip Code"))</f>
        <v/>
      </c>
      <c r="O603" s="1" t="str">
        <f aca="false">IF(Brasil!C603="","","Brasil")</f>
        <v/>
      </c>
    </row>
    <row r="604" customFormat="false" ht="15" hidden="false" customHeight="true" outlineLevel="0" collapsed="false">
      <c r="A604" s="1" t="str">
        <f aca="false">IF(Brasil!C604="","",IFERROR(INDEX(Mercados!$C$2:$C$32,MATCH(Brasil!B604,Mercados!$A$2:$A$32,0)),"Revisar Tscode"))</f>
        <v/>
      </c>
      <c r="B604" s="1" t="str">
        <f aca="false">IF(Brasil!C604="","",Brasil!C604)</f>
        <v/>
      </c>
      <c r="C604" s="1" t="str">
        <f aca="false">IF(Brasil!C604="","",Brasil!A604)</f>
        <v/>
      </c>
      <c r="D604" s="1" t="str">
        <f aca="false">IF(Brasil!C604="","",Brasil!E604)</f>
        <v/>
      </c>
      <c r="E604" s="1" t="str">
        <f aca="false">IF(Brasil!C604="","",Brasil!F604)</f>
        <v/>
      </c>
      <c r="F604" s="1" t="str">
        <f aca="false">IF(Brasil!C604="","",Brasil!D604)</f>
        <v/>
      </c>
      <c r="I604" s="1" t="str">
        <f aca="false">IF(Brasil!C604="","",Brasil!H604)</f>
        <v/>
      </c>
      <c r="J604" s="1" t="str">
        <f aca="false">IF(Brasil!C604="","",Brasil!D604*Brasil!H604)</f>
        <v/>
      </c>
      <c r="K604" s="1" t="str">
        <f aca="false">IF(Brasil!C604="","","BR")</f>
        <v/>
      </c>
      <c r="L604" s="1" t="str">
        <f aca="false">IF(Brasil!C604="","",IFERROR(INDEX(Gamma_Catalogo!$D$3:$D$1451,MATCH(Brasil!E604,Gamma_Catalogo!$A$3:$A$1451,0)),"Revisar Ip Code"))</f>
        <v/>
      </c>
      <c r="M604" s="1" t="str">
        <f aca="false">IF(Brasil!C604="","",IFERROR(INDEX(Gamma_Catalogo!$C$3:$C$1451,MATCH(Brasil!E604,Gamma_Catalogo!$A$3:$A$1451,0)),"Revisar Ip Code"))</f>
        <v/>
      </c>
      <c r="N604" s="1" t="str">
        <f aca="false">IF(Brasil!C604="","",IFERROR(INDEX(Gamma_Catalogo!$E$3:$E$1451,MATCH(Brasil!E604,Gamma_Catalogo!$A$3:$A$1451,0)),"Revisar Ip Code"))</f>
        <v/>
      </c>
      <c r="O604" s="1" t="str">
        <f aca="false">IF(Brasil!C604="","","Brasil")</f>
        <v/>
      </c>
    </row>
    <row r="605" customFormat="false" ht="15" hidden="false" customHeight="true" outlineLevel="0" collapsed="false">
      <c r="A605" s="1" t="str">
        <f aca="false">IF(Brasil!C605="","",IFERROR(INDEX(Mercados!$C$2:$C$32,MATCH(Brasil!B605,Mercados!$A$2:$A$32,0)),"Revisar Tscode"))</f>
        <v/>
      </c>
      <c r="B605" s="1" t="str">
        <f aca="false">IF(Brasil!C605="","",Brasil!C605)</f>
        <v/>
      </c>
      <c r="C605" s="1" t="str">
        <f aca="false">IF(Brasil!C605="","",Brasil!A605)</f>
        <v/>
      </c>
      <c r="D605" s="1" t="str">
        <f aca="false">IF(Brasil!C605="","",Brasil!E605)</f>
        <v/>
      </c>
      <c r="E605" s="1" t="str">
        <f aca="false">IF(Brasil!C605="","",Brasil!F605)</f>
        <v/>
      </c>
      <c r="F605" s="1" t="str">
        <f aca="false">IF(Brasil!C605="","",Brasil!D605)</f>
        <v/>
      </c>
      <c r="I605" s="1" t="str">
        <f aca="false">IF(Brasil!C605="","",Brasil!H605)</f>
        <v/>
      </c>
      <c r="J605" s="1" t="str">
        <f aca="false">IF(Brasil!C605="","",Brasil!D605*Brasil!H605)</f>
        <v/>
      </c>
      <c r="K605" s="1" t="str">
        <f aca="false">IF(Brasil!C605="","","BR")</f>
        <v/>
      </c>
      <c r="L605" s="1" t="str">
        <f aca="false">IF(Brasil!C605="","",IFERROR(INDEX(Gamma_Catalogo!$D$3:$D$1451,MATCH(Brasil!E605,Gamma_Catalogo!$A$3:$A$1451,0)),"Revisar Ip Code"))</f>
        <v/>
      </c>
      <c r="M605" s="1" t="str">
        <f aca="false">IF(Brasil!C605="","",IFERROR(INDEX(Gamma_Catalogo!$C$3:$C$1451,MATCH(Brasil!E605,Gamma_Catalogo!$A$3:$A$1451,0)),"Revisar Ip Code"))</f>
        <v/>
      </c>
      <c r="N605" s="1" t="str">
        <f aca="false">IF(Brasil!C605="","",IFERROR(INDEX(Gamma_Catalogo!$E$3:$E$1451,MATCH(Brasil!E605,Gamma_Catalogo!$A$3:$A$1451,0)),"Revisar Ip Code"))</f>
        <v/>
      </c>
      <c r="O605" s="1" t="str">
        <f aca="false">IF(Brasil!C605="","","Brasil")</f>
        <v/>
      </c>
    </row>
    <row r="606" customFormat="false" ht="15" hidden="false" customHeight="true" outlineLevel="0" collapsed="false">
      <c r="A606" s="1" t="str">
        <f aca="false">IF(Brasil!C606="","",IFERROR(INDEX(Mercados!$C$2:$C$32,MATCH(Brasil!B606,Mercados!$A$2:$A$32,0)),"Revisar Tscode"))</f>
        <v/>
      </c>
      <c r="B606" s="1" t="str">
        <f aca="false">IF(Brasil!C606="","",Brasil!C606)</f>
        <v/>
      </c>
      <c r="C606" s="1" t="str">
        <f aca="false">IF(Brasil!C606="","",Brasil!A606)</f>
        <v/>
      </c>
      <c r="D606" s="1" t="str">
        <f aca="false">IF(Brasil!C606="","",Brasil!E606)</f>
        <v/>
      </c>
      <c r="E606" s="1" t="str">
        <f aca="false">IF(Brasil!C606="","",Brasil!F606)</f>
        <v/>
      </c>
      <c r="F606" s="1" t="str">
        <f aca="false">IF(Brasil!C606="","",Brasil!D606)</f>
        <v/>
      </c>
      <c r="I606" s="1" t="str">
        <f aca="false">IF(Brasil!C606="","",Brasil!H606)</f>
        <v/>
      </c>
      <c r="J606" s="1" t="str">
        <f aca="false">IF(Brasil!C606="","",Brasil!D606*Brasil!H606)</f>
        <v/>
      </c>
      <c r="K606" s="1" t="str">
        <f aca="false">IF(Brasil!C606="","","BR")</f>
        <v/>
      </c>
      <c r="L606" s="1" t="str">
        <f aca="false">IF(Brasil!C606="","",IFERROR(INDEX(Gamma_Catalogo!$D$3:$D$1451,MATCH(Brasil!E606,Gamma_Catalogo!$A$3:$A$1451,0)),"Revisar Ip Code"))</f>
        <v/>
      </c>
      <c r="M606" s="1" t="str">
        <f aca="false">IF(Brasil!C606="","",IFERROR(INDEX(Gamma_Catalogo!$C$3:$C$1451,MATCH(Brasil!E606,Gamma_Catalogo!$A$3:$A$1451,0)),"Revisar Ip Code"))</f>
        <v/>
      </c>
      <c r="N606" s="1" t="str">
        <f aca="false">IF(Brasil!C606="","",IFERROR(INDEX(Gamma_Catalogo!$E$3:$E$1451,MATCH(Brasil!E606,Gamma_Catalogo!$A$3:$A$1451,0)),"Revisar Ip Code"))</f>
        <v/>
      </c>
      <c r="O606" s="1" t="str">
        <f aca="false">IF(Brasil!C606="","","Brasil")</f>
        <v/>
      </c>
    </row>
    <row r="607" customFormat="false" ht="15" hidden="false" customHeight="true" outlineLevel="0" collapsed="false">
      <c r="A607" s="1" t="str">
        <f aca="false">IF(Brasil!C607="","",IFERROR(INDEX(Mercados!$C$2:$C$32,MATCH(Brasil!B607,Mercados!$A$2:$A$32,0)),"Revisar Tscode"))</f>
        <v/>
      </c>
      <c r="B607" s="1" t="str">
        <f aca="false">IF(Brasil!C607="","",Brasil!C607)</f>
        <v/>
      </c>
      <c r="C607" s="1" t="str">
        <f aca="false">IF(Brasil!C607="","",Brasil!A607)</f>
        <v/>
      </c>
      <c r="D607" s="1" t="str">
        <f aca="false">IF(Brasil!C607="","",Brasil!E607)</f>
        <v/>
      </c>
      <c r="E607" s="1" t="str">
        <f aca="false">IF(Brasil!C607="","",Brasil!F607)</f>
        <v/>
      </c>
      <c r="F607" s="1" t="str">
        <f aca="false">IF(Brasil!C607="","",Brasil!D607)</f>
        <v/>
      </c>
      <c r="I607" s="1" t="str">
        <f aca="false">IF(Brasil!C607="","",Brasil!H607)</f>
        <v/>
      </c>
      <c r="J607" s="1" t="str">
        <f aca="false">IF(Brasil!C607="","",Brasil!D607*Brasil!H607)</f>
        <v/>
      </c>
      <c r="K607" s="1" t="str">
        <f aca="false">IF(Brasil!C607="","","BR")</f>
        <v/>
      </c>
      <c r="L607" s="1" t="str">
        <f aca="false">IF(Brasil!C607="","",IFERROR(INDEX(Gamma_Catalogo!$D$3:$D$1451,MATCH(Brasil!E607,Gamma_Catalogo!$A$3:$A$1451,0)),"Revisar Ip Code"))</f>
        <v/>
      </c>
      <c r="M607" s="1" t="str">
        <f aca="false">IF(Brasil!C607="","",IFERROR(INDEX(Gamma_Catalogo!$C$3:$C$1451,MATCH(Brasil!E607,Gamma_Catalogo!$A$3:$A$1451,0)),"Revisar Ip Code"))</f>
        <v/>
      </c>
      <c r="N607" s="1" t="str">
        <f aca="false">IF(Brasil!C607="","",IFERROR(INDEX(Gamma_Catalogo!$E$3:$E$1451,MATCH(Brasil!E607,Gamma_Catalogo!$A$3:$A$1451,0)),"Revisar Ip Code"))</f>
        <v/>
      </c>
      <c r="O607" s="1" t="str">
        <f aca="false">IF(Brasil!C607="","","Brasil")</f>
        <v/>
      </c>
    </row>
    <row r="608" customFormat="false" ht="15" hidden="false" customHeight="true" outlineLevel="0" collapsed="false">
      <c r="A608" s="1" t="str">
        <f aca="false">IF(Brasil!C608="","",IFERROR(INDEX(Mercados!$C$2:$C$32,MATCH(Brasil!B608,Mercados!$A$2:$A$32,0)),"Revisar Tscode"))</f>
        <v/>
      </c>
      <c r="B608" s="1" t="str">
        <f aca="false">IF(Brasil!C608="","",Brasil!C608)</f>
        <v/>
      </c>
      <c r="C608" s="1" t="str">
        <f aca="false">IF(Brasil!C608="","",Brasil!A608)</f>
        <v/>
      </c>
      <c r="D608" s="1" t="str">
        <f aca="false">IF(Brasil!C608="","",Brasil!E608)</f>
        <v/>
      </c>
      <c r="E608" s="1" t="str">
        <f aca="false">IF(Brasil!C608="","",Brasil!F608)</f>
        <v/>
      </c>
      <c r="F608" s="1" t="str">
        <f aca="false">IF(Brasil!C608="","",Brasil!D608)</f>
        <v/>
      </c>
      <c r="I608" s="1" t="str">
        <f aca="false">IF(Brasil!C608="","",Brasil!H608)</f>
        <v/>
      </c>
      <c r="J608" s="1" t="str">
        <f aca="false">IF(Brasil!C608="","",Brasil!D608*Brasil!H608)</f>
        <v/>
      </c>
      <c r="K608" s="1" t="str">
        <f aca="false">IF(Brasil!C608="","","BR")</f>
        <v/>
      </c>
      <c r="L608" s="1" t="str">
        <f aca="false">IF(Brasil!C608="","",IFERROR(INDEX(Gamma_Catalogo!$D$3:$D$1451,MATCH(Brasil!E608,Gamma_Catalogo!$A$3:$A$1451,0)),"Revisar Ip Code"))</f>
        <v/>
      </c>
      <c r="M608" s="1" t="str">
        <f aca="false">IF(Brasil!C608="","",IFERROR(INDEX(Gamma_Catalogo!$C$3:$C$1451,MATCH(Brasil!E608,Gamma_Catalogo!$A$3:$A$1451,0)),"Revisar Ip Code"))</f>
        <v/>
      </c>
      <c r="N608" s="1" t="str">
        <f aca="false">IF(Brasil!C608="","",IFERROR(INDEX(Gamma_Catalogo!$E$3:$E$1451,MATCH(Brasil!E608,Gamma_Catalogo!$A$3:$A$1451,0)),"Revisar Ip Code"))</f>
        <v/>
      </c>
      <c r="O608" s="1" t="str">
        <f aca="false">IF(Brasil!C608="","","Brasil")</f>
        <v/>
      </c>
    </row>
    <row r="609" customFormat="false" ht="15" hidden="false" customHeight="true" outlineLevel="0" collapsed="false">
      <c r="A609" s="1" t="str">
        <f aca="false">IF(Brasil!C609="","",IFERROR(INDEX(Mercados!$C$2:$C$32,MATCH(Brasil!B609,Mercados!$A$2:$A$32,0)),"Revisar Tscode"))</f>
        <v/>
      </c>
      <c r="B609" s="1" t="str">
        <f aca="false">IF(Brasil!C609="","",Brasil!C609)</f>
        <v/>
      </c>
      <c r="C609" s="1" t="str">
        <f aca="false">IF(Brasil!C609="","",Brasil!A609)</f>
        <v/>
      </c>
      <c r="D609" s="1" t="str">
        <f aca="false">IF(Brasil!C609="","",Brasil!E609)</f>
        <v/>
      </c>
      <c r="E609" s="1" t="str">
        <f aca="false">IF(Brasil!C609="","",Brasil!F609)</f>
        <v/>
      </c>
      <c r="F609" s="1" t="str">
        <f aca="false">IF(Brasil!C609="","",Brasil!D609)</f>
        <v/>
      </c>
      <c r="I609" s="1" t="str">
        <f aca="false">IF(Brasil!C609="","",Brasil!H609)</f>
        <v/>
      </c>
      <c r="J609" s="1" t="str">
        <f aca="false">IF(Brasil!C609="","",Brasil!D609*Brasil!H609)</f>
        <v/>
      </c>
      <c r="K609" s="1" t="str">
        <f aca="false">IF(Brasil!C609="","","BR")</f>
        <v/>
      </c>
      <c r="L609" s="1" t="str">
        <f aca="false">IF(Brasil!C609="","",IFERROR(INDEX(Gamma_Catalogo!$D$3:$D$1451,MATCH(Brasil!E609,Gamma_Catalogo!$A$3:$A$1451,0)),"Revisar Ip Code"))</f>
        <v/>
      </c>
      <c r="M609" s="1" t="str">
        <f aca="false">IF(Brasil!C609="","",IFERROR(INDEX(Gamma_Catalogo!$C$3:$C$1451,MATCH(Brasil!E609,Gamma_Catalogo!$A$3:$A$1451,0)),"Revisar Ip Code"))</f>
        <v/>
      </c>
      <c r="N609" s="1" t="str">
        <f aca="false">IF(Brasil!C609="","",IFERROR(INDEX(Gamma_Catalogo!$E$3:$E$1451,MATCH(Brasil!E609,Gamma_Catalogo!$A$3:$A$1451,0)),"Revisar Ip Code"))</f>
        <v/>
      </c>
      <c r="O609" s="1" t="str">
        <f aca="false">IF(Brasil!C609="","","Brasil")</f>
        <v/>
      </c>
    </row>
    <row r="610" customFormat="false" ht="15" hidden="false" customHeight="true" outlineLevel="0" collapsed="false">
      <c r="A610" s="1" t="str">
        <f aca="false">IF(Brasil!C610="","",IFERROR(INDEX(Mercados!$C$2:$C$32,MATCH(Brasil!B610,Mercados!$A$2:$A$32,0)),"Revisar Tscode"))</f>
        <v/>
      </c>
      <c r="B610" s="1" t="str">
        <f aca="false">IF(Brasil!C610="","",Brasil!C610)</f>
        <v/>
      </c>
      <c r="C610" s="1" t="str">
        <f aca="false">IF(Brasil!C610="","",Brasil!A610)</f>
        <v/>
      </c>
      <c r="D610" s="1" t="str">
        <f aca="false">IF(Brasil!C610="","",Brasil!E610)</f>
        <v/>
      </c>
      <c r="E610" s="1" t="str">
        <f aca="false">IF(Brasil!C610="","",Brasil!F610)</f>
        <v/>
      </c>
      <c r="F610" s="1" t="str">
        <f aca="false">IF(Brasil!C610="","",Brasil!D610)</f>
        <v/>
      </c>
      <c r="I610" s="1" t="str">
        <f aca="false">IF(Brasil!C610="","",Brasil!H610)</f>
        <v/>
      </c>
      <c r="J610" s="1" t="str">
        <f aca="false">IF(Brasil!C610="","",Brasil!D610*Brasil!H610)</f>
        <v/>
      </c>
      <c r="K610" s="1" t="str">
        <f aca="false">IF(Brasil!C610="","","BR")</f>
        <v/>
      </c>
      <c r="L610" s="1" t="str">
        <f aca="false">IF(Brasil!C610="","",IFERROR(INDEX(Gamma_Catalogo!$D$3:$D$1451,MATCH(Brasil!E610,Gamma_Catalogo!$A$3:$A$1451,0)),"Revisar Ip Code"))</f>
        <v/>
      </c>
      <c r="M610" s="1" t="str">
        <f aca="false">IF(Brasil!C610="","",IFERROR(INDEX(Gamma_Catalogo!$C$3:$C$1451,MATCH(Brasil!E610,Gamma_Catalogo!$A$3:$A$1451,0)),"Revisar Ip Code"))</f>
        <v/>
      </c>
      <c r="N610" s="1" t="str">
        <f aca="false">IF(Brasil!C610="","",IFERROR(INDEX(Gamma_Catalogo!$E$3:$E$1451,MATCH(Brasil!E610,Gamma_Catalogo!$A$3:$A$1451,0)),"Revisar Ip Code"))</f>
        <v/>
      </c>
      <c r="O610" s="1" t="str">
        <f aca="false">IF(Brasil!C610="","","Brasil")</f>
        <v/>
      </c>
    </row>
    <row r="611" customFormat="false" ht="15" hidden="false" customHeight="true" outlineLevel="0" collapsed="false">
      <c r="A611" s="1" t="str">
        <f aca="false">IF(Brasil!C611="","",IFERROR(INDEX(Mercados!$C$2:$C$32,MATCH(Brasil!B611,Mercados!$A$2:$A$32,0)),"Revisar Tscode"))</f>
        <v/>
      </c>
      <c r="B611" s="1" t="str">
        <f aca="false">IF(Brasil!C611="","",Brasil!C611)</f>
        <v/>
      </c>
      <c r="C611" s="1" t="str">
        <f aca="false">IF(Brasil!C611="","",Brasil!A611)</f>
        <v/>
      </c>
      <c r="D611" s="1" t="str">
        <f aca="false">IF(Brasil!C611="","",Brasil!E611)</f>
        <v/>
      </c>
      <c r="E611" s="1" t="str">
        <f aca="false">IF(Brasil!C611="","",Brasil!F611)</f>
        <v/>
      </c>
      <c r="F611" s="1" t="str">
        <f aca="false">IF(Brasil!C611="","",Brasil!D611)</f>
        <v/>
      </c>
      <c r="I611" s="1" t="str">
        <f aca="false">IF(Brasil!C611="","",Brasil!H611)</f>
        <v/>
      </c>
      <c r="J611" s="1" t="str">
        <f aca="false">IF(Brasil!C611="","",Brasil!D611*Brasil!H611)</f>
        <v/>
      </c>
      <c r="K611" s="1" t="str">
        <f aca="false">IF(Brasil!C611="","","BR")</f>
        <v/>
      </c>
      <c r="L611" s="1" t="str">
        <f aca="false">IF(Brasil!C611="","",IFERROR(INDEX(Gamma_Catalogo!$D$3:$D$1451,MATCH(Brasil!E611,Gamma_Catalogo!$A$3:$A$1451,0)),"Revisar Ip Code"))</f>
        <v/>
      </c>
      <c r="M611" s="1" t="str">
        <f aca="false">IF(Brasil!C611="","",IFERROR(INDEX(Gamma_Catalogo!$C$3:$C$1451,MATCH(Brasil!E611,Gamma_Catalogo!$A$3:$A$1451,0)),"Revisar Ip Code"))</f>
        <v/>
      </c>
      <c r="N611" s="1" t="str">
        <f aca="false">IF(Brasil!C611="","",IFERROR(INDEX(Gamma_Catalogo!$E$3:$E$1451,MATCH(Brasil!E611,Gamma_Catalogo!$A$3:$A$1451,0)),"Revisar Ip Code"))</f>
        <v/>
      </c>
      <c r="O611" s="1" t="str">
        <f aca="false">IF(Brasil!C611="","","Brasil")</f>
        <v/>
      </c>
    </row>
    <row r="612" customFormat="false" ht="15" hidden="false" customHeight="true" outlineLevel="0" collapsed="false">
      <c r="A612" s="1" t="str">
        <f aca="false">IF(Brasil!C612="","",IFERROR(INDEX(Mercados!$C$2:$C$32,MATCH(Brasil!B612,Mercados!$A$2:$A$32,0)),"Revisar Tscode"))</f>
        <v/>
      </c>
      <c r="B612" s="1" t="str">
        <f aca="false">IF(Brasil!C612="","",Brasil!C612)</f>
        <v/>
      </c>
      <c r="C612" s="1" t="str">
        <f aca="false">IF(Brasil!C612="","",Brasil!A612)</f>
        <v/>
      </c>
      <c r="D612" s="1" t="str">
        <f aca="false">IF(Brasil!C612="","",Brasil!E612)</f>
        <v/>
      </c>
      <c r="E612" s="1" t="str">
        <f aca="false">IF(Brasil!C612="","",Brasil!F612)</f>
        <v/>
      </c>
      <c r="F612" s="1" t="str">
        <f aca="false">IF(Brasil!C612="","",Brasil!D612)</f>
        <v/>
      </c>
      <c r="I612" s="1" t="str">
        <f aca="false">IF(Brasil!C612="","",Brasil!H612)</f>
        <v/>
      </c>
      <c r="J612" s="1" t="str">
        <f aca="false">IF(Brasil!C612="","",Brasil!D612*Brasil!H612)</f>
        <v/>
      </c>
      <c r="K612" s="1" t="str">
        <f aca="false">IF(Brasil!C612="","","BR")</f>
        <v/>
      </c>
      <c r="L612" s="1" t="str">
        <f aca="false">IF(Brasil!C612="","",IFERROR(INDEX(Gamma_Catalogo!$D$3:$D$1451,MATCH(Brasil!E612,Gamma_Catalogo!$A$3:$A$1451,0)),"Revisar Ip Code"))</f>
        <v/>
      </c>
      <c r="M612" s="1" t="str">
        <f aca="false">IF(Brasil!C612="","",IFERROR(INDEX(Gamma_Catalogo!$C$3:$C$1451,MATCH(Brasil!E612,Gamma_Catalogo!$A$3:$A$1451,0)),"Revisar Ip Code"))</f>
        <v/>
      </c>
      <c r="N612" s="1" t="str">
        <f aca="false">IF(Brasil!C612="","",IFERROR(INDEX(Gamma_Catalogo!$E$3:$E$1451,MATCH(Brasil!E612,Gamma_Catalogo!$A$3:$A$1451,0)),"Revisar Ip Code"))</f>
        <v/>
      </c>
      <c r="O612" s="1" t="str">
        <f aca="false">IF(Brasil!C612="","","Brasil")</f>
        <v/>
      </c>
    </row>
    <row r="613" customFormat="false" ht="15" hidden="false" customHeight="true" outlineLevel="0" collapsed="false">
      <c r="A613" s="1" t="str">
        <f aca="false">IF(Brasil!C613="","",IFERROR(INDEX(Mercados!$C$2:$C$32,MATCH(Brasil!B613,Mercados!$A$2:$A$32,0)),"Revisar Tscode"))</f>
        <v/>
      </c>
      <c r="B613" s="1" t="str">
        <f aca="false">IF(Brasil!C613="","",Brasil!C613)</f>
        <v/>
      </c>
      <c r="C613" s="1" t="str">
        <f aca="false">IF(Brasil!C613="","",Brasil!A613)</f>
        <v/>
      </c>
      <c r="D613" s="1" t="str">
        <f aca="false">IF(Brasil!C613="","",Brasil!E613)</f>
        <v/>
      </c>
      <c r="E613" s="1" t="str">
        <f aca="false">IF(Brasil!C613="","",Brasil!F613)</f>
        <v/>
      </c>
      <c r="F613" s="1" t="str">
        <f aca="false">IF(Brasil!C613="","",Brasil!D613)</f>
        <v/>
      </c>
      <c r="I613" s="1" t="str">
        <f aca="false">IF(Brasil!C613="","",Brasil!H613)</f>
        <v/>
      </c>
      <c r="J613" s="1" t="str">
        <f aca="false">IF(Brasil!C613="","",Brasil!D613*Brasil!H613)</f>
        <v/>
      </c>
      <c r="K613" s="1" t="str">
        <f aca="false">IF(Brasil!C613="","","BR")</f>
        <v/>
      </c>
      <c r="L613" s="1" t="str">
        <f aca="false">IF(Brasil!C613="","",IFERROR(INDEX(Gamma_Catalogo!$D$3:$D$1451,MATCH(Brasil!E613,Gamma_Catalogo!$A$3:$A$1451,0)),"Revisar Ip Code"))</f>
        <v/>
      </c>
      <c r="M613" s="1" t="str">
        <f aca="false">IF(Brasil!C613="","",IFERROR(INDEX(Gamma_Catalogo!$C$3:$C$1451,MATCH(Brasil!E613,Gamma_Catalogo!$A$3:$A$1451,0)),"Revisar Ip Code"))</f>
        <v/>
      </c>
      <c r="N613" s="1" t="str">
        <f aca="false">IF(Brasil!C613="","",IFERROR(INDEX(Gamma_Catalogo!$E$3:$E$1451,MATCH(Brasil!E613,Gamma_Catalogo!$A$3:$A$1451,0)),"Revisar Ip Code"))</f>
        <v/>
      </c>
      <c r="O613" s="1" t="str">
        <f aca="false">IF(Brasil!C613="","","Brasil")</f>
        <v/>
      </c>
    </row>
    <row r="614" customFormat="false" ht="15" hidden="false" customHeight="true" outlineLevel="0" collapsed="false">
      <c r="A614" s="1" t="str">
        <f aca="false">IF(Brasil!C614="","",IFERROR(INDEX(Mercados!$C$2:$C$32,MATCH(Brasil!B614,Mercados!$A$2:$A$32,0)),"Revisar Tscode"))</f>
        <v/>
      </c>
      <c r="B614" s="1" t="str">
        <f aca="false">IF(Brasil!C614="","",Brasil!C614)</f>
        <v/>
      </c>
      <c r="C614" s="1" t="str">
        <f aca="false">IF(Brasil!C614="","",Brasil!A614)</f>
        <v/>
      </c>
      <c r="D614" s="1" t="str">
        <f aca="false">IF(Brasil!C614="","",Brasil!E614)</f>
        <v/>
      </c>
      <c r="E614" s="1" t="str">
        <f aca="false">IF(Brasil!C614="","",Brasil!F614)</f>
        <v/>
      </c>
      <c r="F614" s="1" t="str">
        <f aca="false">IF(Brasil!C614="","",Brasil!D614)</f>
        <v/>
      </c>
      <c r="I614" s="1" t="str">
        <f aca="false">IF(Brasil!C614="","",Brasil!H614)</f>
        <v/>
      </c>
      <c r="J614" s="1" t="str">
        <f aca="false">IF(Brasil!C614="","",Brasil!D614*Brasil!H614)</f>
        <v/>
      </c>
      <c r="K614" s="1" t="str">
        <f aca="false">IF(Brasil!C614="","","BR")</f>
        <v/>
      </c>
      <c r="L614" s="1" t="str">
        <f aca="false">IF(Brasil!C614="","",IFERROR(INDEX(Gamma_Catalogo!$D$3:$D$1451,MATCH(Brasil!E614,Gamma_Catalogo!$A$3:$A$1451,0)),"Revisar Ip Code"))</f>
        <v/>
      </c>
      <c r="M614" s="1" t="str">
        <f aca="false">IF(Brasil!C614="","",IFERROR(INDEX(Gamma_Catalogo!$C$3:$C$1451,MATCH(Brasil!E614,Gamma_Catalogo!$A$3:$A$1451,0)),"Revisar Ip Code"))</f>
        <v/>
      </c>
      <c r="N614" s="1" t="str">
        <f aca="false">IF(Brasil!C614="","",IFERROR(INDEX(Gamma_Catalogo!$E$3:$E$1451,MATCH(Brasil!E614,Gamma_Catalogo!$A$3:$A$1451,0)),"Revisar Ip Code"))</f>
        <v/>
      </c>
      <c r="O614" s="1" t="str">
        <f aca="false">IF(Brasil!C614="","","Brasil")</f>
        <v/>
      </c>
    </row>
    <row r="615" customFormat="false" ht="15" hidden="false" customHeight="true" outlineLevel="0" collapsed="false">
      <c r="A615" s="1" t="str">
        <f aca="false">IF(Brasil!C615="","",IFERROR(INDEX(Mercados!$C$2:$C$32,MATCH(Brasil!B615,Mercados!$A$2:$A$32,0)),"Revisar Tscode"))</f>
        <v/>
      </c>
      <c r="B615" s="1" t="str">
        <f aca="false">IF(Brasil!C615="","",Brasil!C615)</f>
        <v/>
      </c>
      <c r="C615" s="1" t="str">
        <f aca="false">IF(Brasil!C615="","",Brasil!A615)</f>
        <v/>
      </c>
      <c r="D615" s="1" t="str">
        <f aca="false">IF(Brasil!C615="","",Brasil!E615)</f>
        <v/>
      </c>
      <c r="E615" s="1" t="str">
        <f aca="false">IF(Brasil!C615="","",Brasil!F615)</f>
        <v/>
      </c>
      <c r="F615" s="1" t="str">
        <f aca="false">IF(Brasil!C615="","",Brasil!D615)</f>
        <v/>
      </c>
      <c r="I615" s="1" t="str">
        <f aca="false">IF(Brasil!C615="","",Brasil!H615)</f>
        <v/>
      </c>
      <c r="J615" s="1" t="str">
        <f aca="false">IF(Brasil!C615="","",Brasil!D615*Brasil!H615)</f>
        <v/>
      </c>
      <c r="K615" s="1" t="str">
        <f aca="false">IF(Brasil!C615="","","BR")</f>
        <v/>
      </c>
      <c r="L615" s="1" t="str">
        <f aca="false">IF(Brasil!C615="","",IFERROR(INDEX(Gamma_Catalogo!$D$3:$D$1451,MATCH(Brasil!E615,Gamma_Catalogo!$A$3:$A$1451,0)),"Revisar Ip Code"))</f>
        <v/>
      </c>
      <c r="M615" s="1" t="str">
        <f aca="false">IF(Brasil!C615="","",IFERROR(INDEX(Gamma_Catalogo!$C$3:$C$1451,MATCH(Brasil!E615,Gamma_Catalogo!$A$3:$A$1451,0)),"Revisar Ip Code"))</f>
        <v/>
      </c>
      <c r="N615" s="1" t="str">
        <f aca="false">IF(Brasil!C615="","",IFERROR(INDEX(Gamma_Catalogo!$E$3:$E$1451,MATCH(Brasil!E615,Gamma_Catalogo!$A$3:$A$1451,0)),"Revisar Ip Code"))</f>
        <v/>
      </c>
      <c r="O615" s="1" t="str">
        <f aca="false">IF(Brasil!C615="","","Brasil")</f>
        <v/>
      </c>
    </row>
    <row r="616" customFormat="false" ht="15" hidden="false" customHeight="true" outlineLevel="0" collapsed="false">
      <c r="A616" s="1" t="str">
        <f aca="false">IF(Brasil!C616="","",IFERROR(INDEX(Mercados!$C$2:$C$32,MATCH(Brasil!B616,Mercados!$A$2:$A$32,0)),"Revisar Tscode"))</f>
        <v/>
      </c>
      <c r="B616" s="1" t="str">
        <f aca="false">IF(Brasil!C616="","",Brasil!C616)</f>
        <v/>
      </c>
      <c r="C616" s="1" t="str">
        <f aca="false">IF(Brasil!C616="","",Brasil!A616)</f>
        <v/>
      </c>
      <c r="D616" s="1" t="str">
        <f aca="false">IF(Brasil!C616="","",Brasil!E616)</f>
        <v/>
      </c>
      <c r="E616" s="1" t="str">
        <f aca="false">IF(Brasil!C616="","",Brasil!F616)</f>
        <v/>
      </c>
      <c r="F616" s="1" t="str">
        <f aca="false">IF(Brasil!C616="","",Brasil!D616)</f>
        <v/>
      </c>
      <c r="I616" s="1" t="str">
        <f aca="false">IF(Brasil!C616="","",Brasil!H616)</f>
        <v/>
      </c>
      <c r="J616" s="1" t="str">
        <f aca="false">IF(Brasil!C616="","",Brasil!D616*Brasil!H616)</f>
        <v/>
      </c>
      <c r="K616" s="1" t="str">
        <f aca="false">IF(Brasil!C616="","","BR")</f>
        <v/>
      </c>
      <c r="L616" s="1" t="str">
        <f aca="false">IF(Brasil!C616="","",IFERROR(INDEX(Gamma_Catalogo!$D$3:$D$1451,MATCH(Brasil!E616,Gamma_Catalogo!$A$3:$A$1451,0)),"Revisar Ip Code"))</f>
        <v/>
      </c>
      <c r="M616" s="1" t="str">
        <f aca="false">IF(Brasil!C616="","",IFERROR(INDEX(Gamma_Catalogo!$C$3:$C$1451,MATCH(Brasil!E616,Gamma_Catalogo!$A$3:$A$1451,0)),"Revisar Ip Code"))</f>
        <v/>
      </c>
      <c r="N616" s="1" t="str">
        <f aca="false">IF(Brasil!C616="","",IFERROR(INDEX(Gamma_Catalogo!$E$3:$E$1451,MATCH(Brasil!E616,Gamma_Catalogo!$A$3:$A$1451,0)),"Revisar Ip Code"))</f>
        <v/>
      </c>
      <c r="O616" s="1" t="str">
        <f aca="false">IF(Brasil!C616="","","Brasil")</f>
        <v/>
      </c>
    </row>
    <row r="617" customFormat="false" ht="15" hidden="false" customHeight="true" outlineLevel="0" collapsed="false">
      <c r="A617" s="1" t="str">
        <f aca="false">IF(Brasil!C617="","",IFERROR(INDEX(Mercados!$C$2:$C$32,MATCH(Brasil!B617,Mercados!$A$2:$A$32,0)),"Revisar Tscode"))</f>
        <v/>
      </c>
      <c r="B617" s="1" t="str">
        <f aca="false">IF(Brasil!C617="","",Brasil!C617)</f>
        <v/>
      </c>
      <c r="C617" s="1" t="str">
        <f aca="false">IF(Brasil!C617="","",Brasil!A617)</f>
        <v/>
      </c>
      <c r="D617" s="1" t="str">
        <f aca="false">IF(Brasil!C617="","",Brasil!E617)</f>
        <v/>
      </c>
      <c r="E617" s="1" t="str">
        <f aca="false">IF(Brasil!C617="","",Brasil!F617)</f>
        <v/>
      </c>
      <c r="F617" s="1" t="str">
        <f aca="false">IF(Brasil!C617="","",Brasil!D617)</f>
        <v/>
      </c>
      <c r="I617" s="1" t="str">
        <f aca="false">IF(Brasil!C617="","",Brasil!H617)</f>
        <v/>
      </c>
      <c r="J617" s="1" t="str">
        <f aca="false">IF(Brasil!C617="","",Brasil!D617*Brasil!H617)</f>
        <v/>
      </c>
      <c r="K617" s="1" t="str">
        <f aca="false">IF(Brasil!C617="","","BR")</f>
        <v/>
      </c>
      <c r="L617" s="1" t="str">
        <f aca="false">IF(Brasil!C617="","",IFERROR(INDEX(Gamma_Catalogo!$D$3:$D$1451,MATCH(Brasil!E617,Gamma_Catalogo!$A$3:$A$1451,0)),"Revisar Ip Code"))</f>
        <v/>
      </c>
      <c r="M617" s="1" t="str">
        <f aca="false">IF(Brasil!C617="","",IFERROR(INDEX(Gamma_Catalogo!$C$3:$C$1451,MATCH(Brasil!E617,Gamma_Catalogo!$A$3:$A$1451,0)),"Revisar Ip Code"))</f>
        <v/>
      </c>
      <c r="N617" s="1" t="str">
        <f aca="false">IF(Brasil!C617="","",IFERROR(INDEX(Gamma_Catalogo!$E$3:$E$1451,MATCH(Brasil!E617,Gamma_Catalogo!$A$3:$A$1451,0)),"Revisar Ip Code"))</f>
        <v/>
      </c>
      <c r="O617" s="1" t="str">
        <f aca="false">IF(Brasil!C617="","","Brasil")</f>
        <v/>
      </c>
    </row>
    <row r="618" customFormat="false" ht="15" hidden="false" customHeight="true" outlineLevel="0" collapsed="false">
      <c r="A618" s="1" t="str">
        <f aca="false">IF(Brasil!C618="","",IFERROR(INDEX(Mercados!$C$2:$C$32,MATCH(Brasil!B618,Mercados!$A$2:$A$32,0)),"Revisar Tscode"))</f>
        <v/>
      </c>
      <c r="B618" s="1" t="str">
        <f aca="false">IF(Brasil!C618="","",Brasil!C618)</f>
        <v/>
      </c>
      <c r="C618" s="1" t="str">
        <f aca="false">IF(Brasil!C618="","",Brasil!A618)</f>
        <v/>
      </c>
      <c r="D618" s="1" t="str">
        <f aca="false">IF(Brasil!C618="","",Brasil!E618)</f>
        <v/>
      </c>
      <c r="E618" s="1" t="str">
        <f aca="false">IF(Brasil!C618="","",Brasil!F618)</f>
        <v/>
      </c>
      <c r="F618" s="1" t="str">
        <f aca="false">IF(Brasil!C618="","",Brasil!D618)</f>
        <v/>
      </c>
      <c r="I618" s="1" t="str">
        <f aca="false">IF(Brasil!C618="","",Brasil!H618)</f>
        <v/>
      </c>
      <c r="J618" s="1" t="str">
        <f aca="false">IF(Brasil!C618="","",Brasil!D618*Brasil!H618)</f>
        <v/>
      </c>
      <c r="K618" s="1" t="str">
        <f aca="false">IF(Brasil!C618="","","BR")</f>
        <v/>
      </c>
      <c r="L618" s="1" t="str">
        <f aca="false">IF(Brasil!C618="","",IFERROR(INDEX(Gamma_Catalogo!$D$3:$D$1451,MATCH(Brasil!E618,Gamma_Catalogo!$A$3:$A$1451,0)),"Revisar Ip Code"))</f>
        <v/>
      </c>
      <c r="M618" s="1" t="str">
        <f aca="false">IF(Brasil!C618="","",IFERROR(INDEX(Gamma_Catalogo!$C$3:$C$1451,MATCH(Brasil!E618,Gamma_Catalogo!$A$3:$A$1451,0)),"Revisar Ip Code"))</f>
        <v/>
      </c>
      <c r="N618" s="1" t="str">
        <f aca="false">IF(Brasil!C618="","",IFERROR(INDEX(Gamma_Catalogo!$E$3:$E$1451,MATCH(Brasil!E618,Gamma_Catalogo!$A$3:$A$1451,0)),"Revisar Ip Code"))</f>
        <v/>
      </c>
      <c r="O618" s="1" t="str">
        <f aca="false">IF(Brasil!C618="","","Brasil")</f>
        <v/>
      </c>
    </row>
    <row r="619" customFormat="false" ht="15" hidden="false" customHeight="true" outlineLevel="0" collapsed="false">
      <c r="A619" s="1" t="str">
        <f aca="false">IF(Brasil!C619="","",IFERROR(INDEX(Mercados!$C$2:$C$32,MATCH(Brasil!B619,Mercados!$A$2:$A$32,0)),"Revisar Tscode"))</f>
        <v/>
      </c>
      <c r="B619" s="1" t="str">
        <f aca="false">IF(Brasil!C619="","",Brasil!C619)</f>
        <v/>
      </c>
      <c r="C619" s="1" t="str">
        <f aca="false">IF(Brasil!C619="","",Brasil!A619)</f>
        <v/>
      </c>
      <c r="D619" s="1" t="str">
        <f aca="false">IF(Brasil!C619="","",Brasil!E619)</f>
        <v/>
      </c>
      <c r="E619" s="1" t="str">
        <f aca="false">IF(Brasil!C619="","",Brasil!F619)</f>
        <v/>
      </c>
      <c r="F619" s="1" t="str">
        <f aca="false">IF(Brasil!C619="","",Brasil!D619)</f>
        <v/>
      </c>
      <c r="I619" s="1" t="str">
        <f aca="false">IF(Brasil!C619="","",Brasil!H619)</f>
        <v/>
      </c>
      <c r="J619" s="1" t="str">
        <f aca="false">IF(Brasil!C619="","",Brasil!D619*Brasil!H619)</f>
        <v/>
      </c>
      <c r="K619" s="1" t="str">
        <f aca="false">IF(Brasil!C619="","","BR")</f>
        <v/>
      </c>
      <c r="L619" s="1" t="str">
        <f aca="false">IF(Brasil!C619="","",IFERROR(INDEX(Gamma_Catalogo!$D$3:$D$1451,MATCH(Brasil!E619,Gamma_Catalogo!$A$3:$A$1451,0)),"Revisar Ip Code"))</f>
        <v/>
      </c>
      <c r="M619" s="1" t="str">
        <f aca="false">IF(Brasil!C619="","",IFERROR(INDEX(Gamma_Catalogo!$C$3:$C$1451,MATCH(Brasil!E619,Gamma_Catalogo!$A$3:$A$1451,0)),"Revisar Ip Code"))</f>
        <v/>
      </c>
      <c r="N619" s="1" t="str">
        <f aca="false">IF(Brasil!C619="","",IFERROR(INDEX(Gamma_Catalogo!$E$3:$E$1451,MATCH(Brasil!E619,Gamma_Catalogo!$A$3:$A$1451,0)),"Revisar Ip Code"))</f>
        <v/>
      </c>
      <c r="O619" s="1" t="str">
        <f aca="false">IF(Brasil!C619="","","Brasil")</f>
        <v/>
      </c>
    </row>
    <row r="620" customFormat="false" ht="15" hidden="false" customHeight="true" outlineLevel="0" collapsed="false">
      <c r="A620" s="1" t="str">
        <f aca="false">IF(Brasil!C620="","",IFERROR(INDEX(Mercados!$C$2:$C$32,MATCH(Brasil!B620,Mercados!$A$2:$A$32,0)),"Revisar Tscode"))</f>
        <v/>
      </c>
      <c r="B620" s="1" t="str">
        <f aca="false">IF(Brasil!C620="","",Brasil!C620)</f>
        <v/>
      </c>
      <c r="C620" s="1" t="str">
        <f aca="false">IF(Brasil!C620="","",Brasil!A620)</f>
        <v/>
      </c>
      <c r="D620" s="1" t="str">
        <f aca="false">IF(Brasil!C620="","",Brasil!E620)</f>
        <v/>
      </c>
      <c r="E620" s="1" t="str">
        <f aca="false">IF(Brasil!C620="","",Brasil!F620)</f>
        <v/>
      </c>
      <c r="F620" s="1" t="str">
        <f aca="false">IF(Brasil!C620="","",Brasil!D620)</f>
        <v/>
      </c>
      <c r="I620" s="1" t="str">
        <f aca="false">IF(Brasil!C620="","",Brasil!H620)</f>
        <v/>
      </c>
      <c r="J620" s="1" t="str">
        <f aca="false">IF(Brasil!C620="","",Brasil!D620*Brasil!H620)</f>
        <v/>
      </c>
      <c r="K620" s="1" t="str">
        <f aca="false">IF(Brasil!C620="","","BR")</f>
        <v/>
      </c>
      <c r="L620" s="1" t="str">
        <f aca="false">IF(Brasil!C620="","",IFERROR(INDEX(Gamma_Catalogo!$D$3:$D$1451,MATCH(Brasil!E620,Gamma_Catalogo!$A$3:$A$1451,0)),"Revisar Ip Code"))</f>
        <v/>
      </c>
      <c r="M620" s="1" t="str">
        <f aca="false">IF(Brasil!C620="","",IFERROR(INDEX(Gamma_Catalogo!$C$3:$C$1451,MATCH(Brasil!E620,Gamma_Catalogo!$A$3:$A$1451,0)),"Revisar Ip Code"))</f>
        <v/>
      </c>
      <c r="N620" s="1" t="str">
        <f aca="false">IF(Brasil!C620="","",IFERROR(INDEX(Gamma_Catalogo!$E$3:$E$1451,MATCH(Brasil!E620,Gamma_Catalogo!$A$3:$A$1451,0)),"Revisar Ip Code"))</f>
        <v/>
      </c>
      <c r="O620" s="1" t="str">
        <f aca="false">IF(Brasil!C620="","","Brasil")</f>
        <v/>
      </c>
    </row>
    <row r="621" customFormat="false" ht="15" hidden="false" customHeight="true" outlineLevel="0" collapsed="false">
      <c r="A621" s="1" t="str">
        <f aca="false">IF(Brasil!C621="","",IFERROR(INDEX(Mercados!$C$2:$C$32,MATCH(Brasil!B621,Mercados!$A$2:$A$32,0)),"Revisar Tscode"))</f>
        <v/>
      </c>
      <c r="B621" s="1" t="str">
        <f aca="false">IF(Brasil!C621="","",Brasil!C621)</f>
        <v/>
      </c>
      <c r="C621" s="1" t="str">
        <f aca="false">IF(Brasil!C621="","",Brasil!A621)</f>
        <v/>
      </c>
      <c r="D621" s="1" t="str">
        <f aca="false">IF(Brasil!C621="","",Brasil!E621)</f>
        <v/>
      </c>
      <c r="E621" s="1" t="str">
        <f aca="false">IF(Brasil!C621="","",Brasil!F621)</f>
        <v/>
      </c>
      <c r="F621" s="1" t="str">
        <f aca="false">IF(Brasil!C621="","",Brasil!D621)</f>
        <v/>
      </c>
      <c r="I621" s="1" t="str">
        <f aca="false">IF(Brasil!C621="","",Brasil!H621)</f>
        <v/>
      </c>
      <c r="J621" s="1" t="str">
        <f aca="false">IF(Brasil!C621="","",Brasil!D621*Brasil!H621)</f>
        <v/>
      </c>
      <c r="K621" s="1" t="str">
        <f aca="false">IF(Brasil!C621="","","BR")</f>
        <v/>
      </c>
      <c r="L621" s="1" t="str">
        <f aca="false">IF(Brasil!C621="","",IFERROR(INDEX(Gamma_Catalogo!$D$3:$D$1451,MATCH(Brasil!E621,Gamma_Catalogo!$A$3:$A$1451,0)),"Revisar Ip Code"))</f>
        <v/>
      </c>
      <c r="M621" s="1" t="str">
        <f aca="false">IF(Brasil!C621="","",IFERROR(INDEX(Gamma_Catalogo!$C$3:$C$1451,MATCH(Brasil!E621,Gamma_Catalogo!$A$3:$A$1451,0)),"Revisar Ip Code"))</f>
        <v/>
      </c>
      <c r="N621" s="1" t="str">
        <f aca="false">IF(Brasil!C621="","",IFERROR(INDEX(Gamma_Catalogo!$E$3:$E$1451,MATCH(Brasil!E621,Gamma_Catalogo!$A$3:$A$1451,0)),"Revisar Ip Code"))</f>
        <v/>
      </c>
      <c r="O621" s="1" t="str">
        <f aca="false">IF(Brasil!C621="","","Brasil")</f>
        <v/>
      </c>
    </row>
    <row r="622" customFormat="false" ht="15" hidden="false" customHeight="true" outlineLevel="0" collapsed="false">
      <c r="A622" s="1" t="str">
        <f aca="false">IF(Brasil!C622="","",IFERROR(INDEX(Mercados!$C$2:$C$32,MATCH(Brasil!B622,Mercados!$A$2:$A$32,0)),"Revisar Tscode"))</f>
        <v/>
      </c>
      <c r="B622" s="1" t="str">
        <f aca="false">IF(Brasil!C622="","",Brasil!C622)</f>
        <v/>
      </c>
      <c r="C622" s="1" t="str">
        <f aca="false">IF(Brasil!C622="","",Brasil!A622)</f>
        <v/>
      </c>
      <c r="D622" s="1" t="str">
        <f aca="false">IF(Brasil!C622="","",Brasil!E622)</f>
        <v/>
      </c>
      <c r="E622" s="1" t="str">
        <f aca="false">IF(Brasil!C622="","",Brasil!F622)</f>
        <v/>
      </c>
      <c r="F622" s="1" t="str">
        <f aca="false">IF(Brasil!C622="","",Brasil!D622)</f>
        <v/>
      </c>
      <c r="I622" s="1" t="str">
        <f aca="false">IF(Brasil!C622="","",Brasil!H622)</f>
        <v/>
      </c>
      <c r="J622" s="1" t="str">
        <f aca="false">IF(Brasil!C622="","",Brasil!D622*Brasil!H622)</f>
        <v/>
      </c>
      <c r="K622" s="1" t="str">
        <f aca="false">IF(Brasil!C622="","","BR")</f>
        <v/>
      </c>
      <c r="L622" s="1" t="str">
        <f aca="false">IF(Brasil!C622="","",IFERROR(INDEX(Gamma_Catalogo!$D$3:$D$1451,MATCH(Brasil!E622,Gamma_Catalogo!$A$3:$A$1451,0)),"Revisar Ip Code"))</f>
        <v/>
      </c>
      <c r="M622" s="1" t="str">
        <f aca="false">IF(Brasil!C622="","",IFERROR(INDEX(Gamma_Catalogo!$C$3:$C$1451,MATCH(Brasil!E622,Gamma_Catalogo!$A$3:$A$1451,0)),"Revisar Ip Code"))</f>
        <v/>
      </c>
      <c r="N622" s="1" t="str">
        <f aca="false">IF(Brasil!C622="","",IFERROR(INDEX(Gamma_Catalogo!$E$3:$E$1451,MATCH(Brasil!E622,Gamma_Catalogo!$A$3:$A$1451,0)),"Revisar Ip Code"))</f>
        <v/>
      </c>
      <c r="O622" s="1" t="str">
        <f aca="false">IF(Brasil!C622="","","Brasil")</f>
        <v/>
      </c>
    </row>
    <row r="623" customFormat="false" ht="15" hidden="false" customHeight="true" outlineLevel="0" collapsed="false">
      <c r="A623" s="1" t="str">
        <f aca="false">IF(Brasil!C623="","",IFERROR(INDEX(Mercados!$C$2:$C$32,MATCH(Brasil!B623,Mercados!$A$2:$A$32,0)),"Revisar Tscode"))</f>
        <v/>
      </c>
      <c r="B623" s="1" t="str">
        <f aca="false">IF(Brasil!C623="","",Brasil!C623)</f>
        <v/>
      </c>
      <c r="C623" s="1" t="str">
        <f aca="false">IF(Brasil!C623="","",Brasil!A623)</f>
        <v/>
      </c>
      <c r="D623" s="1" t="str">
        <f aca="false">IF(Brasil!C623="","",Brasil!E623)</f>
        <v/>
      </c>
      <c r="E623" s="1" t="str">
        <f aca="false">IF(Brasil!C623="","",Brasil!F623)</f>
        <v/>
      </c>
      <c r="F623" s="1" t="str">
        <f aca="false">IF(Brasil!C623="","",Brasil!D623)</f>
        <v/>
      </c>
      <c r="I623" s="1" t="str">
        <f aca="false">IF(Brasil!C623="","",Brasil!H623)</f>
        <v/>
      </c>
      <c r="J623" s="1" t="str">
        <f aca="false">IF(Brasil!C623="","",Brasil!D623*Brasil!H623)</f>
        <v/>
      </c>
      <c r="K623" s="1" t="str">
        <f aca="false">IF(Brasil!C623="","","BR")</f>
        <v/>
      </c>
      <c r="L623" s="1" t="str">
        <f aca="false">IF(Brasil!C623="","",IFERROR(INDEX(Gamma_Catalogo!$D$3:$D$1451,MATCH(Brasil!E623,Gamma_Catalogo!$A$3:$A$1451,0)),"Revisar Ip Code"))</f>
        <v/>
      </c>
      <c r="M623" s="1" t="str">
        <f aca="false">IF(Brasil!C623="","",IFERROR(INDEX(Gamma_Catalogo!$C$3:$C$1451,MATCH(Brasil!E623,Gamma_Catalogo!$A$3:$A$1451,0)),"Revisar Ip Code"))</f>
        <v/>
      </c>
      <c r="N623" s="1" t="str">
        <f aca="false">IF(Brasil!C623="","",IFERROR(INDEX(Gamma_Catalogo!$E$3:$E$1451,MATCH(Brasil!E623,Gamma_Catalogo!$A$3:$A$1451,0)),"Revisar Ip Code"))</f>
        <v/>
      </c>
      <c r="O623" s="1" t="str">
        <f aca="false">IF(Brasil!C623="","","Brasil")</f>
        <v/>
      </c>
    </row>
    <row r="624" customFormat="false" ht="15" hidden="false" customHeight="true" outlineLevel="0" collapsed="false">
      <c r="A624" s="1" t="str">
        <f aca="false">IF(Brasil!C624="","",IFERROR(INDEX(Mercados!$C$2:$C$32,MATCH(Brasil!B624,Mercados!$A$2:$A$32,0)),"Revisar Tscode"))</f>
        <v/>
      </c>
      <c r="B624" s="1" t="str">
        <f aca="false">IF(Brasil!C624="","",Brasil!C624)</f>
        <v/>
      </c>
      <c r="C624" s="1" t="str">
        <f aca="false">IF(Brasil!C624="","",Brasil!A624)</f>
        <v/>
      </c>
      <c r="D624" s="1" t="str">
        <f aca="false">IF(Brasil!C624="","",Brasil!E624)</f>
        <v/>
      </c>
      <c r="E624" s="1" t="str">
        <f aca="false">IF(Brasil!C624="","",Brasil!F624)</f>
        <v/>
      </c>
      <c r="F624" s="1" t="str">
        <f aca="false">IF(Brasil!C624="","",Brasil!D624)</f>
        <v/>
      </c>
      <c r="I624" s="1" t="str">
        <f aca="false">IF(Brasil!C624="","",Brasil!H624)</f>
        <v/>
      </c>
      <c r="J624" s="1" t="str">
        <f aca="false">IF(Brasil!C624="","",Brasil!D624*Brasil!H624)</f>
        <v/>
      </c>
      <c r="K624" s="1" t="str">
        <f aca="false">IF(Brasil!C624="","","BR")</f>
        <v/>
      </c>
      <c r="L624" s="1" t="str">
        <f aca="false">IF(Brasil!C624="","",IFERROR(INDEX(Gamma_Catalogo!$D$3:$D$1451,MATCH(Brasil!E624,Gamma_Catalogo!$A$3:$A$1451,0)),"Revisar Ip Code"))</f>
        <v/>
      </c>
      <c r="M624" s="1" t="str">
        <f aca="false">IF(Brasil!C624="","",IFERROR(INDEX(Gamma_Catalogo!$C$3:$C$1451,MATCH(Brasil!E624,Gamma_Catalogo!$A$3:$A$1451,0)),"Revisar Ip Code"))</f>
        <v/>
      </c>
      <c r="N624" s="1" t="str">
        <f aca="false">IF(Brasil!C624="","",IFERROR(INDEX(Gamma_Catalogo!$E$3:$E$1451,MATCH(Brasil!E624,Gamma_Catalogo!$A$3:$A$1451,0)),"Revisar Ip Code"))</f>
        <v/>
      </c>
      <c r="O624" s="1" t="str">
        <f aca="false">IF(Brasil!C624="","","Brasil")</f>
        <v/>
      </c>
    </row>
    <row r="625" customFormat="false" ht="15" hidden="false" customHeight="true" outlineLevel="0" collapsed="false">
      <c r="A625" s="1" t="str">
        <f aca="false">IF(Brasil!C625="","",IFERROR(INDEX(Mercados!$C$2:$C$32,MATCH(Brasil!B625,Mercados!$A$2:$A$32,0)),"Revisar Tscode"))</f>
        <v/>
      </c>
      <c r="B625" s="1" t="str">
        <f aca="false">IF(Brasil!C625="","",Brasil!C625)</f>
        <v/>
      </c>
      <c r="C625" s="1" t="str">
        <f aca="false">IF(Brasil!C625="","",Brasil!A625)</f>
        <v/>
      </c>
      <c r="D625" s="1" t="str">
        <f aca="false">IF(Brasil!C625="","",Brasil!E625)</f>
        <v/>
      </c>
      <c r="E625" s="1" t="str">
        <f aca="false">IF(Brasil!C625="","",Brasil!F625)</f>
        <v/>
      </c>
      <c r="F625" s="1" t="str">
        <f aca="false">IF(Brasil!C625="","",Brasil!D625)</f>
        <v/>
      </c>
      <c r="I625" s="1" t="str">
        <f aca="false">IF(Brasil!C625="","",Brasil!H625)</f>
        <v/>
      </c>
      <c r="J625" s="1" t="str">
        <f aca="false">IF(Brasil!C625="","",Brasil!D625*Brasil!H625)</f>
        <v/>
      </c>
      <c r="K625" s="1" t="str">
        <f aca="false">IF(Brasil!C625="","","BR")</f>
        <v/>
      </c>
      <c r="L625" s="1" t="str">
        <f aca="false">IF(Brasil!C625="","",IFERROR(INDEX(Gamma_Catalogo!$D$3:$D$1451,MATCH(Brasil!E625,Gamma_Catalogo!$A$3:$A$1451,0)),"Revisar Ip Code"))</f>
        <v/>
      </c>
      <c r="M625" s="1" t="str">
        <f aca="false">IF(Brasil!C625="","",IFERROR(INDEX(Gamma_Catalogo!$C$3:$C$1451,MATCH(Brasil!E625,Gamma_Catalogo!$A$3:$A$1451,0)),"Revisar Ip Code"))</f>
        <v/>
      </c>
      <c r="N625" s="1" t="str">
        <f aca="false">IF(Brasil!C625="","",IFERROR(INDEX(Gamma_Catalogo!$E$3:$E$1451,MATCH(Brasil!E625,Gamma_Catalogo!$A$3:$A$1451,0)),"Revisar Ip Code"))</f>
        <v/>
      </c>
      <c r="O625" s="1" t="str">
        <f aca="false">IF(Brasil!C625="","","Brasil")</f>
        <v/>
      </c>
    </row>
    <row r="626" customFormat="false" ht="15" hidden="false" customHeight="true" outlineLevel="0" collapsed="false">
      <c r="A626" s="1" t="str">
        <f aca="false">IF(Brasil!C626="","",IFERROR(INDEX(Mercados!$C$2:$C$32,MATCH(Brasil!B626,Mercados!$A$2:$A$32,0)),"Revisar Tscode"))</f>
        <v/>
      </c>
      <c r="B626" s="1" t="str">
        <f aca="false">IF(Brasil!C626="","",Brasil!C626)</f>
        <v/>
      </c>
      <c r="C626" s="1" t="str">
        <f aca="false">IF(Brasil!C626="","",Brasil!A626)</f>
        <v/>
      </c>
      <c r="D626" s="1" t="str">
        <f aca="false">IF(Brasil!C626="","",Brasil!E626)</f>
        <v/>
      </c>
      <c r="E626" s="1" t="str">
        <f aca="false">IF(Brasil!C626="","",Brasil!F626)</f>
        <v/>
      </c>
      <c r="F626" s="1" t="str">
        <f aca="false">IF(Brasil!C626="","",Brasil!D626)</f>
        <v/>
      </c>
      <c r="I626" s="1" t="str">
        <f aca="false">IF(Brasil!C626="","",Brasil!H626)</f>
        <v/>
      </c>
      <c r="J626" s="1" t="str">
        <f aca="false">IF(Brasil!C626="","",Brasil!D626*Brasil!H626)</f>
        <v/>
      </c>
      <c r="K626" s="1" t="str">
        <f aca="false">IF(Brasil!C626="","","BR")</f>
        <v/>
      </c>
      <c r="L626" s="1" t="str">
        <f aca="false">IF(Brasil!C626="","",IFERROR(INDEX(Gamma_Catalogo!$D$3:$D$1451,MATCH(Brasil!E626,Gamma_Catalogo!$A$3:$A$1451,0)),"Revisar Ip Code"))</f>
        <v/>
      </c>
      <c r="M626" s="1" t="str">
        <f aca="false">IF(Brasil!C626="","",IFERROR(INDEX(Gamma_Catalogo!$C$3:$C$1451,MATCH(Brasil!E626,Gamma_Catalogo!$A$3:$A$1451,0)),"Revisar Ip Code"))</f>
        <v/>
      </c>
      <c r="N626" s="1" t="str">
        <f aca="false">IF(Brasil!C626="","",IFERROR(INDEX(Gamma_Catalogo!$E$3:$E$1451,MATCH(Brasil!E626,Gamma_Catalogo!$A$3:$A$1451,0)),"Revisar Ip Code"))</f>
        <v/>
      </c>
      <c r="O626" s="1" t="str">
        <f aca="false">IF(Brasil!C626="","","Brasil")</f>
        <v/>
      </c>
    </row>
    <row r="627" customFormat="false" ht="15" hidden="false" customHeight="true" outlineLevel="0" collapsed="false">
      <c r="A627" s="1" t="str">
        <f aca="false">IF(Brasil!C627="","",IFERROR(INDEX(Mercados!$C$2:$C$32,MATCH(Brasil!B627,Mercados!$A$2:$A$32,0)),"Revisar Tscode"))</f>
        <v/>
      </c>
      <c r="B627" s="1" t="str">
        <f aca="false">IF(Brasil!C627="","",Brasil!C627)</f>
        <v/>
      </c>
      <c r="C627" s="1" t="str">
        <f aca="false">IF(Brasil!C627="","",Brasil!A627)</f>
        <v/>
      </c>
      <c r="D627" s="1" t="str">
        <f aca="false">IF(Brasil!C627="","",Brasil!E627)</f>
        <v/>
      </c>
      <c r="E627" s="1" t="str">
        <f aca="false">IF(Brasil!C627="","",Brasil!F627)</f>
        <v/>
      </c>
      <c r="F627" s="1" t="str">
        <f aca="false">IF(Brasil!C627="","",Brasil!D627)</f>
        <v/>
      </c>
      <c r="I627" s="1" t="str">
        <f aca="false">IF(Brasil!C627="","",Brasil!H627)</f>
        <v/>
      </c>
      <c r="J627" s="1" t="str">
        <f aca="false">IF(Brasil!C627="","",Brasil!D627*Brasil!H627)</f>
        <v/>
      </c>
      <c r="K627" s="1" t="str">
        <f aca="false">IF(Brasil!C627="","","BR")</f>
        <v/>
      </c>
      <c r="L627" s="1" t="str">
        <f aca="false">IF(Brasil!C627="","",IFERROR(INDEX(Gamma_Catalogo!$D$3:$D$1451,MATCH(Brasil!E627,Gamma_Catalogo!$A$3:$A$1451,0)),"Revisar Ip Code"))</f>
        <v/>
      </c>
      <c r="M627" s="1" t="str">
        <f aca="false">IF(Brasil!C627="","",IFERROR(INDEX(Gamma_Catalogo!$C$3:$C$1451,MATCH(Brasil!E627,Gamma_Catalogo!$A$3:$A$1451,0)),"Revisar Ip Code"))</f>
        <v/>
      </c>
      <c r="N627" s="1" t="str">
        <f aca="false">IF(Brasil!C627="","",IFERROR(INDEX(Gamma_Catalogo!$E$3:$E$1451,MATCH(Brasil!E627,Gamma_Catalogo!$A$3:$A$1451,0)),"Revisar Ip Code"))</f>
        <v/>
      </c>
      <c r="O627" s="1" t="str">
        <f aca="false">IF(Brasil!C627="","","Brasil")</f>
        <v/>
      </c>
    </row>
    <row r="628" customFormat="false" ht="15" hidden="false" customHeight="true" outlineLevel="0" collapsed="false">
      <c r="A628" s="1" t="str">
        <f aca="false">IF(Brasil!C628="","",IFERROR(INDEX(Mercados!$C$2:$C$32,MATCH(Brasil!B628,Mercados!$A$2:$A$32,0)),"Revisar Tscode"))</f>
        <v/>
      </c>
      <c r="B628" s="1" t="str">
        <f aca="false">IF(Brasil!C628="","",Brasil!C628)</f>
        <v/>
      </c>
      <c r="C628" s="1" t="str">
        <f aca="false">IF(Brasil!C628="","",Brasil!A628)</f>
        <v/>
      </c>
      <c r="D628" s="1" t="str">
        <f aca="false">IF(Brasil!C628="","",Brasil!E628)</f>
        <v/>
      </c>
      <c r="E628" s="1" t="str">
        <f aca="false">IF(Brasil!C628="","",Brasil!F628)</f>
        <v/>
      </c>
      <c r="F628" s="1" t="str">
        <f aca="false">IF(Brasil!C628="","",Brasil!D628)</f>
        <v/>
      </c>
      <c r="I628" s="1" t="str">
        <f aca="false">IF(Brasil!C628="","",Brasil!H628)</f>
        <v/>
      </c>
      <c r="J628" s="1" t="str">
        <f aca="false">IF(Brasil!C628="","",Brasil!D628*Brasil!H628)</f>
        <v/>
      </c>
      <c r="K628" s="1" t="str">
        <f aca="false">IF(Brasil!C628="","","BR")</f>
        <v/>
      </c>
      <c r="L628" s="1" t="str">
        <f aca="false">IF(Brasil!C628="","",IFERROR(INDEX(Gamma_Catalogo!$D$3:$D$1451,MATCH(Brasil!E628,Gamma_Catalogo!$A$3:$A$1451,0)),"Revisar Ip Code"))</f>
        <v/>
      </c>
      <c r="M628" s="1" t="str">
        <f aca="false">IF(Brasil!C628="","",IFERROR(INDEX(Gamma_Catalogo!$C$3:$C$1451,MATCH(Brasil!E628,Gamma_Catalogo!$A$3:$A$1451,0)),"Revisar Ip Code"))</f>
        <v/>
      </c>
      <c r="N628" s="1" t="str">
        <f aca="false">IF(Brasil!C628="","",IFERROR(INDEX(Gamma_Catalogo!$E$3:$E$1451,MATCH(Brasil!E628,Gamma_Catalogo!$A$3:$A$1451,0)),"Revisar Ip Code"))</f>
        <v/>
      </c>
      <c r="O628" s="1" t="str">
        <f aca="false">IF(Brasil!C628="","","Brasil")</f>
        <v/>
      </c>
    </row>
    <row r="629" customFormat="false" ht="15" hidden="false" customHeight="true" outlineLevel="0" collapsed="false">
      <c r="A629" s="1" t="str">
        <f aca="false">IF(Brasil!C629="","",IFERROR(INDEX(Mercados!$C$2:$C$32,MATCH(Brasil!B629,Mercados!$A$2:$A$32,0)),"Revisar Tscode"))</f>
        <v/>
      </c>
      <c r="B629" s="1" t="str">
        <f aca="false">IF(Brasil!C629="","",Brasil!C629)</f>
        <v/>
      </c>
      <c r="C629" s="1" t="str">
        <f aca="false">IF(Brasil!C629="","",Brasil!A629)</f>
        <v/>
      </c>
      <c r="D629" s="1" t="str">
        <f aca="false">IF(Brasil!C629="","",Brasil!E629)</f>
        <v/>
      </c>
      <c r="E629" s="1" t="str">
        <f aca="false">IF(Brasil!C629="","",Brasil!F629)</f>
        <v/>
      </c>
      <c r="F629" s="1" t="str">
        <f aca="false">IF(Brasil!C629="","",Brasil!D629)</f>
        <v/>
      </c>
      <c r="I629" s="1" t="str">
        <f aca="false">IF(Brasil!C629="","",Brasil!H629)</f>
        <v/>
      </c>
      <c r="J629" s="1" t="str">
        <f aca="false">IF(Brasil!C629="","",Brasil!D629*Brasil!H629)</f>
        <v/>
      </c>
      <c r="K629" s="1" t="str">
        <f aca="false">IF(Brasil!C629="","","BR")</f>
        <v/>
      </c>
      <c r="L629" s="1" t="str">
        <f aca="false">IF(Brasil!C629="","",IFERROR(INDEX(Gamma_Catalogo!$D$3:$D$1451,MATCH(Brasil!E629,Gamma_Catalogo!$A$3:$A$1451,0)),"Revisar Ip Code"))</f>
        <v/>
      </c>
      <c r="M629" s="1" t="str">
        <f aca="false">IF(Brasil!C629="","",IFERROR(INDEX(Gamma_Catalogo!$C$3:$C$1451,MATCH(Brasil!E629,Gamma_Catalogo!$A$3:$A$1451,0)),"Revisar Ip Code"))</f>
        <v/>
      </c>
      <c r="N629" s="1" t="str">
        <f aca="false">IF(Brasil!C629="","",IFERROR(INDEX(Gamma_Catalogo!$E$3:$E$1451,MATCH(Brasil!E629,Gamma_Catalogo!$A$3:$A$1451,0)),"Revisar Ip Code"))</f>
        <v/>
      </c>
      <c r="O629" s="1" t="str">
        <f aca="false">IF(Brasil!C629="","","Brasil")</f>
        <v/>
      </c>
    </row>
    <row r="630" customFormat="false" ht="15" hidden="false" customHeight="true" outlineLevel="0" collapsed="false">
      <c r="A630" s="1" t="str">
        <f aca="false">IF(Brasil!C630="","",IFERROR(INDEX(Mercados!$C$2:$C$32,MATCH(Brasil!B630,Mercados!$A$2:$A$32,0)),"Revisar Tscode"))</f>
        <v/>
      </c>
      <c r="B630" s="1" t="str">
        <f aca="false">IF(Brasil!C630="","",Brasil!C630)</f>
        <v/>
      </c>
      <c r="C630" s="1" t="str">
        <f aca="false">IF(Brasil!C630="","",Brasil!A630)</f>
        <v/>
      </c>
      <c r="D630" s="1" t="str">
        <f aca="false">IF(Brasil!C630="","",Brasil!E630)</f>
        <v/>
      </c>
      <c r="E630" s="1" t="str">
        <f aca="false">IF(Brasil!C630="","",Brasil!F630)</f>
        <v/>
      </c>
      <c r="F630" s="1" t="str">
        <f aca="false">IF(Brasil!C630="","",Brasil!D630)</f>
        <v/>
      </c>
      <c r="I630" s="1" t="str">
        <f aca="false">IF(Brasil!C630="","",Brasil!H630)</f>
        <v/>
      </c>
      <c r="J630" s="1" t="str">
        <f aca="false">IF(Brasil!C630="","",Brasil!D630*Brasil!H630)</f>
        <v/>
      </c>
      <c r="K630" s="1" t="str">
        <f aca="false">IF(Brasil!C630="","","BR")</f>
        <v/>
      </c>
      <c r="L630" s="1" t="str">
        <f aca="false">IF(Brasil!C630="","",IFERROR(INDEX(Gamma_Catalogo!$D$3:$D$1451,MATCH(Brasil!E630,Gamma_Catalogo!$A$3:$A$1451,0)),"Revisar Ip Code"))</f>
        <v/>
      </c>
      <c r="M630" s="1" t="str">
        <f aca="false">IF(Brasil!C630="","",IFERROR(INDEX(Gamma_Catalogo!$C$3:$C$1451,MATCH(Brasil!E630,Gamma_Catalogo!$A$3:$A$1451,0)),"Revisar Ip Code"))</f>
        <v/>
      </c>
      <c r="N630" s="1" t="str">
        <f aca="false">IF(Brasil!C630="","",IFERROR(INDEX(Gamma_Catalogo!$E$3:$E$1451,MATCH(Brasil!E630,Gamma_Catalogo!$A$3:$A$1451,0)),"Revisar Ip Code"))</f>
        <v/>
      </c>
      <c r="O630" s="1" t="str">
        <f aca="false">IF(Brasil!C630="","","Brasil")</f>
        <v/>
      </c>
    </row>
    <row r="631" customFormat="false" ht="15" hidden="false" customHeight="true" outlineLevel="0" collapsed="false">
      <c r="A631" s="1" t="str">
        <f aca="false">IF(Brasil!C631="","",IFERROR(INDEX(Mercados!$C$2:$C$32,MATCH(Brasil!B631,Mercados!$A$2:$A$32,0)),"Revisar Tscode"))</f>
        <v/>
      </c>
      <c r="B631" s="1" t="str">
        <f aca="false">IF(Brasil!C631="","",Brasil!C631)</f>
        <v/>
      </c>
      <c r="C631" s="1" t="str">
        <f aca="false">IF(Brasil!C631="","",Brasil!A631)</f>
        <v/>
      </c>
      <c r="D631" s="1" t="str">
        <f aca="false">IF(Brasil!C631="","",Brasil!E631)</f>
        <v/>
      </c>
      <c r="E631" s="1" t="str">
        <f aca="false">IF(Brasil!C631="","",Brasil!F631)</f>
        <v/>
      </c>
      <c r="F631" s="1" t="str">
        <f aca="false">IF(Brasil!C631="","",Brasil!D631)</f>
        <v/>
      </c>
      <c r="I631" s="1" t="str">
        <f aca="false">IF(Brasil!C631="","",Brasil!H631)</f>
        <v/>
      </c>
      <c r="J631" s="1" t="str">
        <f aca="false">IF(Brasil!C631="","",Brasil!D631*Brasil!H631)</f>
        <v/>
      </c>
      <c r="K631" s="1" t="str">
        <f aca="false">IF(Brasil!C631="","","BR")</f>
        <v/>
      </c>
      <c r="L631" s="1" t="str">
        <f aca="false">IF(Brasil!C631="","",IFERROR(INDEX(Gamma_Catalogo!$D$3:$D$1451,MATCH(Brasil!E631,Gamma_Catalogo!$A$3:$A$1451,0)),"Revisar Ip Code"))</f>
        <v/>
      </c>
      <c r="M631" s="1" t="str">
        <f aca="false">IF(Brasil!C631="","",IFERROR(INDEX(Gamma_Catalogo!$C$3:$C$1451,MATCH(Brasil!E631,Gamma_Catalogo!$A$3:$A$1451,0)),"Revisar Ip Code"))</f>
        <v/>
      </c>
      <c r="N631" s="1" t="str">
        <f aca="false">IF(Brasil!C631="","",IFERROR(INDEX(Gamma_Catalogo!$E$3:$E$1451,MATCH(Brasil!E631,Gamma_Catalogo!$A$3:$A$1451,0)),"Revisar Ip Code"))</f>
        <v/>
      </c>
      <c r="O631" s="1" t="str">
        <f aca="false">IF(Brasil!C631="","","Brasil")</f>
        <v/>
      </c>
    </row>
    <row r="632" customFormat="false" ht="15" hidden="false" customHeight="true" outlineLevel="0" collapsed="false">
      <c r="A632" s="1" t="str">
        <f aca="false">IF(Brasil!C632="","",IFERROR(INDEX(Mercados!$C$2:$C$32,MATCH(Brasil!B632,Mercados!$A$2:$A$32,0)),"Revisar Tscode"))</f>
        <v/>
      </c>
      <c r="B632" s="1" t="str">
        <f aca="false">IF(Brasil!C632="","",Brasil!C632)</f>
        <v/>
      </c>
      <c r="C632" s="1" t="str">
        <f aca="false">IF(Brasil!C632="","",Brasil!A632)</f>
        <v/>
      </c>
      <c r="D632" s="1" t="str">
        <f aca="false">IF(Brasil!C632="","",Brasil!E632)</f>
        <v/>
      </c>
      <c r="E632" s="1" t="str">
        <f aca="false">IF(Brasil!C632="","",Brasil!F632)</f>
        <v/>
      </c>
      <c r="F632" s="1" t="str">
        <f aca="false">IF(Brasil!C632="","",Brasil!D632)</f>
        <v/>
      </c>
      <c r="I632" s="1" t="str">
        <f aca="false">IF(Brasil!C632="","",Brasil!H632)</f>
        <v/>
      </c>
      <c r="J632" s="1" t="str">
        <f aca="false">IF(Brasil!C632="","",Brasil!D632*Brasil!H632)</f>
        <v/>
      </c>
      <c r="K632" s="1" t="str">
        <f aca="false">IF(Brasil!C632="","","BR")</f>
        <v/>
      </c>
      <c r="L632" s="1" t="str">
        <f aca="false">IF(Brasil!C632="","",IFERROR(INDEX(Gamma_Catalogo!$D$3:$D$1451,MATCH(Brasil!E632,Gamma_Catalogo!$A$3:$A$1451,0)),"Revisar Ip Code"))</f>
        <v/>
      </c>
      <c r="M632" s="1" t="str">
        <f aca="false">IF(Brasil!C632="","",IFERROR(INDEX(Gamma_Catalogo!$C$3:$C$1451,MATCH(Brasil!E632,Gamma_Catalogo!$A$3:$A$1451,0)),"Revisar Ip Code"))</f>
        <v/>
      </c>
      <c r="N632" s="1" t="str">
        <f aca="false">IF(Brasil!C632="","",IFERROR(INDEX(Gamma_Catalogo!$E$3:$E$1451,MATCH(Brasil!E632,Gamma_Catalogo!$A$3:$A$1451,0)),"Revisar Ip Code"))</f>
        <v/>
      </c>
      <c r="O632" s="1" t="str">
        <f aca="false">IF(Brasil!C632="","","Brasil")</f>
        <v/>
      </c>
    </row>
    <row r="633" customFormat="false" ht="15" hidden="false" customHeight="true" outlineLevel="0" collapsed="false">
      <c r="A633" s="1" t="str">
        <f aca="false">IF(Brasil!C633="","",IFERROR(INDEX(Mercados!$C$2:$C$32,MATCH(Brasil!B633,Mercados!$A$2:$A$32,0)),"Revisar Tscode"))</f>
        <v/>
      </c>
      <c r="B633" s="1" t="str">
        <f aca="false">IF(Brasil!C633="","",Brasil!C633)</f>
        <v/>
      </c>
      <c r="C633" s="1" t="str">
        <f aca="false">IF(Brasil!C633="","",Brasil!A633)</f>
        <v/>
      </c>
      <c r="D633" s="1" t="str">
        <f aca="false">IF(Brasil!C633="","",Brasil!E633)</f>
        <v/>
      </c>
      <c r="E633" s="1" t="str">
        <f aca="false">IF(Brasil!C633="","",Brasil!F633)</f>
        <v/>
      </c>
      <c r="F633" s="1" t="str">
        <f aca="false">IF(Brasil!C633="","",Brasil!D633)</f>
        <v/>
      </c>
      <c r="I633" s="1" t="str">
        <f aca="false">IF(Brasil!C633="","",Brasil!H633)</f>
        <v/>
      </c>
      <c r="J633" s="1" t="str">
        <f aca="false">IF(Brasil!C633="","",Brasil!D633*Brasil!H633)</f>
        <v/>
      </c>
      <c r="K633" s="1" t="str">
        <f aca="false">IF(Brasil!C633="","","BR")</f>
        <v/>
      </c>
      <c r="L633" s="1" t="str">
        <f aca="false">IF(Brasil!C633="","",IFERROR(INDEX(Gamma_Catalogo!$D$3:$D$1451,MATCH(Brasil!E633,Gamma_Catalogo!$A$3:$A$1451,0)),"Revisar Ip Code"))</f>
        <v/>
      </c>
      <c r="M633" s="1" t="str">
        <f aca="false">IF(Brasil!C633="","",IFERROR(INDEX(Gamma_Catalogo!$C$3:$C$1451,MATCH(Brasil!E633,Gamma_Catalogo!$A$3:$A$1451,0)),"Revisar Ip Code"))</f>
        <v/>
      </c>
      <c r="N633" s="1" t="str">
        <f aca="false">IF(Brasil!C633="","",IFERROR(INDEX(Gamma_Catalogo!$E$3:$E$1451,MATCH(Brasil!E633,Gamma_Catalogo!$A$3:$A$1451,0)),"Revisar Ip Code"))</f>
        <v/>
      </c>
      <c r="O633" s="1" t="str">
        <f aca="false">IF(Brasil!C633="","","Brasil")</f>
        <v/>
      </c>
    </row>
    <row r="634" customFormat="false" ht="15" hidden="false" customHeight="true" outlineLevel="0" collapsed="false">
      <c r="A634" s="1" t="str">
        <f aca="false">IF(Brasil!C634="","",IFERROR(INDEX(Mercados!$C$2:$C$32,MATCH(Brasil!B634,Mercados!$A$2:$A$32,0)),"Revisar Tscode"))</f>
        <v/>
      </c>
      <c r="B634" s="1" t="str">
        <f aca="false">IF(Brasil!C634="","",Brasil!C634)</f>
        <v/>
      </c>
      <c r="C634" s="1" t="str">
        <f aca="false">IF(Brasil!C634="","",Brasil!A634)</f>
        <v/>
      </c>
      <c r="D634" s="1" t="str">
        <f aca="false">IF(Brasil!C634="","",Brasil!E634)</f>
        <v/>
      </c>
      <c r="E634" s="1" t="str">
        <f aca="false">IF(Brasil!C634="","",Brasil!F634)</f>
        <v/>
      </c>
      <c r="F634" s="1" t="str">
        <f aca="false">IF(Brasil!C634="","",Brasil!D634)</f>
        <v/>
      </c>
      <c r="I634" s="1" t="str">
        <f aca="false">IF(Brasil!C634="","",Brasil!H634)</f>
        <v/>
      </c>
      <c r="J634" s="1" t="str">
        <f aca="false">IF(Brasil!C634="","",Brasil!D634*Brasil!H634)</f>
        <v/>
      </c>
      <c r="K634" s="1" t="str">
        <f aca="false">IF(Brasil!C634="","","BR")</f>
        <v/>
      </c>
      <c r="L634" s="1" t="str">
        <f aca="false">IF(Brasil!C634="","",IFERROR(INDEX(Gamma_Catalogo!$D$3:$D$1451,MATCH(Brasil!E634,Gamma_Catalogo!$A$3:$A$1451,0)),"Revisar Ip Code"))</f>
        <v/>
      </c>
      <c r="M634" s="1" t="str">
        <f aca="false">IF(Brasil!C634="","",IFERROR(INDEX(Gamma_Catalogo!$C$3:$C$1451,MATCH(Brasil!E634,Gamma_Catalogo!$A$3:$A$1451,0)),"Revisar Ip Code"))</f>
        <v/>
      </c>
      <c r="N634" s="1" t="str">
        <f aca="false">IF(Brasil!C634="","",IFERROR(INDEX(Gamma_Catalogo!$E$3:$E$1451,MATCH(Brasil!E634,Gamma_Catalogo!$A$3:$A$1451,0)),"Revisar Ip Code"))</f>
        <v/>
      </c>
      <c r="O634" s="1" t="str">
        <f aca="false">IF(Brasil!C634="","","Brasil")</f>
        <v/>
      </c>
    </row>
    <row r="635" customFormat="false" ht="15" hidden="false" customHeight="true" outlineLevel="0" collapsed="false">
      <c r="A635" s="1" t="str">
        <f aca="false">IF(Brasil!C635="","",IFERROR(INDEX(Mercados!$C$2:$C$32,MATCH(Brasil!B635,Mercados!$A$2:$A$32,0)),"Revisar Tscode"))</f>
        <v/>
      </c>
      <c r="B635" s="1" t="str">
        <f aca="false">IF(Brasil!C635="","",Brasil!C635)</f>
        <v/>
      </c>
      <c r="C635" s="1" t="str">
        <f aca="false">IF(Brasil!C635="","",Brasil!A635)</f>
        <v/>
      </c>
      <c r="D635" s="1" t="str">
        <f aca="false">IF(Brasil!C635="","",Brasil!E635)</f>
        <v/>
      </c>
      <c r="E635" s="1" t="str">
        <f aca="false">IF(Brasil!C635="","",Brasil!F635)</f>
        <v/>
      </c>
      <c r="F635" s="1" t="str">
        <f aca="false">IF(Brasil!C635="","",Brasil!D635)</f>
        <v/>
      </c>
      <c r="I635" s="1" t="str">
        <f aca="false">IF(Brasil!C635="","",Brasil!H635)</f>
        <v/>
      </c>
      <c r="J635" s="1" t="str">
        <f aca="false">IF(Brasil!C635="","",Brasil!D635*Brasil!H635)</f>
        <v/>
      </c>
      <c r="K635" s="1" t="str">
        <f aca="false">IF(Brasil!C635="","","BR")</f>
        <v/>
      </c>
      <c r="L635" s="1" t="str">
        <f aca="false">IF(Brasil!C635="","",IFERROR(INDEX(Gamma_Catalogo!$D$3:$D$1451,MATCH(Brasil!E635,Gamma_Catalogo!$A$3:$A$1451,0)),"Revisar Ip Code"))</f>
        <v/>
      </c>
      <c r="M635" s="1" t="str">
        <f aca="false">IF(Brasil!C635="","",IFERROR(INDEX(Gamma_Catalogo!$C$3:$C$1451,MATCH(Brasil!E635,Gamma_Catalogo!$A$3:$A$1451,0)),"Revisar Ip Code"))</f>
        <v/>
      </c>
      <c r="N635" s="1" t="str">
        <f aca="false">IF(Brasil!C635="","",IFERROR(INDEX(Gamma_Catalogo!$E$3:$E$1451,MATCH(Brasil!E635,Gamma_Catalogo!$A$3:$A$1451,0)),"Revisar Ip Code"))</f>
        <v/>
      </c>
      <c r="O635" s="1" t="str">
        <f aca="false">IF(Brasil!C635="","","Brasil")</f>
        <v/>
      </c>
    </row>
    <row r="636" customFormat="false" ht="15" hidden="false" customHeight="true" outlineLevel="0" collapsed="false">
      <c r="A636" s="1" t="str">
        <f aca="false">IF(Brasil!C636="","",IFERROR(INDEX(Mercados!$C$2:$C$32,MATCH(Brasil!B636,Mercados!$A$2:$A$32,0)),"Revisar Tscode"))</f>
        <v/>
      </c>
      <c r="B636" s="1" t="str">
        <f aca="false">IF(Brasil!C636="","",Brasil!C636)</f>
        <v/>
      </c>
      <c r="C636" s="1" t="str">
        <f aca="false">IF(Brasil!C636="","",Brasil!A636)</f>
        <v/>
      </c>
      <c r="D636" s="1" t="str">
        <f aca="false">IF(Brasil!C636="","",Brasil!E636)</f>
        <v/>
      </c>
      <c r="E636" s="1" t="str">
        <f aca="false">IF(Brasil!C636="","",Brasil!F636)</f>
        <v/>
      </c>
      <c r="F636" s="1" t="str">
        <f aca="false">IF(Brasil!C636="","",Brasil!D636)</f>
        <v/>
      </c>
      <c r="I636" s="1" t="str">
        <f aca="false">IF(Brasil!C636="","",Brasil!H636)</f>
        <v/>
      </c>
      <c r="J636" s="1" t="str">
        <f aca="false">IF(Brasil!C636="","",Brasil!D636*Brasil!H636)</f>
        <v/>
      </c>
      <c r="K636" s="1" t="str">
        <f aca="false">IF(Brasil!C636="","","BR")</f>
        <v/>
      </c>
      <c r="L636" s="1" t="str">
        <f aca="false">IF(Brasil!C636="","",IFERROR(INDEX(Gamma_Catalogo!$D$3:$D$1451,MATCH(Brasil!E636,Gamma_Catalogo!$A$3:$A$1451,0)),"Revisar Ip Code"))</f>
        <v/>
      </c>
      <c r="M636" s="1" t="str">
        <f aca="false">IF(Brasil!C636="","",IFERROR(INDEX(Gamma_Catalogo!$C$3:$C$1451,MATCH(Brasil!E636,Gamma_Catalogo!$A$3:$A$1451,0)),"Revisar Ip Code"))</f>
        <v/>
      </c>
      <c r="N636" s="1" t="str">
        <f aca="false">IF(Brasil!C636="","",IFERROR(INDEX(Gamma_Catalogo!$E$3:$E$1451,MATCH(Brasil!E636,Gamma_Catalogo!$A$3:$A$1451,0)),"Revisar Ip Code"))</f>
        <v/>
      </c>
      <c r="O636" s="1" t="str">
        <f aca="false">IF(Brasil!C636="","","Brasil")</f>
        <v/>
      </c>
    </row>
    <row r="637" customFormat="false" ht="15" hidden="false" customHeight="true" outlineLevel="0" collapsed="false">
      <c r="A637" s="1" t="str">
        <f aca="false">IF(Brasil!C637="","",IFERROR(INDEX(Mercados!$C$2:$C$32,MATCH(Brasil!B637,Mercados!$A$2:$A$32,0)),"Revisar Tscode"))</f>
        <v/>
      </c>
      <c r="B637" s="1" t="str">
        <f aca="false">IF(Brasil!C637="","",Brasil!C637)</f>
        <v/>
      </c>
      <c r="C637" s="1" t="str">
        <f aca="false">IF(Brasil!C637="","",Brasil!A637)</f>
        <v/>
      </c>
      <c r="D637" s="1" t="str">
        <f aca="false">IF(Brasil!C637="","",Brasil!E637)</f>
        <v/>
      </c>
      <c r="E637" s="1" t="str">
        <f aca="false">IF(Brasil!C637="","",Brasil!F637)</f>
        <v/>
      </c>
      <c r="F637" s="1" t="str">
        <f aca="false">IF(Brasil!C637="","",Brasil!D637)</f>
        <v/>
      </c>
      <c r="I637" s="1" t="str">
        <f aca="false">IF(Brasil!C637="","",Brasil!H637)</f>
        <v/>
      </c>
      <c r="J637" s="1" t="str">
        <f aca="false">IF(Brasil!C637="","",Brasil!D637*Brasil!H637)</f>
        <v/>
      </c>
      <c r="K637" s="1" t="str">
        <f aca="false">IF(Brasil!C637="","","BR")</f>
        <v/>
      </c>
      <c r="L637" s="1" t="str">
        <f aca="false">IF(Brasil!C637="","",IFERROR(INDEX(Gamma_Catalogo!$D$3:$D$1451,MATCH(Brasil!E637,Gamma_Catalogo!$A$3:$A$1451,0)),"Revisar Ip Code"))</f>
        <v/>
      </c>
      <c r="M637" s="1" t="str">
        <f aca="false">IF(Brasil!C637="","",IFERROR(INDEX(Gamma_Catalogo!$C$3:$C$1451,MATCH(Brasil!E637,Gamma_Catalogo!$A$3:$A$1451,0)),"Revisar Ip Code"))</f>
        <v/>
      </c>
      <c r="N637" s="1" t="str">
        <f aca="false">IF(Brasil!C637="","",IFERROR(INDEX(Gamma_Catalogo!$E$3:$E$1451,MATCH(Brasil!E637,Gamma_Catalogo!$A$3:$A$1451,0)),"Revisar Ip Code"))</f>
        <v/>
      </c>
      <c r="O637" s="1" t="str">
        <f aca="false">IF(Brasil!C637="","","Brasil")</f>
        <v/>
      </c>
    </row>
    <row r="638" customFormat="false" ht="15" hidden="false" customHeight="true" outlineLevel="0" collapsed="false">
      <c r="A638" s="1" t="str">
        <f aca="false">IF(Brasil!C638="","",IFERROR(INDEX(Mercados!$C$2:$C$32,MATCH(Brasil!B638,Mercados!$A$2:$A$32,0)),"Revisar Tscode"))</f>
        <v/>
      </c>
      <c r="B638" s="1" t="str">
        <f aca="false">IF(Brasil!C638="","",Brasil!C638)</f>
        <v/>
      </c>
      <c r="C638" s="1" t="str">
        <f aca="false">IF(Brasil!C638="","",Brasil!A638)</f>
        <v/>
      </c>
      <c r="D638" s="1" t="str">
        <f aca="false">IF(Brasil!C638="","",Brasil!E638)</f>
        <v/>
      </c>
      <c r="E638" s="1" t="str">
        <f aca="false">IF(Brasil!C638="","",Brasil!F638)</f>
        <v/>
      </c>
      <c r="F638" s="1" t="str">
        <f aca="false">IF(Brasil!C638="","",Brasil!D638)</f>
        <v/>
      </c>
      <c r="I638" s="1" t="str">
        <f aca="false">IF(Brasil!C638="","",Brasil!H638)</f>
        <v/>
      </c>
      <c r="J638" s="1" t="str">
        <f aca="false">IF(Brasil!C638="","",Brasil!D638*Brasil!H638)</f>
        <v/>
      </c>
      <c r="K638" s="1" t="str">
        <f aca="false">IF(Brasil!C638="","","BR")</f>
        <v/>
      </c>
      <c r="L638" s="1" t="str">
        <f aca="false">IF(Brasil!C638="","",IFERROR(INDEX(Gamma_Catalogo!$D$3:$D$1451,MATCH(Brasil!E638,Gamma_Catalogo!$A$3:$A$1451,0)),"Revisar Ip Code"))</f>
        <v/>
      </c>
      <c r="M638" s="1" t="str">
        <f aca="false">IF(Brasil!C638="","",IFERROR(INDEX(Gamma_Catalogo!$C$3:$C$1451,MATCH(Brasil!E638,Gamma_Catalogo!$A$3:$A$1451,0)),"Revisar Ip Code"))</f>
        <v/>
      </c>
      <c r="N638" s="1" t="str">
        <f aca="false">IF(Brasil!C638="","",IFERROR(INDEX(Gamma_Catalogo!$E$3:$E$1451,MATCH(Brasil!E638,Gamma_Catalogo!$A$3:$A$1451,0)),"Revisar Ip Code"))</f>
        <v/>
      </c>
      <c r="O638" s="1" t="str">
        <f aca="false">IF(Brasil!C638="","","Brasil")</f>
        <v/>
      </c>
    </row>
    <row r="639" customFormat="false" ht="15" hidden="false" customHeight="true" outlineLevel="0" collapsed="false">
      <c r="A639" s="1" t="str">
        <f aca="false">IF(Brasil!C639="","",IFERROR(INDEX(Mercados!$C$2:$C$32,MATCH(Brasil!B639,Mercados!$A$2:$A$32,0)),"Revisar Tscode"))</f>
        <v/>
      </c>
      <c r="B639" s="1" t="str">
        <f aca="false">IF(Brasil!C639="","",Brasil!C639)</f>
        <v/>
      </c>
      <c r="C639" s="1" t="str">
        <f aca="false">IF(Brasil!C639="","",Brasil!A639)</f>
        <v/>
      </c>
      <c r="D639" s="1" t="str">
        <f aca="false">IF(Brasil!C639="","",Brasil!E639)</f>
        <v/>
      </c>
      <c r="E639" s="1" t="str">
        <f aca="false">IF(Brasil!C639="","",Brasil!F639)</f>
        <v/>
      </c>
      <c r="F639" s="1" t="str">
        <f aca="false">IF(Brasil!C639="","",Brasil!D639)</f>
        <v/>
      </c>
      <c r="I639" s="1" t="str">
        <f aca="false">IF(Brasil!C639="","",Brasil!H639)</f>
        <v/>
      </c>
      <c r="J639" s="1" t="str">
        <f aca="false">IF(Brasil!C639="","",Brasil!D639*Brasil!H639)</f>
        <v/>
      </c>
      <c r="K639" s="1" t="str">
        <f aca="false">IF(Brasil!C639="","","BR")</f>
        <v/>
      </c>
      <c r="L639" s="1" t="str">
        <f aca="false">IF(Brasil!C639="","",IFERROR(INDEX(Gamma_Catalogo!$D$3:$D$1451,MATCH(Brasil!E639,Gamma_Catalogo!$A$3:$A$1451,0)),"Revisar Ip Code"))</f>
        <v/>
      </c>
      <c r="M639" s="1" t="str">
        <f aca="false">IF(Brasil!C639="","",IFERROR(INDEX(Gamma_Catalogo!$C$3:$C$1451,MATCH(Brasil!E639,Gamma_Catalogo!$A$3:$A$1451,0)),"Revisar Ip Code"))</f>
        <v/>
      </c>
      <c r="N639" s="1" t="str">
        <f aca="false">IF(Brasil!C639="","",IFERROR(INDEX(Gamma_Catalogo!$E$3:$E$1451,MATCH(Brasil!E639,Gamma_Catalogo!$A$3:$A$1451,0)),"Revisar Ip Code"))</f>
        <v/>
      </c>
      <c r="O639" s="1" t="str">
        <f aca="false">IF(Brasil!C639="","","Brasil")</f>
        <v/>
      </c>
    </row>
    <row r="640" customFormat="false" ht="15" hidden="false" customHeight="true" outlineLevel="0" collapsed="false">
      <c r="A640" s="1" t="str">
        <f aca="false">IF(Brasil!C640="","",IFERROR(INDEX(Mercados!$C$2:$C$32,MATCH(Brasil!B640,Mercados!$A$2:$A$32,0)),"Revisar Tscode"))</f>
        <v/>
      </c>
      <c r="B640" s="1" t="str">
        <f aca="false">IF(Brasil!C640="","",Brasil!C640)</f>
        <v/>
      </c>
      <c r="C640" s="1" t="str">
        <f aca="false">IF(Brasil!C640="","",Brasil!A640)</f>
        <v/>
      </c>
      <c r="D640" s="1" t="str">
        <f aca="false">IF(Brasil!C640="","",Brasil!E640)</f>
        <v/>
      </c>
      <c r="E640" s="1" t="str">
        <f aca="false">IF(Brasil!C640="","",Brasil!F640)</f>
        <v/>
      </c>
      <c r="F640" s="1" t="str">
        <f aca="false">IF(Brasil!C640="","",Brasil!D640)</f>
        <v/>
      </c>
      <c r="I640" s="1" t="str">
        <f aca="false">IF(Brasil!C640="","",Brasil!H640)</f>
        <v/>
      </c>
      <c r="J640" s="1" t="str">
        <f aca="false">IF(Brasil!C640="","",Brasil!D640*Brasil!H640)</f>
        <v/>
      </c>
      <c r="K640" s="1" t="str">
        <f aca="false">IF(Brasil!C640="","","BR")</f>
        <v/>
      </c>
      <c r="L640" s="1" t="str">
        <f aca="false">IF(Brasil!C640="","",IFERROR(INDEX(Gamma_Catalogo!$D$3:$D$1451,MATCH(Brasil!E640,Gamma_Catalogo!$A$3:$A$1451,0)),"Revisar Ip Code"))</f>
        <v/>
      </c>
      <c r="M640" s="1" t="str">
        <f aca="false">IF(Brasil!C640="","",IFERROR(INDEX(Gamma_Catalogo!$C$3:$C$1451,MATCH(Brasil!E640,Gamma_Catalogo!$A$3:$A$1451,0)),"Revisar Ip Code"))</f>
        <v/>
      </c>
      <c r="N640" s="1" t="str">
        <f aca="false">IF(Brasil!C640="","",IFERROR(INDEX(Gamma_Catalogo!$E$3:$E$1451,MATCH(Brasil!E640,Gamma_Catalogo!$A$3:$A$1451,0)),"Revisar Ip Code"))</f>
        <v/>
      </c>
      <c r="O640" s="1" t="str">
        <f aca="false">IF(Brasil!C640="","","Brasil")</f>
        <v/>
      </c>
    </row>
    <row r="641" customFormat="false" ht="15" hidden="false" customHeight="true" outlineLevel="0" collapsed="false">
      <c r="A641" s="1" t="str">
        <f aca="false">IF(Brasil!C641="","",IFERROR(INDEX(Mercados!$C$2:$C$32,MATCH(Brasil!B641,Mercados!$A$2:$A$32,0)),"Revisar Tscode"))</f>
        <v/>
      </c>
      <c r="B641" s="1" t="str">
        <f aca="false">IF(Brasil!C641="","",Brasil!C641)</f>
        <v/>
      </c>
      <c r="C641" s="1" t="str">
        <f aca="false">IF(Brasil!C641="","",Brasil!A641)</f>
        <v/>
      </c>
      <c r="D641" s="1" t="str">
        <f aca="false">IF(Brasil!C641="","",Brasil!E641)</f>
        <v/>
      </c>
      <c r="E641" s="1" t="str">
        <f aca="false">IF(Brasil!C641="","",Brasil!F641)</f>
        <v/>
      </c>
      <c r="F641" s="1" t="str">
        <f aca="false">IF(Brasil!C641="","",Brasil!D641)</f>
        <v/>
      </c>
      <c r="I641" s="1" t="str">
        <f aca="false">IF(Brasil!C641="","",Brasil!H641)</f>
        <v/>
      </c>
      <c r="J641" s="1" t="str">
        <f aca="false">IF(Brasil!C641="","",Brasil!D641*Brasil!H641)</f>
        <v/>
      </c>
      <c r="K641" s="1" t="str">
        <f aca="false">IF(Brasil!C641="","","BR")</f>
        <v/>
      </c>
      <c r="L641" s="1" t="str">
        <f aca="false">IF(Brasil!C641="","",IFERROR(INDEX(Gamma_Catalogo!$D$3:$D$1451,MATCH(Brasil!E641,Gamma_Catalogo!$A$3:$A$1451,0)),"Revisar Ip Code"))</f>
        <v/>
      </c>
      <c r="M641" s="1" t="str">
        <f aca="false">IF(Brasil!C641="","",IFERROR(INDEX(Gamma_Catalogo!$C$3:$C$1451,MATCH(Brasil!E641,Gamma_Catalogo!$A$3:$A$1451,0)),"Revisar Ip Code"))</f>
        <v/>
      </c>
      <c r="N641" s="1" t="str">
        <f aca="false">IF(Brasil!C641="","",IFERROR(INDEX(Gamma_Catalogo!$E$3:$E$1451,MATCH(Brasil!E641,Gamma_Catalogo!$A$3:$A$1451,0)),"Revisar Ip Code"))</f>
        <v/>
      </c>
      <c r="O641" s="1" t="str">
        <f aca="false">IF(Brasil!C641="","","Brasil")</f>
        <v/>
      </c>
    </row>
    <row r="642" customFormat="false" ht="15" hidden="false" customHeight="true" outlineLevel="0" collapsed="false">
      <c r="A642" s="1" t="str">
        <f aca="false">IF(Brasil!C642="","",IFERROR(INDEX(Mercados!$C$2:$C$32,MATCH(Brasil!B642,Mercados!$A$2:$A$32,0)),"Revisar Tscode"))</f>
        <v/>
      </c>
      <c r="B642" s="1" t="str">
        <f aca="false">IF(Brasil!C642="","",Brasil!C642)</f>
        <v/>
      </c>
      <c r="C642" s="1" t="str">
        <f aca="false">IF(Brasil!C642="","",Brasil!A642)</f>
        <v/>
      </c>
      <c r="D642" s="1" t="str">
        <f aca="false">IF(Brasil!C642="","",Brasil!E642)</f>
        <v/>
      </c>
      <c r="E642" s="1" t="str">
        <f aca="false">IF(Brasil!C642="","",Brasil!F642)</f>
        <v/>
      </c>
      <c r="F642" s="1" t="str">
        <f aca="false">IF(Brasil!C642="","",Brasil!D642)</f>
        <v/>
      </c>
      <c r="I642" s="1" t="str">
        <f aca="false">IF(Brasil!C642="","",Brasil!H642)</f>
        <v/>
      </c>
      <c r="J642" s="1" t="str">
        <f aca="false">IF(Brasil!C642="","",Brasil!D642*Brasil!H642)</f>
        <v/>
      </c>
      <c r="K642" s="1" t="str">
        <f aca="false">IF(Brasil!C642="","","BR")</f>
        <v/>
      </c>
      <c r="L642" s="1" t="str">
        <f aca="false">IF(Brasil!C642="","",IFERROR(INDEX(Gamma_Catalogo!$D$3:$D$1451,MATCH(Brasil!E642,Gamma_Catalogo!$A$3:$A$1451,0)),"Revisar Ip Code"))</f>
        <v/>
      </c>
      <c r="M642" s="1" t="str">
        <f aca="false">IF(Brasil!C642="","",IFERROR(INDEX(Gamma_Catalogo!$C$3:$C$1451,MATCH(Brasil!E642,Gamma_Catalogo!$A$3:$A$1451,0)),"Revisar Ip Code"))</f>
        <v/>
      </c>
      <c r="N642" s="1" t="str">
        <f aca="false">IF(Brasil!C642="","",IFERROR(INDEX(Gamma_Catalogo!$E$3:$E$1451,MATCH(Brasil!E642,Gamma_Catalogo!$A$3:$A$1451,0)),"Revisar Ip Code"))</f>
        <v/>
      </c>
      <c r="O642" s="1" t="str">
        <f aca="false">IF(Brasil!C642="","","Brasil")</f>
        <v/>
      </c>
    </row>
    <row r="643" customFormat="false" ht="15" hidden="false" customHeight="true" outlineLevel="0" collapsed="false">
      <c r="A643" s="1" t="str">
        <f aca="false">IF(Brasil!C643="","",IFERROR(INDEX(Mercados!$C$2:$C$32,MATCH(Brasil!B643,Mercados!$A$2:$A$32,0)),"Revisar Tscode"))</f>
        <v/>
      </c>
      <c r="B643" s="1" t="str">
        <f aca="false">IF(Brasil!C643="","",Brasil!C643)</f>
        <v/>
      </c>
      <c r="C643" s="1" t="str">
        <f aca="false">IF(Brasil!C643="","",Brasil!A643)</f>
        <v/>
      </c>
      <c r="D643" s="1" t="str">
        <f aca="false">IF(Brasil!C643="","",Brasil!E643)</f>
        <v/>
      </c>
      <c r="E643" s="1" t="str">
        <f aca="false">IF(Brasil!C643="","",Brasil!F643)</f>
        <v/>
      </c>
      <c r="F643" s="1" t="str">
        <f aca="false">IF(Brasil!C643="","",Brasil!D643)</f>
        <v/>
      </c>
      <c r="I643" s="1" t="str">
        <f aca="false">IF(Brasil!C643="","",Brasil!H643)</f>
        <v/>
      </c>
      <c r="J643" s="1" t="str">
        <f aca="false">IF(Brasil!C643="","",Brasil!D643*Brasil!H643)</f>
        <v/>
      </c>
      <c r="K643" s="1" t="str">
        <f aca="false">IF(Brasil!C643="","","BR")</f>
        <v/>
      </c>
      <c r="L643" s="1" t="str">
        <f aca="false">IF(Brasil!C643="","",IFERROR(INDEX(Gamma_Catalogo!$D$3:$D$1451,MATCH(Brasil!E643,Gamma_Catalogo!$A$3:$A$1451,0)),"Revisar Ip Code"))</f>
        <v/>
      </c>
      <c r="M643" s="1" t="str">
        <f aca="false">IF(Brasil!C643="","",IFERROR(INDEX(Gamma_Catalogo!$C$3:$C$1451,MATCH(Brasil!E643,Gamma_Catalogo!$A$3:$A$1451,0)),"Revisar Ip Code"))</f>
        <v/>
      </c>
      <c r="N643" s="1" t="str">
        <f aca="false">IF(Brasil!C643="","",IFERROR(INDEX(Gamma_Catalogo!$E$3:$E$1451,MATCH(Brasil!E643,Gamma_Catalogo!$A$3:$A$1451,0)),"Revisar Ip Code"))</f>
        <v/>
      </c>
      <c r="O643" s="1" t="str">
        <f aca="false">IF(Brasil!C643="","","Brasil")</f>
        <v/>
      </c>
    </row>
    <row r="644" customFormat="false" ht="15" hidden="false" customHeight="true" outlineLevel="0" collapsed="false">
      <c r="A644" s="1" t="str">
        <f aca="false">IF(Brasil!C644="","",IFERROR(INDEX(Mercados!$C$2:$C$32,MATCH(Brasil!B644,Mercados!$A$2:$A$32,0)),"Revisar Tscode"))</f>
        <v/>
      </c>
      <c r="B644" s="1" t="str">
        <f aca="false">IF(Brasil!C644="","",Brasil!C644)</f>
        <v/>
      </c>
      <c r="C644" s="1" t="str">
        <f aca="false">IF(Brasil!C644="","",Brasil!A644)</f>
        <v/>
      </c>
      <c r="D644" s="1" t="str">
        <f aca="false">IF(Brasil!C644="","",Brasil!E644)</f>
        <v/>
      </c>
      <c r="E644" s="1" t="str">
        <f aca="false">IF(Brasil!C644="","",Brasil!F644)</f>
        <v/>
      </c>
      <c r="F644" s="1" t="str">
        <f aca="false">IF(Brasil!C644="","",Brasil!D644)</f>
        <v/>
      </c>
      <c r="I644" s="1" t="str">
        <f aca="false">IF(Brasil!C644="","",Brasil!H644)</f>
        <v/>
      </c>
      <c r="J644" s="1" t="str">
        <f aca="false">IF(Brasil!C644="","",Brasil!D644*Brasil!H644)</f>
        <v/>
      </c>
      <c r="K644" s="1" t="str">
        <f aca="false">IF(Brasil!C644="","","BR")</f>
        <v/>
      </c>
      <c r="L644" s="1" t="str">
        <f aca="false">IF(Brasil!C644="","",IFERROR(INDEX(Gamma_Catalogo!$D$3:$D$1451,MATCH(Brasil!E644,Gamma_Catalogo!$A$3:$A$1451,0)),"Revisar Ip Code"))</f>
        <v/>
      </c>
      <c r="M644" s="1" t="str">
        <f aca="false">IF(Brasil!C644="","",IFERROR(INDEX(Gamma_Catalogo!$C$3:$C$1451,MATCH(Brasil!E644,Gamma_Catalogo!$A$3:$A$1451,0)),"Revisar Ip Code"))</f>
        <v/>
      </c>
      <c r="N644" s="1" t="str">
        <f aca="false">IF(Brasil!C644="","",IFERROR(INDEX(Gamma_Catalogo!$E$3:$E$1451,MATCH(Brasil!E644,Gamma_Catalogo!$A$3:$A$1451,0)),"Revisar Ip Code"))</f>
        <v/>
      </c>
      <c r="O644" s="1" t="str">
        <f aca="false">IF(Brasil!C644="","","Brasil")</f>
        <v/>
      </c>
    </row>
    <row r="645" customFormat="false" ht="15" hidden="false" customHeight="true" outlineLevel="0" collapsed="false">
      <c r="A645" s="1" t="str">
        <f aca="false">IF(Brasil!C645="","",IFERROR(INDEX(Mercados!$C$2:$C$32,MATCH(Brasil!B645,Mercados!$A$2:$A$32,0)),"Revisar Tscode"))</f>
        <v/>
      </c>
      <c r="B645" s="1" t="str">
        <f aca="false">IF(Brasil!C645="","",Brasil!C645)</f>
        <v/>
      </c>
      <c r="C645" s="1" t="str">
        <f aca="false">IF(Brasil!C645="","",Brasil!A645)</f>
        <v/>
      </c>
      <c r="D645" s="1" t="str">
        <f aca="false">IF(Brasil!C645="","",Brasil!E645)</f>
        <v/>
      </c>
      <c r="E645" s="1" t="str">
        <f aca="false">IF(Brasil!C645="","",Brasil!F645)</f>
        <v/>
      </c>
      <c r="F645" s="1" t="str">
        <f aca="false">IF(Brasil!C645="","",Brasil!D645)</f>
        <v/>
      </c>
      <c r="I645" s="1" t="str">
        <f aca="false">IF(Brasil!C645="","",Brasil!H645)</f>
        <v/>
      </c>
      <c r="J645" s="1" t="str">
        <f aca="false">IF(Brasil!C645="","",Brasil!D645*Brasil!H645)</f>
        <v/>
      </c>
      <c r="K645" s="1" t="str">
        <f aca="false">IF(Brasil!C645="","","BR")</f>
        <v/>
      </c>
      <c r="L645" s="1" t="str">
        <f aca="false">IF(Brasil!C645="","",IFERROR(INDEX(Gamma_Catalogo!$D$3:$D$1451,MATCH(Brasil!E645,Gamma_Catalogo!$A$3:$A$1451,0)),"Revisar Ip Code"))</f>
        <v/>
      </c>
      <c r="M645" s="1" t="str">
        <f aca="false">IF(Brasil!C645="","",IFERROR(INDEX(Gamma_Catalogo!$C$3:$C$1451,MATCH(Brasil!E645,Gamma_Catalogo!$A$3:$A$1451,0)),"Revisar Ip Code"))</f>
        <v/>
      </c>
      <c r="N645" s="1" t="str">
        <f aca="false">IF(Brasil!C645="","",IFERROR(INDEX(Gamma_Catalogo!$E$3:$E$1451,MATCH(Brasil!E645,Gamma_Catalogo!$A$3:$A$1451,0)),"Revisar Ip Code"))</f>
        <v/>
      </c>
      <c r="O645" s="1" t="str">
        <f aca="false">IF(Brasil!C645="","","Brasil")</f>
        <v/>
      </c>
    </row>
    <row r="646" customFormat="false" ht="15" hidden="false" customHeight="true" outlineLevel="0" collapsed="false">
      <c r="A646" s="1" t="str">
        <f aca="false">IF(Brasil!C646="","",IFERROR(INDEX(Mercados!$C$2:$C$32,MATCH(Brasil!B646,Mercados!$A$2:$A$32,0)),"Revisar Tscode"))</f>
        <v/>
      </c>
      <c r="B646" s="1" t="str">
        <f aca="false">IF(Brasil!C646="","",Brasil!C646)</f>
        <v/>
      </c>
      <c r="C646" s="1" t="str">
        <f aca="false">IF(Brasil!C646="","",Brasil!A646)</f>
        <v/>
      </c>
      <c r="D646" s="1" t="str">
        <f aca="false">IF(Brasil!C646="","",Brasil!E646)</f>
        <v/>
      </c>
      <c r="E646" s="1" t="str">
        <f aca="false">IF(Brasil!C646="","",Brasil!F646)</f>
        <v/>
      </c>
      <c r="F646" s="1" t="str">
        <f aca="false">IF(Brasil!C646="","",Brasil!D646)</f>
        <v/>
      </c>
      <c r="I646" s="1" t="str">
        <f aca="false">IF(Brasil!C646="","",Brasil!H646)</f>
        <v/>
      </c>
      <c r="J646" s="1" t="str">
        <f aca="false">IF(Brasil!C646="","",Brasil!D646*Brasil!H646)</f>
        <v/>
      </c>
      <c r="K646" s="1" t="str">
        <f aca="false">IF(Brasil!C646="","","BR")</f>
        <v/>
      </c>
      <c r="L646" s="1" t="str">
        <f aca="false">IF(Brasil!C646="","",IFERROR(INDEX(Gamma_Catalogo!$D$3:$D$1451,MATCH(Brasil!E646,Gamma_Catalogo!$A$3:$A$1451,0)),"Revisar Ip Code"))</f>
        <v/>
      </c>
      <c r="M646" s="1" t="str">
        <f aca="false">IF(Brasil!C646="","",IFERROR(INDEX(Gamma_Catalogo!$C$3:$C$1451,MATCH(Brasil!E646,Gamma_Catalogo!$A$3:$A$1451,0)),"Revisar Ip Code"))</f>
        <v/>
      </c>
      <c r="N646" s="1" t="str">
        <f aca="false">IF(Brasil!C646="","",IFERROR(INDEX(Gamma_Catalogo!$E$3:$E$1451,MATCH(Brasil!E646,Gamma_Catalogo!$A$3:$A$1451,0)),"Revisar Ip Code"))</f>
        <v/>
      </c>
      <c r="O646" s="1" t="str">
        <f aca="false">IF(Brasil!C646="","","Brasil")</f>
        <v/>
      </c>
    </row>
    <row r="647" customFormat="false" ht="15" hidden="false" customHeight="true" outlineLevel="0" collapsed="false">
      <c r="A647" s="1" t="str">
        <f aca="false">IF(Brasil!C647="","",IFERROR(INDEX(Mercados!$C$2:$C$32,MATCH(Brasil!B647,Mercados!$A$2:$A$32,0)),"Revisar Tscode"))</f>
        <v/>
      </c>
      <c r="B647" s="1" t="str">
        <f aca="false">IF(Brasil!C647="","",Brasil!C647)</f>
        <v/>
      </c>
      <c r="C647" s="1" t="str">
        <f aca="false">IF(Brasil!C647="","",Brasil!A647)</f>
        <v/>
      </c>
      <c r="D647" s="1" t="str">
        <f aca="false">IF(Brasil!C647="","",Brasil!E647)</f>
        <v/>
      </c>
      <c r="E647" s="1" t="str">
        <f aca="false">IF(Brasil!C647="","",Brasil!F647)</f>
        <v/>
      </c>
      <c r="F647" s="1" t="str">
        <f aca="false">IF(Brasil!C647="","",Brasil!D647)</f>
        <v/>
      </c>
      <c r="I647" s="1" t="str">
        <f aca="false">IF(Brasil!C647="","",Brasil!H647)</f>
        <v/>
      </c>
      <c r="J647" s="1" t="str">
        <f aca="false">IF(Brasil!C647="","",Brasil!D647*Brasil!H647)</f>
        <v/>
      </c>
      <c r="K647" s="1" t="str">
        <f aca="false">IF(Brasil!C647="","","BR")</f>
        <v/>
      </c>
      <c r="L647" s="1" t="str">
        <f aca="false">IF(Brasil!C647="","",IFERROR(INDEX(Gamma_Catalogo!$D$3:$D$1451,MATCH(Brasil!E647,Gamma_Catalogo!$A$3:$A$1451,0)),"Revisar Ip Code"))</f>
        <v/>
      </c>
      <c r="M647" s="1" t="str">
        <f aca="false">IF(Brasil!C647="","",IFERROR(INDEX(Gamma_Catalogo!$C$3:$C$1451,MATCH(Brasil!E647,Gamma_Catalogo!$A$3:$A$1451,0)),"Revisar Ip Code"))</f>
        <v/>
      </c>
      <c r="N647" s="1" t="str">
        <f aca="false">IF(Brasil!C647="","",IFERROR(INDEX(Gamma_Catalogo!$E$3:$E$1451,MATCH(Brasil!E647,Gamma_Catalogo!$A$3:$A$1451,0)),"Revisar Ip Code"))</f>
        <v/>
      </c>
      <c r="O647" s="1" t="str">
        <f aca="false">IF(Brasil!C647="","","Brasil")</f>
        <v/>
      </c>
    </row>
    <row r="648" customFormat="false" ht="15" hidden="false" customHeight="true" outlineLevel="0" collapsed="false">
      <c r="A648" s="1" t="str">
        <f aca="false">IF(Brasil!C648="","",IFERROR(INDEX(Mercados!$C$2:$C$32,MATCH(Brasil!B648,Mercados!$A$2:$A$32,0)),"Revisar Tscode"))</f>
        <v/>
      </c>
      <c r="B648" s="1" t="str">
        <f aca="false">IF(Brasil!C648="","",Brasil!C648)</f>
        <v/>
      </c>
      <c r="C648" s="1" t="str">
        <f aca="false">IF(Brasil!C648="","",Brasil!A648)</f>
        <v/>
      </c>
      <c r="D648" s="1" t="str">
        <f aca="false">IF(Brasil!C648="","",Brasil!E648)</f>
        <v/>
      </c>
      <c r="E648" s="1" t="str">
        <f aca="false">IF(Brasil!C648="","",Brasil!F648)</f>
        <v/>
      </c>
      <c r="F648" s="1" t="str">
        <f aca="false">IF(Brasil!C648="","",Brasil!D648)</f>
        <v/>
      </c>
      <c r="I648" s="1" t="str">
        <f aca="false">IF(Brasil!C648="","",Brasil!H648)</f>
        <v/>
      </c>
      <c r="J648" s="1" t="str">
        <f aca="false">IF(Brasil!C648="","",Brasil!D648*Brasil!H648)</f>
        <v/>
      </c>
      <c r="K648" s="1" t="str">
        <f aca="false">IF(Brasil!C648="","","BR")</f>
        <v/>
      </c>
      <c r="L648" s="1" t="str">
        <f aca="false">IF(Brasil!C648="","",IFERROR(INDEX(Gamma_Catalogo!$D$3:$D$1451,MATCH(Brasil!E648,Gamma_Catalogo!$A$3:$A$1451,0)),"Revisar Ip Code"))</f>
        <v/>
      </c>
      <c r="M648" s="1" t="str">
        <f aca="false">IF(Brasil!C648="","",IFERROR(INDEX(Gamma_Catalogo!$C$3:$C$1451,MATCH(Brasil!E648,Gamma_Catalogo!$A$3:$A$1451,0)),"Revisar Ip Code"))</f>
        <v/>
      </c>
      <c r="N648" s="1" t="str">
        <f aca="false">IF(Brasil!C648="","",IFERROR(INDEX(Gamma_Catalogo!$E$3:$E$1451,MATCH(Brasil!E648,Gamma_Catalogo!$A$3:$A$1451,0)),"Revisar Ip Code"))</f>
        <v/>
      </c>
      <c r="O648" s="1" t="str">
        <f aca="false">IF(Brasil!C648="","","Brasil")</f>
        <v/>
      </c>
    </row>
    <row r="649" customFormat="false" ht="15" hidden="false" customHeight="true" outlineLevel="0" collapsed="false">
      <c r="A649" s="1" t="str">
        <f aca="false">IF(Brasil!C649="","",IFERROR(INDEX(Mercados!$C$2:$C$32,MATCH(Brasil!B649,Mercados!$A$2:$A$32,0)),"Revisar Tscode"))</f>
        <v/>
      </c>
      <c r="B649" s="1" t="str">
        <f aca="false">IF(Brasil!C649="","",Brasil!C649)</f>
        <v/>
      </c>
      <c r="C649" s="1" t="str">
        <f aca="false">IF(Brasil!C649="","",Brasil!A649)</f>
        <v/>
      </c>
      <c r="D649" s="1" t="str">
        <f aca="false">IF(Brasil!C649="","",Brasil!E649)</f>
        <v/>
      </c>
      <c r="E649" s="1" t="str">
        <f aca="false">IF(Brasil!C649="","",Brasil!F649)</f>
        <v/>
      </c>
      <c r="F649" s="1" t="str">
        <f aca="false">IF(Brasil!C649="","",Brasil!D649)</f>
        <v/>
      </c>
      <c r="I649" s="1" t="str">
        <f aca="false">IF(Brasil!C649="","",Brasil!H649)</f>
        <v/>
      </c>
      <c r="J649" s="1" t="str">
        <f aca="false">IF(Brasil!C649="","",Brasil!D649*Brasil!H649)</f>
        <v/>
      </c>
      <c r="K649" s="1" t="str">
        <f aca="false">IF(Brasil!C649="","","BR")</f>
        <v/>
      </c>
      <c r="L649" s="1" t="str">
        <f aca="false">IF(Brasil!C649="","",IFERROR(INDEX(Gamma_Catalogo!$D$3:$D$1451,MATCH(Brasil!E649,Gamma_Catalogo!$A$3:$A$1451,0)),"Revisar Ip Code"))</f>
        <v/>
      </c>
      <c r="M649" s="1" t="str">
        <f aca="false">IF(Brasil!C649="","",IFERROR(INDEX(Gamma_Catalogo!$C$3:$C$1451,MATCH(Brasil!E649,Gamma_Catalogo!$A$3:$A$1451,0)),"Revisar Ip Code"))</f>
        <v/>
      </c>
      <c r="N649" s="1" t="str">
        <f aca="false">IF(Brasil!C649="","",IFERROR(INDEX(Gamma_Catalogo!$E$3:$E$1451,MATCH(Brasil!E649,Gamma_Catalogo!$A$3:$A$1451,0)),"Revisar Ip Code"))</f>
        <v/>
      </c>
      <c r="O649" s="1" t="str">
        <f aca="false">IF(Brasil!C649="","","Brasil")</f>
        <v/>
      </c>
    </row>
    <row r="650" customFormat="false" ht="15" hidden="false" customHeight="true" outlineLevel="0" collapsed="false">
      <c r="A650" s="1" t="str">
        <f aca="false">IF(Brasil!C650="","",IFERROR(INDEX(Mercados!$C$2:$C$32,MATCH(Brasil!B650,Mercados!$A$2:$A$32,0)),"Revisar Tscode"))</f>
        <v/>
      </c>
      <c r="B650" s="1" t="str">
        <f aca="false">IF(Brasil!C650="","",Brasil!C650)</f>
        <v/>
      </c>
      <c r="C650" s="1" t="str">
        <f aca="false">IF(Brasil!C650="","",Brasil!A650)</f>
        <v/>
      </c>
      <c r="D650" s="1" t="str">
        <f aca="false">IF(Brasil!C650="","",Brasil!E650)</f>
        <v/>
      </c>
      <c r="E650" s="1" t="str">
        <f aca="false">IF(Brasil!C650="","",Brasil!F650)</f>
        <v/>
      </c>
      <c r="F650" s="1" t="str">
        <f aca="false">IF(Brasil!C650="","",Brasil!D650)</f>
        <v/>
      </c>
      <c r="I650" s="1" t="str">
        <f aca="false">IF(Brasil!C650="","",Brasil!H650)</f>
        <v/>
      </c>
      <c r="J650" s="1" t="str">
        <f aca="false">IF(Brasil!C650="","",Brasil!D650*Brasil!H650)</f>
        <v/>
      </c>
      <c r="K650" s="1" t="str">
        <f aca="false">IF(Brasil!C650="","","BR")</f>
        <v/>
      </c>
      <c r="L650" s="1" t="str">
        <f aca="false">IF(Brasil!C650="","",IFERROR(INDEX(Gamma_Catalogo!$D$3:$D$1451,MATCH(Brasil!E650,Gamma_Catalogo!$A$3:$A$1451,0)),"Revisar Ip Code"))</f>
        <v/>
      </c>
      <c r="M650" s="1" t="str">
        <f aca="false">IF(Brasil!C650="","",IFERROR(INDEX(Gamma_Catalogo!$C$3:$C$1451,MATCH(Brasil!E650,Gamma_Catalogo!$A$3:$A$1451,0)),"Revisar Ip Code"))</f>
        <v/>
      </c>
      <c r="N650" s="1" t="str">
        <f aca="false">IF(Brasil!C650="","",IFERROR(INDEX(Gamma_Catalogo!$E$3:$E$1451,MATCH(Brasil!E650,Gamma_Catalogo!$A$3:$A$1451,0)),"Revisar Ip Code"))</f>
        <v/>
      </c>
      <c r="O650" s="1" t="str">
        <f aca="false">IF(Brasil!C650="","","Brasil")</f>
        <v/>
      </c>
    </row>
    <row r="651" customFormat="false" ht="15" hidden="false" customHeight="true" outlineLevel="0" collapsed="false">
      <c r="A651" s="1" t="str">
        <f aca="false">IF(Brasil!C651="","",IFERROR(INDEX(Mercados!$C$2:$C$32,MATCH(Brasil!B651,Mercados!$A$2:$A$32,0)),"Revisar Tscode"))</f>
        <v/>
      </c>
      <c r="B651" s="1" t="str">
        <f aca="false">IF(Brasil!C651="","",Brasil!C651)</f>
        <v/>
      </c>
      <c r="C651" s="1" t="str">
        <f aca="false">IF(Brasil!C651="","",Brasil!A651)</f>
        <v/>
      </c>
      <c r="D651" s="1" t="str">
        <f aca="false">IF(Brasil!C651="","",Brasil!E651)</f>
        <v/>
      </c>
      <c r="E651" s="1" t="str">
        <f aca="false">IF(Brasil!C651="","",Brasil!F651)</f>
        <v/>
      </c>
      <c r="F651" s="1" t="str">
        <f aca="false">IF(Brasil!C651="","",Brasil!D651)</f>
        <v/>
      </c>
      <c r="I651" s="1" t="str">
        <f aca="false">IF(Brasil!C651="","",Brasil!H651)</f>
        <v/>
      </c>
      <c r="J651" s="1" t="str">
        <f aca="false">IF(Brasil!C651="","",Brasil!D651*Brasil!H651)</f>
        <v/>
      </c>
      <c r="K651" s="1" t="str">
        <f aca="false">IF(Brasil!C651="","","BR")</f>
        <v/>
      </c>
      <c r="L651" s="1" t="str">
        <f aca="false">IF(Brasil!C651="","",IFERROR(INDEX(Gamma_Catalogo!$D$3:$D$1451,MATCH(Brasil!E651,Gamma_Catalogo!$A$3:$A$1451,0)),"Revisar Ip Code"))</f>
        <v/>
      </c>
      <c r="M651" s="1" t="str">
        <f aca="false">IF(Brasil!C651="","",IFERROR(INDEX(Gamma_Catalogo!$C$3:$C$1451,MATCH(Brasil!E651,Gamma_Catalogo!$A$3:$A$1451,0)),"Revisar Ip Code"))</f>
        <v/>
      </c>
      <c r="N651" s="1" t="str">
        <f aca="false">IF(Brasil!C651="","",IFERROR(INDEX(Gamma_Catalogo!$E$3:$E$1451,MATCH(Brasil!E651,Gamma_Catalogo!$A$3:$A$1451,0)),"Revisar Ip Code"))</f>
        <v/>
      </c>
      <c r="O651" s="1" t="str">
        <f aca="false">IF(Brasil!C651="","","Brasil")</f>
        <v/>
      </c>
    </row>
    <row r="652" customFormat="false" ht="15" hidden="false" customHeight="true" outlineLevel="0" collapsed="false">
      <c r="A652" s="1" t="str">
        <f aca="false">IF(Suiza_DE_CN_ID!A2="","",IFERROR(INDEX(Mercados!$C$2:$C$32,MATCH(Suiza_DE_CN_ID!B2,Mercados!$A$2:$A$32,0)),"Revisar Tscode"))</f>
        <v>773 - COLOMBIA</v>
      </c>
      <c r="B652" s="1" t="str">
        <f aca="false">IF(Suiza_DE_CN_ID!A2="","",Suiza_DE_CN_ID!A2)</f>
        <v>akt</v>
      </c>
      <c r="C652" s="1" t="n">
        <f aca="false">IF(Suiza_DE_CN_ID!A2="","",Suiza_DE_CN_ID!C2)</f>
        <v>1730134137</v>
      </c>
      <c r="D652" s="1" t="n">
        <f aca="false">IF(Suiza_DE_CN_ID!A2="","",Suiza_DE_CN_ID!D2)</f>
        <v>2283700</v>
      </c>
      <c r="E652" s="1" t="str">
        <f aca="false">IF(Suiza_DE_CN_ID!A2="","",Suiza_DE_CN_ID!E2)</f>
        <v>180/55ZR17M/CTL (73W)(M) Z8-R</v>
      </c>
      <c r="F652" s="1" t="n">
        <f aca="false">IF(Suiza_DE_CN_ID!A2="","",Suiza_DE_CN_ID!G2)</f>
        <v>3</v>
      </c>
      <c r="I652" s="1" t="n">
        <f aca="false">IF(Suiza_DE_CN_ID!A2="","",Suiza_DE_CN_ID!H2)</f>
        <v>102</v>
      </c>
      <c r="J652" s="1" t="n">
        <f aca="false">IF(Suiza_DE_CN_ID!A2="","",Suiza_DE_CN_ID!I2)</f>
        <v>327.3</v>
      </c>
      <c r="K652" s="1" t="str">
        <f aca="false">IF(Suiza_DE_CN_ID!A2="","",UPPER(Suiza_DE_CN_ID!J2))</f>
        <v>CN</v>
      </c>
      <c r="L652" s="1" t="str">
        <f aca="false">IF(Suiza_DE_CN_ID!A2="","",IFERROR(INDEX(Gamma_Catalogo!$D$3:$D$1451,MATCH(Suiza_DE_CN_ID!D2,Gamma_Catalogo!$A$3:$A$1451,0)),"Revisar Ip Code"))</f>
        <v>RADIAL ZR</v>
      </c>
      <c r="M652" s="1" t="str">
        <f aca="false">IF(Suiza_DE_CN_ID!A2="","",IFERROR(INDEX(Gamma_Catalogo!$C$3:$C$1451,MATCH(Suiza_DE_CN_ID!D2,Gamma_Catalogo!$A$3:$A$1451,0)),"Revisar Ip Code"))</f>
        <v>R</v>
      </c>
      <c r="N652" s="1" t="str">
        <f aca="false">IF(Suiza_DE_CN_ID!A2="","",IFERROR(INDEX(Gamma_Catalogo!$E$3:$E$1451,MATCH(Suiza_DE_CN_ID!D2,Gamma_Catalogo!$A$3:$A$1451,0)),"Revisar Ip Code"))</f>
        <v>SPORT TOURING RADIAL</v>
      </c>
      <c r="O652" s="1" t="str">
        <f aca="false">IF(Suiza_DE_CN_ID!A2="","","Suiza")</f>
        <v>Suiza</v>
      </c>
    </row>
    <row r="653" customFormat="false" ht="15" hidden="false" customHeight="true" outlineLevel="0" collapsed="false">
      <c r="A653" s="1" t="str">
        <f aca="false">IF(Suiza_DE_CN_ID!A3="","",IFERROR(INDEX(Mercados!$C$2:$C$32,MATCH(Suiza_DE_CN_ID!B3,Mercados!$A$2:$A$32,0)),"Revisar Tscode"))</f>
        <v/>
      </c>
      <c r="B653" s="1" t="str">
        <f aca="false">IF(Suiza_DE_CN_ID!A3="","",Suiza_DE_CN_ID!A3)</f>
        <v/>
      </c>
      <c r="C653" s="1" t="str">
        <f aca="false">IF(Suiza_DE_CN_ID!A3="","",Suiza_DE_CN_ID!C3)</f>
        <v/>
      </c>
      <c r="D653" s="1" t="str">
        <f aca="false">IF(Suiza_DE_CN_ID!A3="","",Suiza_DE_CN_ID!D3)</f>
        <v/>
      </c>
      <c r="E653" s="1" t="str">
        <f aca="false">IF(Suiza_DE_CN_ID!A3="","",Suiza_DE_CN_ID!E3)</f>
        <v/>
      </c>
      <c r="F653" s="1" t="str">
        <f aca="false">IF(Suiza_DE_CN_ID!A3="","",Suiza_DE_CN_ID!G3)</f>
        <v/>
      </c>
      <c r="I653" s="1" t="str">
        <f aca="false">IF(Suiza_DE_CN_ID!A3="","",Suiza_DE_CN_ID!H3)</f>
        <v/>
      </c>
      <c r="J653" s="1" t="str">
        <f aca="false">IF(Suiza_DE_CN_ID!A3="","",Suiza_DE_CN_ID!I3)</f>
        <v/>
      </c>
      <c r="K653" s="1" t="str">
        <f aca="false">IF(Suiza_DE_CN_ID!A3="","",UPPER(Suiza_DE_CN_ID!J3))</f>
        <v/>
      </c>
      <c r="L653" s="1" t="str">
        <f aca="false">IF(Suiza_DE_CN_ID!A3="","",IFERROR(INDEX(Gamma_Catalogo!$D$3:$D$1451,MATCH(Suiza_DE_CN_ID!D3,Gamma_Catalogo!$A$3:$A$1451,0)),"Revisar Ip Code"))</f>
        <v/>
      </c>
      <c r="M653" s="1" t="str">
        <f aca="false">IF(Suiza_DE_CN_ID!A3="","",IFERROR(INDEX(Gamma_Catalogo!$C$3:$C$1451,MATCH(Suiza_DE_CN_ID!D3,Gamma_Catalogo!$A$3:$A$1451,0)),"Revisar Ip Code"))</f>
        <v/>
      </c>
      <c r="N653" s="1" t="str">
        <f aca="false">IF(Suiza_DE_CN_ID!A3="","",IFERROR(INDEX(Gamma_Catalogo!$E$3:$E$1451,MATCH(Suiza_DE_CN_ID!D3,Gamma_Catalogo!$A$3:$A$1451,0)),"Revisar Ip Code"))</f>
        <v/>
      </c>
      <c r="O653" s="1" t="str">
        <f aca="false">IF(Suiza_DE_CN_ID!A3="","","Suiza")</f>
        <v/>
      </c>
    </row>
    <row r="654" customFormat="false" ht="15" hidden="false" customHeight="true" outlineLevel="0" collapsed="false">
      <c r="A654" s="1" t="str">
        <f aca="false">IF(Suiza_DE_CN_ID!A4="","",IFERROR(INDEX(Mercados!$C$2:$C$32,MATCH(Suiza_DE_CN_ID!B4,Mercados!$A$2:$A$32,0)),"Revisar Tscode"))</f>
        <v/>
      </c>
      <c r="B654" s="1" t="str">
        <f aca="false">IF(Suiza_DE_CN_ID!A4="","",Suiza_DE_CN_ID!A4)</f>
        <v/>
      </c>
      <c r="C654" s="1" t="str">
        <f aca="false">IF(Suiza_DE_CN_ID!A4="","",Suiza_DE_CN_ID!C4)</f>
        <v/>
      </c>
      <c r="D654" s="1" t="str">
        <f aca="false">IF(Suiza_DE_CN_ID!A4="","",Suiza_DE_CN_ID!D4)</f>
        <v/>
      </c>
      <c r="E654" s="1" t="str">
        <f aca="false">IF(Suiza_DE_CN_ID!A4="","",Suiza_DE_CN_ID!E4)</f>
        <v/>
      </c>
      <c r="F654" s="1" t="str">
        <f aca="false">IF(Suiza_DE_CN_ID!A4="","",Suiza_DE_CN_ID!G4)</f>
        <v/>
      </c>
      <c r="I654" s="1" t="str">
        <f aca="false">IF(Suiza_DE_CN_ID!A4="","",Suiza_DE_CN_ID!H4)</f>
        <v/>
      </c>
      <c r="J654" s="1" t="str">
        <f aca="false">IF(Suiza_DE_CN_ID!A4="","",Suiza_DE_CN_ID!I4)</f>
        <v/>
      </c>
      <c r="K654" s="1" t="str">
        <f aca="false">IF(Suiza_DE_CN_ID!A4="","",UPPER(Suiza_DE_CN_ID!J4))</f>
        <v/>
      </c>
      <c r="L654" s="1" t="str">
        <f aca="false">IF(Suiza_DE_CN_ID!A4="","",IFERROR(INDEX(Gamma_Catalogo!$D$3:$D$1451,MATCH(Suiza_DE_CN_ID!D4,Gamma_Catalogo!$A$3:$A$1451,0)),"Revisar Ip Code"))</f>
        <v/>
      </c>
      <c r="M654" s="1" t="str">
        <f aca="false">IF(Suiza_DE_CN_ID!A4="","",IFERROR(INDEX(Gamma_Catalogo!$C$3:$C$1451,MATCH(Suiza_DE_CN_ID!D4,Gamma_Catalogo!$A$3:$A$1451,0)),"Revisar Ip Code"))</f>
        <v/>
      </c>
      <c r="N654" s="1" t="str">
        <f aca="false">IF(Suiza_DE_CN_ID!A4="","",IFERROR(INDEX(Gamma_Catalogo!$E$3:$E$1451,MATCH(Suiza_DE_CN_ID!D4,Gamma_Catalogo!$A$3:$A$1451,0)),"Revisar Ip Code"))</f>
        <v/>
      </c>
      <c r="O654" s="1" t="str">
        <f aca="false">IF(Suiza_DE_CN_ID!A4="","","Suiza")</f>
        <v/>
      </c>
    </row>
    <row r="655" customFormat="false" ht="15" hidden="false" customHeight="true" outlineLevel="0" collapsed="false">
      <c r="A655" s="1" t="str">
        <f aca="false">IF(Suiza_DE_CN_ID!A5="","",IFERROR(INDEX(Mercados!$C$2:$C$32,MATCH(Suiza_DE_CN_ID!B5,Mercados!$A$2:$A$32,0)),"Revisar Tscode"))</f>
        <v/>
      </c>
      <c r="B655" s="1" t="str">
        <f aca="false">IF(Suiza_DE_CN_ID!A5="","",Suiza_DE_CN_ID!A5)</f>
        <v/>
      </c>
      <c r="C655" s="1" t="str">
        <f aca="false">IF(Suiza_DE_CN_ID!A5="","",Suiza_DE_CN_ID!C5)</f>
        <v/>
      </c>
      <c r="D655" s="1" t="str">
        <f aca="false">IF(Suiza_DE_CN_ID!A5="","",Suiza_DE_CN_ID!D5)</f>
        <v/>
      </c>
      <c r="E655" s="1" t="str">
        <f aca="false">IF(Suiza_DE_CN_ID!A5="","",Suiza_DE_CN_ID!E5)</f>
        <v/>
      </c>
      <c r="F655" s="1" t="str">
        <f aca="false">IF(Suiza_DE_CN_ID!A5="","",Suiza_DE_CN_ID!G5)</f>
        <v/>
      </c>
      <c r="I655" s="1" t="str">
        <f aca="false">IF(Suiza_DE_CN_ID!A5="","",Suiza_DE_CN_ID!H5)</f>
        <v/>
      </c>
      <c r="J655" s="1" t="str">
        <f aca="false">IF(Suiza_DE_CN_ID!A5="","",Suiza_DE_CN_ID!I5)</f>
        <v/>
      </c>
      <c r="K655" s="1" t="str">
        <f aca="false">IF(Suiza_DE_CN_ID!A5="","",UPPER(Suiza_DE_CN_ID!J5))</f>
        <v/>
      </c>
      <c r="L655" s="1" t="str">
        <f aca="false">IF(Suiza_DE_CN_ID!A5="","",IFERROR(INDEX(Gamma_Catalogo!$D$3:$D$1451,MATCH(Suiza_DE_CN_ID!D5,Gamma_Catalogo!$A$3:$A$1451,0)),"Revisar Ip Code"))</f>
        <v/>
      </c>
      <c r="M655" s="1" t="str">
        <f aca="false">IF(Suiza_DE_CN_ID!A5="","",IFERROR(INDEX(Gamma_Catalogo!$C$3:$C$1451,MATCH(Suiza_DE_CN_ID!D5,Gamma_Catalogo!$A$3:$A$1451,0)),"Revisar Ip Code"))</f>
        <v/>
      </c>
      <c r="N655" s="1" t="str">
        <f aca="false">IF(Suiza_DE_CN_ID!A5="","",IFERROR(INDEX(Gamma_Catalogo!$E$3:$E$1451,MATCH(Suiza_DE_CN_ID!D5,Gamma_Catalogo!$A$3:$A$1451,0)),"Revisar Ip Code"))</f>
        <v/>
      </c>
      <c r="O655" s="1" t="str">
        <f aca="false">IF(Suiza_DE_CN_ID!A5="","","Suiza")</f>
        <v/>
      </c>
    </row>
    <row r="656" customFormat="false" ht="15" hidden="false" customHeight="true" outlineLevel="0" collapsed="false">
      <c r="A656" s="1" t="str">
        <f aca="false">IF(Suiza_DE_CN_ID!A6="","",IFERROR(INDEX(Mercados!$C$2:$C$32,MATCH(Suiza_DE_CN_ID!B6,Mercados!$A$2:$A$32,0)),"Revisar Tscode"))</f>
        <v/>
      </c>
      <c r="B656" s="1" t="str">
        <f aca="false">IF(Suiza_DE_CN_ID!A6="","",Suiza_DE_CN_ID!A6)</f>
        <v/>
      </c>
      <c r="C656" s="1" t="str">
        <f aca="false">IF(Suiza_DE_CN_ID!A6="","",Suiza_DE_CN_ID!C6)</f>
        <v/>
      </c>
      <c r="D656" s="1" t="str">
        <f aca="false">IF(Suiza_DE_CN_ID!A6="","",Suiza_DE_CN_ID!D6)</f>
        <v/>
      </c>
      <c r="E656" s="1" t="str">
        <f aca="false">IF(Suiza_DE_CN_ID!A6="","",Suiza_DE_CN_ID!E6)</f>
        <v/>
      </c>
      <c r="F656" s="1" t="str">
        <f aca="false">IF(Suiza_DE_CN_ID!A6="","",Suiza_DE_CN_ID!G6)</f>
        <v/>
      </c>
      <c r="I656" s="1" t="str">
        <f aca="false">IF(Suiza_DE_CN_ID!A6="","",Suiza_DE_CN_ID!H6)</f>
        <v/>
      </c>
      <c r="J656" s="1" t="str">
        <f aca="false">IF(Suiza_DE_CN_ID!A6="","",Suiza_DE_CN_ID!I6)</f>
        <v/>
      </c>
      <c r="K656" s="1" t="str">
        <f aca="false">IF(Suiza_DE_CN_ID!A6="","",UPPER(Suiza_DE_CN_ID!J6))</f>
        <v/>
      </c>
      <c r="L656" s="1" t="str">
        <f aca="false">IF(Suiza_DE_CN_ID!A6="","",IFERROR(INDEX(Gamma_Catalogo!$D$3:$D$1451,MATCH(Suiza_DE_CN_ID!D6,Gamma_Catalogo!$A$3:$A$1451,0)),"Revisar Ip Code"))</f>
        <v/>
      </c>
      <c r="M656" s="1" t="str">
        <f aca="false">IF(Suiza_DE_CN_ID!A6="","",IFERROR(INDEX(Gamma_Catalogo!$C$3:$C$1451,MATCH(Suiza_DE_CN_ID!D6,Gamma_Catalogo!$A$3:$A$1451,0)),"Revisar Ip Code"))</f>
        <v/>
      </c>
      <c r="N656" s="1" t="str">
        <f aca="false">IF(Suiza_DE_CN_ID!A6="","",IFERROR(INDEX(Gamma_Catalogo!$E$3:$E$1451,MATCH(Suiza_DE_CN_ID!D6,Gamma_Catalogo!$A$3:$A$1451,0)),"Revisar Ip Code"))</f>
        <v/>
      </c>
      <c r="O656" s="1" t="str">
        <f aca="false">IF(Suiza_DE_CN_ID!A6="","","Suiza")</f>
        <v/>
      </c>
    </row>
    <row r="657" customFormat="false" ht="15" hidden="false" customHeight="true" outlineLevel="0" collapsed="false">
      <c r="A657" s="1" t="str">
        <f aca="false">IF(Suiza_DE_CN_ID!A7="","",IFERROR(INDEX(Mercados!$C$2:$C$32,MATCH(Suiza_DE_CN_ID!B7,Mercados!$A$2:$A$32,0)),"Revisar Tscode"))</f>
        <v/>
      </c>
      <c r="B657" s="1" t="str">
        <f aca="false">IF(Suiza_DE_CN_ID!A7="","",Suiza_DE_CN_ID!A7)</f>
        <v/>
      </c>
      <c r="C657" s="1" t="str">
        <f aca="false">IF(Suiza_DE_CN_ID!A7="","",Suiza_DE_CN_ID!C7)</f>
        <v/>
      </c>
      <c r="D657" s="1" t="str">
        <f aca="false">IF(Suiza_DE_CN_ID!A7="","",Suiza_DE_CN_ID!D7)</f>
        <v/>
      </c>
      <c r="E657" s="1" t="str">
        <f aca="false">IF(Suiza_DE_CN_ID!A7="","",Suiza_DE_CN_ID!E7)</f>
        <v/>
      </c>
      <c r="F657" s="1" t="str">
        <f aca="false">IF(Suiza_DE_CN_ID!A7="","",Suiza_DE_CN_ID!G7)</f>
        <v/>
      </c>
      <c r="I657" s="1" t="str">
        <f aca="false">IF(Suiza_DE_CN_ID!A7="","",Suiza_DE_CN_ID!H7)</f>
        <v/>
      </c>
      <c r="J657" s="1" t="str">
        <f aca="false">IF(Suiza_DE_CN_ID!A7="","",Suiza_DE_CN_ID!I7)</f>
        <v/>
      </c>
      <c r="K657" s="1" t="str">
        <f aca="false">IF(Suiza_DE_CN_ID!A7="","",UPPER(Suiza_DE_CN_ID!J7))</f>
        <v/>
      </c>
      <c r="L657" s="1" t="str">
        <f aca="false">IF(Suiza_DE_CN_ID!A7="","",IFERROR(INDEX(Gamma_Catalogo!$D$3:$D$1451,MATCH(Suiza_DE_CN_ID!D7,Gamma_Catalogo!$A$3:$A$1451,0)),"Revisar Ip Code"))</f>
        <v/>
      </c>
      <c r="M657" s="1" t="str">
        <f aca="false">IF(Suiza_DE_CN_ID!A7="","",IFERROR(INDEX(Gamma_Catalogo!$C$3:$C$1451,MATCH(Suiza_DE_CN_ID!D7,Gamma_Catalogo!$A$3:$A$1451,0)),"Revisar Ip Code"))</f>
        <v/>
      </c>
      <c r="N657" s="1" t="str">
        <f aca="false">IF(Suiza_DE_CN_ID!A7="","",IFERROR(INDEX(Gamma_Catalogo!$E$3:$E$1451,MATCH(Suiza_DE_CN_ID!D7,Gamma_Catalogo!$A$3:$A$1451,0)),"Revisar Ip Code"))</f>
        <v/>
      </c>
      <c r="O657" s="1" t="str">
        <f aca="false">IF(Suiza_DE_CN_ID!A7="","","Suiza")</f>
        <v/>
      </c>
    </row>
    <row r="658" customFormat="false" ht="15" hidden="false" customHeight="true" outlineLevel="0" collapsed="false">
      <c r="A658" s="1" t="str">
        <f aca="false">IF(Suiza_DE_CN_ID!A8="","",IFERROR(INDEX(Mercados!$C$2:$C$32,MATCH(Suiza_DE_CN_ID!B8,Mercados!$A$2:$A$32,0)),"Revisar Tscode"))</f>
        <v/>
      </c>
      <c r="B658" s="1" t="str">
        <f aca="false">IF(Suiza_DE_CN_ID!A8="","",Suiza_DE_CN_ID!A8)</f>
        <v/>
      </c>
      <c r="C658" s="1" t="str">
        <f aca="false">IF(Suiza_DE_CN_ID!A8="","",Suiza_DE_CN_ID!C8)</f>
        <v/>
      </c>
      <c r="D658" s="1" t="str">
        <f aca="false">IF(Suiza_DE_CN_ID!A8="","",Suiza_DE_CN_ID!D8)</f>
        <v/>
      </c>
      <c r="E658" s="1" t="str">
        <f aca="false">IF(Suiza_DE_CN_ID!A8="","",Suiza_DE_CN_ID!E8)</f>
        <v/>
      </c>
      <c r="F658" s="1" t="str">
        <f aca="false">IF(Suiza_DE_CN_ID!A8="","",Suiza_DE_CN_ID!G8)</f>
        <v/>
      </c>
      <c r="I658" s="1" t="str">
        <f aca="false">IF(Suiza_DE_CN_ID!A8="","",Suiza_DE_CN_ID!H8)</f>
        <v/>
      </c>
      <c r="J658" s="1" t="str">
        <f aca="false">IF(Suiza_DE_CN_ID!A8="","",Suiza_DE_CN_ID!I8)</f>
        <v/>
      </c>
      <c r="K658" s="1" t="str">
        <f aca="false">IF(Suiza_DE_CN_ID!A8="","",UPPER(Suiza_DE_CN_ID!J8))</f>
        <v/>
      </c>
      <c r="L658" s="1" t="str">
        <f aca="false">IF(Suiza_DE_CN_ID!A8="","",IFERROR(INDEX(Gamma_Catalogo!$D$3:$D$1451,MATCH(Suiza_DE_CN_ID!D8,Gamma_Catalogo!$A$3:$A$1451,0)),"Revisar Ip Code"))</f>
        <v/>
      </c>
      <c r="M658" s="1" t="str">
        <f aca="false">IF(Suiza_DE_CN_ID!A8="","",IFERROR(INDEX(Gamma_Catalogo!$C$3:$C$1451,MATCH(Suiza_DE_CN_ID!D8,Gamma_Catalogo!$A$3:$A$1451,0)),"Revisar Ip Code"))</f>
        <v/>
      </c>
      <c r="N658" s="1" t="str">
        <f aca="false">IF(Suiza_DE_CN_ID!A8="","",IFERROR(INDEX(Gamma_Catalogo!$E$3:$E$1451,MATCH(Suiza_DE_CN_ID!D8,Gamma_Catalogo!$A$3:$A$1451,0)),"Revisar Ip Code"))</f>
        <v/>
      </c>
      <c r="O658" s="1" t="str">
        <f aca="false">IF(Suiza_DE_CN_ID!A8="","","Suiza")</f>
        <v/>
      </c>
    </row>
    <row r="659" customFormat="false" ht="15" hidden="false" customHeight="true" outlineLevel="0" collapsed="false">
      <c r="A659" s="1" t="str">
        <f aca="false">IF(Suiza_DE_CN_ID!A9="","",IFERROR(INDEX(Mercados!$C$2:$C$32,MATCH(Suiza_DE_CN_ID!B9,Mercados!$A$2:$A$32,0)),"Revisar Tscode"))</f>
        <v/>
      </c>
      <c r="B659" s="1" t="str">
        <f aca="false">IF(Suiza_DE_CN_ID!A9="","",Suiza_DE_CN_ID!A9)</f>
        <v/>
      </c>
      <c r="C659" s="1" t="str">
        <f aca="false">IF(Suiza_DE_CN_ID!A9="","",Suiza_DE_CN_ID!C9)</f>
        <v/>
      </c>
      <c r="D659" s="1" t="str">
        <f aca="false">IF(Suiza_DE_CN_ID!A9="","",Suiza_DE_CN_ID!D9)</f>
        <v/>
      </c>
      <c r="E659" s="1" t="str">
        <f aca="false">IF(Suiza_DE_CN_ID!A9="","",Suiza_DE_CN_ID!E9)</f>
        <v/>
      </c>
      <c r="F659" s="1" t="str">
        <f aca="false">IF(Suiza_DE_CN_ID!A9="","",Suiza_DE_CN_ID!G9)</f>
        <v/>
      </c>
      <c r="I659" s="1" t="str">
        <f aca="false">IF(Suiza_DE_CN_ID!A9="","",Suiza_DE_CN_ID!H9)</f>
        <v/>
      </c>
      <c r="J659" s="1" t="str">
        <f aca="false">IF(Suiza_DE_CN_ID!A9="","",Suiza_DE_CN_ID!I9)</f>
        <v/>
      </c>
      <c r="K659" s="1" t="str">
        <f aca="false">IF(Suiza_DE_CN_ID!A9="","",UPPER(Suiza_DE_CN_ID!J9))</f>
        <v/>
      </c>
      <c r="L659" s="1" t="str">
        <f aca="false">IF(Suiza_DE_CN_ID!A9="","",IFERROR(INDEX(Gamma_Catalogo!$D$3:$D$1451,MATCH(Suiza_DE_CN_ID!D9,Gamma_Catalogo!$A$3:$A$1451,0)),"Revisar Ip Code"))</f>
        <v/>
      </c>
      <c r="M659" s="1" t="str">
        <f aca="false">IF(Suiza_DE_CN_ID!A9="","",IFERROR(INDEX(Gamma_Catalogo!$C$3:$C$1451,MATCH(Suiza_DE_CN_ID!D9,Gamma_Catalogo!$A$3:$A$1451,0)),"Revisar Ip Code"))</f>
        <v/>
      </c>
      <c r="N659" s="1" t="str">
        <f aca="false">IF(Suiza_DE_CN_ID!A9="","",IFERROR(INDEX(Gamma_Catalogo!$E$3:$E$1451,MATCH(Suiza_DE_CN_ID!D9,Gamma_Catalogo!$A$3:$A$1451,0)),"Revisar Ip Code"))</f>
        <v/>
      </c>
      <c r="O659" s="1" t="str">
        <f aca="false">IF(Suiza_DE_CN_ID!A9="","","Suiza")</f>
        <v/>
      </c>
    </row>
    <row r="660" customFormat="false" ht="15" hidden="false" customHeight="true" outlineLevel="0" collapsed="false">
      <c r="A660" s="1" t="str">
        <f aca="false">IF(Suiza_DE_CN_ID!A10="","",IFERROR(INDEX(Mercados!$C$2:$C$32,MATCH(Suiza_DE_CN_ID!B10,Mercados!$A$2:$A$32,0)),"Revisar Tscode"))</f>
        <v/>
      </c>
      <c r="B660" s="1" t="str">
        <f aca="false">IF(Suiza_DE_CN_ID!A10="","",Suiza_DE_CN_ID!A10)</f>
        <v/>
      </c>
      <c r="C660" s="1" t="str">
        <f aca="false">IF(Suiza_DE_CN_ID!A10="","",Suiza_DE_CN_ID!C10)</f>
        <v/>
      </c>
      <c r="D660" s="1" t="str">
        <f aca="false">IF(Suiza_DE_CN_ID!A10="","",Suiza_DE_CN_ID!D10)</f>
        <v/>
      </c>
      <c r="E660" s="1" t="str">
        <f aca="false">IF(Suiza_DE_CN_ID!A10="","",Suiza_DE_CN_ID!E10)</f>
        <v/>
      </c>
      <c r="F660" s="1" t="str">
        <f aca="false">IF(Suiza_DE_CN_ID!A10="","",Suiza_DE_CN_ID!G10)</f>
        <v/>
      </c>
      <c r="I660" s="1" t="str">
        <f aca="false">IF(Suiza_DE_CN_ID!A10="","",Suiza_DE_CN_ID!H10)</f>
        <v/>
      </c>
      <c r="J660" s="1" t="str">
        <f aca="false">IF(Suiza_DE_CN_ID!A10="","",Suiza_DE_CN_ID!I10)</f>
        <v/>
      </c>
      <c r="K660" s="1" t="str">
        <f aca="false">IF(Suiza_DE_CN_ID!A10="","",UPPER(Suiza_DE_CN_ID!J10))</f>
        <v/>
      </c>
      <c r="L660" s="1" t="str">
        <f aca="false">IF(Suiza_DE_CN_ID!A10="","",IFERROR(INDEX(Gamma_Catalogo!$D$3:$D$1451,MATCH(Suiza_DE_CN_ID!D10,Gamma_Catalogo!$A$3:$A$1451,0)),"Revisar Ip Code"))</f>
        <v/>
      </c>
      <c r="M660" s="1" t="str">
        <f aca="false">IF(Suiza_DE_CN_ID!A10="","",IFERROR(INDEX(Gamma_Catalogo!$C$3:$C$1451,MATCH(Suiza_DE_CN_ID!D10,Gamma_Catalogo!$A$3:$A$1451,0)),"Revisar Ip Code"))</f>
        <v/>
      </c>
      <c r="N660" s="1" t="str">
        <f aca="false">IF(Suiza_DE_CN_ID!A10="","",IFERROR(INDEX(Gamma_Catalogo!$E$3:$E$1451,MATCH(Suiza_DE_CN_ID!D10,Gamma_Catalogo!$A$3:$A$1451,0)),"Revisar Ip Code"))</f>
        <v/>
      </c>
      <c r="O660" s="1" t="str">
        <f aca="false">IF(Suiza_DE_CN_ID!A10="","","Suiza")</f>
        <v/>
      </c>
    </row>
    <row r="661" customFormat="false" ht="15" hidden="false" customHeight="true" outlineLevel="0" collapsed="false">
      <c r="A661" s="1" t="str">
        <f aca="false">IF(Suiza_DE_CN_ID!A11="","",IFERROR(INDEX(Mercados!$C$2:$C$32,MATCH(Suiza_DE_CN_ID!B11,Mercados!$A$2:$A$32,0)),"Revisar Tscode"))</f>
        <v/>
      </c>
      <c r="B661" s="1" t="str">
        <f aca="false">IF(Suiza_DE_CN_ID!A11="","",Suiza_DE_CN_ID!A11)</f>
        <v/>
      </c>
      <c r="C661" s="1" t="str">
        <f aca="false">IF(Suiza_DE_CN_ID!A11="","",Suiza_DE_CN_ID!C11)</f>
        <v/>
      </c>
      <c r="D661" s="1" t="str">
        <f aca="false">IF(Suiza_DE_CN_ID!A11="","",Suiza_DE_CN_ID!D11)</f>
        <v/>
      </c>
      <c r="E661" s="1" t="str">
        <f aca="false">IF(Suiza_DE_CN_ID!A11="","",Suiza_DE_CN_ID!E11)</f>
        <v/>
      </c>
      <c r="F661" s="1" t="str">
        <f aca="false">IF(Suiza_DE_CN_ID!A11="","",Suiza_DE_CN_ID!G11)</f>
        <v/>
      </c>
      <c r="I661" s="1" t="str">
        <f aca="false">IF(Suiza_DE_CN_ID!A11="","",Suiza_DE_CN_ID!H11)</f>
        <v/>
      </c>
      <c r="J661" s="1" t="str">
        <f aca="false">IF(Suiza_DE_CN_ID!A11="","",Suiza_DE_CN_ID!I11)</f>
        <v/>
      </c>
      <c r="K661" s="1" t="str">
        <f aca="false">IF(Suiza_DE_CN_ID!A11="","",UPPER(Suiza_DE_CN_ID!J11))</f>
        <v/>
      </c>
      <c r="L661" s="1" t="str">
        <f aca="false">IF(Suiza_DE_CN_ID!A11="","",IFERROR(INDEX(Gamma_Catalogo!$D$3:$D$1451,MATCH(Suiza_DE_CN_ID!D11,Gamma_Catalogo!$A$3:$A$1451,0)),"Revisar Ip Code"))</f>
        <v/>
      </c>
      <c r="M661" s="1" t="str">
        <f aca="false">IF(Suiza_DE_CN_ID!A11="","",IFERROR(INDEX(Gamma_Catalogo!$C$3:$C$1451,MATCH(Suiza_DE_CN_ID!D11,Gamma_Catalogo!$A$3:$A$1451,0)),"Revisar Ip Code"))</f>
        <v/>
      </c>
      <c r="N661" s="1" t="str">
        <f aca="false">IF(Suiza_DE_CN_ID!A11="","",IFERROR(INDEX(Gamma_Catalogo!$E$3:$E$1451,MATCH(Suiza_DE_CN_ID!D11,Gamma_Catalogo!$A$3:$A$1451,0)),"Revisar Ip Code"))</f>
        <v/>
      </c>
      <c r="O661" s="1" t="str">
        <f aca="false">IF(Suiza_DE_CN_ID!A11="","","Suiza")</f>
        <v/>
      </c>
    </row>
    <row r="662" customFormat="false" ht="15" hidden="false" customHeight="true" outlineLevel="0" collapsed="false">
      <c r="A662" s="1" t="str">
        <f aca="false">IF(Suiza_DE_CN_ID!A12="","",IFERROR(INDEX(Mercados!$C$2:$C$32,MATCH(Suiza_DE_CN_ID!B12,Mercados!$A$2:$A$32,0)),"Revisar Tscode"))</f>
        <v/>
      </c>
      <c r="B662" s="1" t="str">
        <f aca="false">IF(Suiza_DE_CN_ID!A12="","",Suiza_DE_CN_ID!A12)</f>
        <v/>
      </c>
      <c r="C662" s="1" t="str">
        <f aca="false">IF(Suiza_DE_CN_ID!A12="","",Suiza_DE_CN_ID!C12)</f>
        <v/>
      </c>
      <c r="D662" s="1" t="str">
        <f aca="false">IF(Suiza_DE_CN_ID!A12="","",Suiza_DE_CN_ID!D12)</f>
        <v/>
      </c>
      <c r="E662" s="1" t="str">
        <f aca="false">IF(Suiza_DE_CN_ID!A12="","",Suiza_DE_CN_ID!E12)</f>
        <v/>
      </c>
      <c r="F662" s="1" t="str">
        <f aca="false">IF(Suiza_DE_CN_ID!A12="","",Suiza_DE_CN_ID!G12)</f>
        <v/>
      </c>
      <c r="I662" s="1" t="str">
        <f aca="false">IF(Suiza_DE_CN_ID!A12="","",Suiza_DE_CN_ID!H12)</f>
        <v/>
      </c>
      <c r="J662" s="1" t="str">
        <f aca="false">IF(Suiza_DE_CN_ID!A12="","",Suiza_DE_CN_ID!I12)</f>
        <v/>
      </c>
      <c r="K662" s="1" t="str">
        <f aca="false">IF(Suiza_DE_CN_ID!A12="","",UPPER(Suiza_DE_CN_ID!J12))</f>
        <v/>
      </c>
      <c r="L662" s="1" t="str">
        <f aca="false">IF(Suiza_DE_CN_ID!A12="","",IFERROR(INDEX(Gamma_Catalogo!$D$3:$D$1451,MATCH(Suiza_DE_CN_ID!D12,Gamma_Catalogo!$A$3:$A$1451,0)),"Revisar Ip Code"))</f>
        <v/>
      </c>
      <c r="M662" s="1" t="str">
        <f aca="false">IF(Suiza_DE_CN_ID!A12="","",IFERROR(INDEX(Gamma_Catalogo!$C$3:$C$1451,MATCH(Suiza_DE_CN_ID!D12,Gamma_Catalogo!$A$3:$A$1451,0)),"Revisar Ip Code"))</f>
        <v/>
      </c>
      <c r="N662" s="1" t="str">
        <f aca="false">IF(Suiza_DE_CN_ID!A12="","",IFERROR(INDEX(Gamma_Catalogo!$E$3:$E$1451,MATCH(Suiza_DE_CN_ID!D12,Gamma_Catalogo!$A$3:$A$1451,0)),"Revisar Ip Code"))</f>
        <v/>
      </c>
      <c r="O662" s="1" t="str">
        <f aca="false">IF(Suiza_DE_CN_ID!A12="","","Suiza")</f>
        <v/>
      </c>
    </row>
    <row r="663" customFormat="false" ht="15" hidden="false" customHeight="true" outlineLevel="0" collapsed="false">
      <c r="A663" s="1" t="str">
        <f aca="false">IF(Suiza_DE_CN_ID!A13="","",IFERROR(INDEX(Mercados!$C$2:$C$32,MATCH(Suiza_DE_CN_ID!B13,Mercados!$A$2:$A$32,0)),"Revisar Tscode"))</f>
        <v/>
      </c>
      <c r="B663" s="1" t="str">
        <f aca="false">IF(Suiza_DE_CN_ID!A13="","",Suiza_DE_CN_ID!A13)</f>
        <v/>
      </c>
      <c r="C663" s="1" t="str">
        <f aca="false">IF(Suiza_DE_CN_ID!A13="","",Suiza_DE_CN_ID!C13)</f>
        <v/>
      </c>
      <c r="D663" s="1" t="str">
        <f aca="false">IF(Suiza_DE_CN_ID!A13="","",Suiza_DE_CN_ID!D13)</f>
        <v/>
      </c>
      <c r="E663" s="1" t="str">
        <f aca="false">IF(Suiza_DE_CN_ID!A13="","",Suiza_DE_CN_ID!E13)</f>
        <v/>
      </c>
      <c r="F663" s="1" t="str">
        <f aca="false">IF(Suiza_DE_CN_ID!A13="","",Suiza_DE_CN_ID!G13)</f>
        <v/>
      </c>
      <c r="I663" s="1" t="str">
        <f aca="false">IF(Suiza_DE_CN_ID!A13="","",Suiza_DE_CN_ID!H13)</f>
        <v/>
      </c>
      <c r="J663" s="1" t="str">
        <f aca="false">IF(Suiza_DE_CN_ID!A13="","",Suiza_DE_CN_ID!I13)</f>
        <v/>
      </c>
      <c r="K663" s="1" t="str">
        <f aca="false">IF(Suiza_DE_CN_ID!A13="","",UPPER(Suiza_DE_CN_ID!J13))</f>
        <v/>
      </c>
      <c r="L663" s="1" t="str">
        <f aca="false">IF(Suiza_DE_CN_ID!A13="","",IFERROR(INDEX(Gamma_Catalogo!$D$3:$D$1451,MATCH(Suiza_DE_CN_ID!D13,Gamma_Catalogo!$A$3:$A$1451,0)),"Revisar Ip Code"))</f>
        <v/>
      </c>
      <c r="M663" s="1" t="str">
        <f aca="false">IF(Suiza_DE_CN_ID!A13="","",IFERROR(INDEX(Gamma_Catalogo!$C$3:$C$1451,MATCH(Suiza_DE_CN_ID!D13,Gamma_Catalogo!$A$3:$A$1451,0)),"Revisar Ip Code"))</f>
        <v/>
      </c>
      <c r="N663" s="1" t="str">
        <f aca="false">IF(Suiza_DE_CN_ID!A13="","",IFERROR(INDEX(Gamma_Catalogo!$E$3:$E$1451,MATCH(Suiza_DE_CN_ID!D13,Gamma_Catalogo!$A$3:$A$1451,0)),"Revisar Ip Code"))</f>
        <v/>
      </c>
      <c r="O663" s="1" t="str">
        <f aca="false">IF(Suiza_DE_CN_ID!A13="","","Suiza")</f>
        <v/>
      </c>
    </row>
    <row r="664" customFormat="false" ht="15" hidden="false" customHeight="true" outlineLevel="0" collapsed="false">
      <c r="A664" s="1" t="str">
        <f aca="false">IF(Suiza_DE_CN_ID!A14="","",IFERROR(INDEX(Mercados!$C$2:$C$32,MATCH(Suiza_DE_CN_ID!B14,Mercados!$A$2:$A$32,0)),"Revisar Tscode"))</f>
        <v/>
      </c>
      <c r="B664" s="1" t="str">
        <f aca="false">IF(Suiza_DE_CN_ID!A14="","",Suiza_DE_CN_ID!A14)</f>
        <v/>
      </c>
      <c r="C664" s="1" t="str">
        <f aca="false">IF(Suiza_DE_CN_ID!A14="","",Suiza_DE_CN_ID!C14)</f>
        <v/>
      </c>
      <c r="D664" s="1" t="str">
        <f aca="false">IF(Suiza_DE_CN_ID!A14="","",Suiza_DE_CN_ID!D14)</f>
        <v/>
      </c>
      <c r="E664" s="1" t="str">
        <f aca="false">IF(Suiza_DE_CN_ID!A14="","",Suiza_DE_CN_ID!E14)</f>
        <v/>
      </c>
      <c r="F664" s="1" t="str">
        <f aca="false">IF(Suiza_DE_CN_ID!A14="","",Suiza_DE_CN_ID!G14)</f>
        <v/>
      </c>
      <c r="I664" s="1" t="str">
        <f aca="false">IF(Suiza_DE_CN_ID!A14="","",Suiza_DE_CN_ID!H14)</f>
        <v/>
      </c>
      <c r="J664" s="1" t="str">
        <f aca="false">IF(Suiza_DE_CN_ID!A14="","",Suiza_DE_CN_ID!I14)</f>
        <v/>
      </c>
      <c r="K664" s="1" t="str">
        <f aca="false">IF(Suiza_DE_CN_ID!A14="","",UPPER(Suiza_DE_CN_ID!J14))</f>
        <v/>
      </c>
      <c r="L664" s="1" t="str">
        <f aca="false">IF(Suiza_DE_CN_ID!A14="","",IFERROR(INDEX(Gamma_Catalogo!$D$3:$D$1451,MATCH(Suiza_DE_CN_ID!D14,Gamma_Catalogo!$A$3:$A$1451,0)),"Revisar Ip Code"))</f>
        <v/>
      </c>
      <c r="M664" s="1" t="str">
        <f aca="false">IF(Suiza_DE_CN_ID!A14="","",IFERROR(INDEX(Gamma_Catalogo!$C$3:$C$1451,MATCH(Suiza_DE_CN_ID!D14,Gamma_Catalogo!$A$3:$A$1451,0)),"Revisar Ip Code"))</f>
        <v/>
      </c>
      <c r="N664" s="1" t="str">
        <f aca="false">IF(Suiza_DE_CN_ID!A14="","",IFERROR(INDEX(Gamma_Catalogo!$E$3:$E$1451,MATCH(Suiza_DE_CN_ID!D14,Gamma_Catalogo!$A$3:$A$1451,0)),"Revisar Ip Code"))</f>
        <v/>
      </c>
      <c r="O664" s="1" t="str">
        <f aca="false">IF(Suiza_DE_CN_ID!A14="","","Suiza")</f>
        <v/>
      </c>
    </row>
    <row r="665" customFormat="false" ht="15" hidden="false" customHeight="true" outlineLevel="0" collapsed="false">
      <c r="A665" s="1" t="str">
        <f aca="false">IF(Suiza_DE_CN_ID!A15="","",IFERROR(INDEX(Mercados!$C$2:$C$32,MATCH(Suiza_DE_CN_ID!B15,Mercados!$A$2:$A$32,0)),"Revisar Tscode"))</f>
        <v/>
      </c>
      <c r="B665" s="1" t="str">
        <f aca="false">IF(Suiza_DE_CN_ID!A15="","",Suiza_DE_CN_ID!A15)</f>
        <v/>
      </c>
      <c r="C665" s="1" t="str">
        <f aca="false">IF(Suiza_DE_CN_ID!A15="","",Suiza_DE_CN_ID!C15)</f>
        <v/>
      </c>
      <c r="D665" s="1" t="str">
        <f aca="false">IF(Suiza_DE_CN_ID!A15="","",Suiza_DE_CN_ID!D15)</f>
        <v/>
      </c>
      <c r="E665" s="1" t="str">
        <f aca="false">IF(Suiza_DE_CN_ID!A15="","",Suiza_DE_CN_ID!E15)</f>
        <v/>
      </c>
      <c r="F665" s="1" t="str">
        <f aca="false">IF(Suiza_DE_CN_ID!A15="","",Suiza_DE_CN_ID!G15)</f>
        <v/>
      </c>
      <c r="I665" s="1" t="str">
        <f aca="false">IF(Suiza_DE_CN_ID!A15="","",Suiza_DE_CN_ID!H15)</f>
        <v/>
      </c>
      <c r="J665" s="1" t="str">
        <f aca="false">IF(Suiza_DE_CN_ID!A15="","",Suiza_DE_CN_ID!I15)</f>
        <v/>
      </c>
      <c r="K665" s="1" t="str">
        <f aca="false">IF(Suiza_DE_CN_ID!A15="","",UPPER(Suiza_DE_CN_ID!J15))</f>
        <v/>
      </c>
      <c r="L665" s="1" t="str">
        <f aca="false">IF(Suiza_DE_CN_ID!A15="","",IFERROR(INDEX(Gamma_Catalogo!$D$3:$D$1451,MATCH(Suiza_DE_CN_ID!D15,Gamma_Catalogo!$A$3:$A$1451,0)),"Revisar Ip Code"))</f>
        <v/>
      </c>
      <c r="M665" s="1" t="str">
        <f aca="false">IF(Suiza_DE_CN_ID!A15="","",IFERROR(INDEX(Gamma_Catalogo!$C$3:$C$1451,MATCH(Suiza_DE_CN_ID!D15,Gamma_Catalogo!$A$3:$A$1451,0)),"Revisar Ip Code"))</f>
        <v/>
      </c>
      <c r="N665" s="1" t="str">
        <f aca="false">IF(Suiza_DE_CN_ID!A15="","",IFERROR(INDEX(Gamma_Catalogo!$E$3:$E$1451,MATCH(Suiza_DE_CN_ID!D15,Gamma_Catalogo!$A$3:$A$1451,0)),"Revisar Ip Code"))</f>
        <v/>
      </c>
      <c r="O665" s="1" t="str">
        <f aca="false">IF(Suiza_DE_CN_ID!A15="","","Suiza")</f>
        <v/>
      </c>
    </row>
    <row r="666" customFormat="false" ht="15" hidden="false" customHeight="true" outlineLevel="0" collapsed="false">
      <c r="A666" s="1" t="str">
        <f aca="false">IF(Suiza_DE_CN_ID!A16="","",IFERROR(INDEX(Mercados!$C$2:$C$32,MATCH(Suiza_DE_CN_ID!B16,Mercados!$A$2:$A$32,0)),"Revisar Tscode"))</f>
        <v/>
      </c>
      <c r="B666" s="1" t="str">
        <f aca="false">IF(Suiza_DE_CN_ID!A16="","",Suiza_DE_CN_ID!A16)</f>
        <v/>
      </c>
      <c r="C666" s="1" t="str">
        <f aca="false">IF(Suiza_DE_CN_ID!A16="","",Suiza_DE_CN_ID!C16)</f>
        <v/>
      </c>
      <c r="D666" s="1" t="str">
        <f aca="false">IF(Suiza_DE_CN_ID!A16="","",Suiza_DE_CN_ID!D16)</f>
        <v/>
      </c>
      <c r="E666" s="1" t="str">
        <f aca="false">IF(Suiza_DE_CN_ID!A16="","",Suiza_DE_CN_ID!E16)</f>
        <v/>
      </c>
      <c r="F666" s="1" t="str">
        <f aca="false">IF(Suiza_DE_CN_ID!A16="","",Suiza_DE_CN_ID!G16)</f>
        <v/>
      </c>
      <c r="I666" s="1" t="str">
        <f aca="false">IF(Suiza_DE_CN_ID!A16="","",Suiza_DE_CN_ID!H16)</f>
        <v/>
      </c>
      <c r="J666" s="1" t="str">
        <f aca="false">IF(Suiza_DE_CN_ID!A16="","",Suiza_DE_CN_ID!I16)</f>
        <v/>
      </c>
      <c r="K666" s="1" t="str">
        <f aca="false">IF(Suiza_DE_CN_ID!A16="","",UPPER(Suiza_DE_CN_ID!J16))</f>
        <v/>
      </c>
      <c r="L666" s="1" t="str">
        <f aca="false">IF(Suiza_DE_CN_ID!A16="","",IFERROR(INDEX(Gamma_Catalogo!$D$3:$D$1451,MATCH(Suiza_DE_CN_ID!D16,Gamma_Catalogo!$A$3:$A$1451,0)),"Revisar Ip Code"))</f>
        <v/>
      </c>
      <c r="M666" s="1" t="str">
        <f aca="false">IF(Suiza_DE_CN_ID!A16="","",IFERROR(INDEX(Gamma_Catalogo!$C$3:$C$1451,MATCH(Suiza_DE_CN_ID!D16,Gamma_Catalogo!$A$3:$A$1451,0)),"Revisar Ip Code"))</f>
        <v/>
      </c>
      <c r="N666" s="1" t="str">
        <f aca="false">IF(Suiza_DE_CN_ID!A16="","",IFERROR(INDEX(Gamma_Catalogo!$E$3:$E$1451,MATCH(Suiza_DE_CN_ID!D16,Gamma_Catalogo!$A$3:$A$1451,0)),"Revisar Ip Code"))</f>
        <v/>
      </c>
      <c r="O666" s="1" t="str">
        <f aca="false">IF(Suiza_DE_CN_ID!A16="","","Suiza")</f>
        <v/>
      </c>
    </row>
    <row r="667" customFormat="false" ht="15" hidden="false" customHeight="true" outlineLevel="0" collapsed="false">
      <c r="A667" s="1" t="str">
        <f aca="false">IF(Suiza_DE_CN_ID!A17="","",IFERROR(INDEX(Mercados!$C$2:$C$32,MATCH(Suiza_DE_CN_ID!B17,Mercados!$A$2:$A$32,0)),"Revisar Tscode"))</f>
        <v/>
      </c>
      <c r="B667" s="1" t="str">
        <f aca="false">IF(Suiza_DE_CN_ID!A17="","",Suiza_DE_CN_ID!A17)</f>
        <v/>
      </c>
      <c r="C667" s="1" t="str">
        <f aca="false">IF(Suiza_DE_CN_ID!A17="","",Suiza_DE_CN_ID!C17)</f>
        <v/>
      </c>
      <c r="D667" s="1" t="str">
        <f aca="false">IF(Suiza_DE_CN_ID!A17="","",Suiza_DE_CN_ID!D17)</f>
        <v/>
      </c>
      <c r="E667" s="1" t="str">
        <f aca="false">IF(Suiza_DE_CN_ID!A17="","",Suiza_DE_CN_ID!E17)</f>
        <v/>
      </c>
      <c r="F667" s="1" t="str">
        <f aca="false">IF(Suiza_DE_CN_ID!A17="","",Suiza_DE_CN_ID!G17)</f>
        <v/>
      </c>
      <c r="I667" s="1" t="str">
        <f aca="false">IF(Suiza_DE_CN_ID!A17="","",Suiza_DE_CN_ID!H17)</f>
        <v/>
      </c>
      <c r="J667" s="1" t="str">
        <f aca="false">IF(Suiza_DE_CN_ID!A17="","",Suiza_DE_CN_ID!I17)</f>
        <v/>
      </c>
      <c r="K667" s="1" t="str">
        <f aca="false">IF(Suiza_DE_CN_ID!A17="","",UPPER(Suiza_DE_CN_ID!J17))</f>
        <v/>
      </c>
      <c r="L667" s="1" t="str">
        <f aca="false">IF(Suiza_DE_CN_ID!A17="","",IFERROR(INDEX(Gamma_Catalogo!$D$3:$D$1451,MATCH(Suiza_DE_CN_ID!D17,Gamma_Catalogo!$A$3:$A$1451,0)),"Revisar Ip Code"))</f>
        <v/>
      </c>
      <c r="M667" s="1" t="str">
        <f aca="false">IF(Suiza_DE_CN_ID!A17="","",IFERROR(INDEX(Gamma_Catalogo!$C$3:$C$1451,MATCH(Suiza_DE_CN_ID!D17,Gamma_Catalogo!$A$3:$A$1451,0)),"Revisar Ip Code"))</f>
        <v/>
      </c>
      <c r="N667" s="1" t="str">
        <f aca="false">IF(Suiza_DE_CN_ID!A17="","",IFERROR(INDEX(Gamma_Catalogo!$E$3:$E$1451,MATCH(Suiza_DE_CN_ID!D17,Gamma_Catalogo!$A$3:$A$1451,0)),"Revisar Ip Code"))</f>
        <v/>
      </c>
      <c r="O667" s="1" t="str">
        <f aca="false">IF(Suiza_DE_CN_ID!A17="","","Suiza")</f>
        <v/>
      </c>
    </row>
    <row r="668" customFormat="false" ht="15" hidden="false" customHeight="true" outlineLevel="0" collapsed="false">
      <c r="A668" s="1" t="str">
        <f aca="false">IF(Suiza_DE_CN_ID!A18="","",IFERROR(INDEX(Mercados!$C$2:$C$32,MATCH(Suiza_DE_CN_ID!B18,Mercados!$A$2:$A$32,0)),"Revisar Tscode"))</f>
        <v/>
      </c>
      <c r="B668" s="1" t="str">
        <f aca="false">IF(Suiza_DE_CN_ID!A18="","",Suiza_DE_CN_ID!A18)</f>
        <v/>
      </c>
      <c r="C668" s="1" t="str">
        <f aca="false">IF(Suiza_DE_CN_ID!A18="","",Suiza_DE_CN_ID!C18)</f>
        <v/>
      </c>
      <c r="D668" s="1" t="str">
        <f aca="false">IF(Suiza_DE_CN_ID!A18="","",Suiza_DE_CN_ID!D18)</f>
        <v/>
      </c>
      <c r="E668" s="1" t="str">
        <f aca="false">IF(Suiza_DE_CN_ID!A18="","",Suiza_DE_CN_ID!E18)</f>
        <v/>
      </c>
      <c r="F668" s="1" t="str">
        <f aca="false">IF(Suiza_DE_CN_ID!A18="","",Suiza_DE_CN_ID!G18)</f>
        <v/>
      </c>
      <c r="I668" s="1" t="str">
        <f aca="false">IF(Suiza_DE_CN_ID!A18="","",Suiza_DE_CN_ID!H18)</f>
        <v/>
      </c>
      <c r="J668" s="1" t="str">
        <f aca="false">IF(Suiza_DE_CN_ID!A18="","",Suiza_DE_CN_ID!I18)</f>
        <v/>
      </c>
      <c r="K668" s="1" t="str">
        <f aca="false">IF(Suiza_DE_CN_ID!A18="","",UPPER(Suiza_DE_CN_ID!J18))</f>
        <v/>
      </c>
      <c r="L668" s="1" t="str">
        <f aca="false">IF(Suiza_DE_CN_ID!A18="","",IFERROR(INDEX(Gamma_Catalogo!$D$3:$D$1451,MATCH(Suiza_DE_CN_ID!D18,Gamma_Catalogo!$A$3:$A$1451,0)),"Revisar Ip Code"))</f>
        <v/>
      </c>
      <c r="M668" s="1" t="str">
        <f aca="false">IF(Suiza_DE_CN_ID!A18="","",IFERROR(INDEX(Gamma_Catalogo!$C$3:$C$1451,MATCH(Suiza_DE_CN_ID!D18,Gamma_Catalogo!$A$3:$A$1451,0)),"Revisar Ip Code"))</f>
        <v/>
      </c>
      <c r="N668" s="1" t="str">
        <f aca="false">IF(Suiza_DE_CN_ID!A18="","",IFERROR(INDEX(Gamma_Catalogo!$E$3:$E$1451,MATCH(Suiza_DE_CN_ID!D18,Gamma_Catalogo!$A$3:$A$1451,0)),"Revisar Ip Code"))</f>
        <v/>
      </c>
      <c r="O668" s="1" t="str">
        <f aca="false">IF(Suiza_DE_CN_ID!A18="","","Suiza")</f>
        <v/>
      </c>
    </row>
    <row r="669" customFormat="false" ht="15" hidden="false" customHeight="true" outlineLevel="0" collapsed="false">
      <c r="A669" s="1" t="str">
        <f aca="false">IF(Suiza_DE_CN_ID!A19="","",IFERROR(INDEX(Mercados!$C$2:$C$32,MATCH(Suiza_DE_CN_ID!B19,Mercados!$A$2:$A$32,0)),"Revisar Tscode"))</f>
        <v/>
      </c>
      <c r="B669" s="1" t="str">
        <f aca="false">IF(Suiza_DE_CN_ID!A19="","",Suiza_DE_CN_ID!A19)</f>
        <v/>
      </c>
      <c r="C669" s="1" t="str">
        <f aca="false">IF(Suiza_DE_CN_ID!A19="","",Suiza_DE_CN_ID!C19)</f>
        <v/>
      </c>
      <c r="D669" s="1" t="str">
        <f aca="false">IF(Suiza_DE_CN_ID!A19="","",Suiza_DE_CN_ID!D19)</f>
        <v/>
      </c>
      <c r="E669" s="1" t="str">
        <f aca="false">IF(Suiza_DE_CN_ID!A19="","",Suiza_DE_CN_ID!E19)</f>
        <v/>
      </c>
      <c r="F669" s="1" t="str">
        <f aca="false">IF(Suiza_DE_CN_ID!A19="","",Suiza_DE_CN_ID!G19)</f>
        <v/>
      </c>
      <c r="I669" s="1" t="str">
        <f aca="false">IF(Suiza_DE_CN_ID!A19="","",Suiza_DE_CN_ID!H19)</f>
        <v/>
      </c>
      <c r="J669" s="1" t="str">
        <f aca="false">IF(Suiza_DE_CN_ID!A19="","",Suiza_DE_CN_ID!I19)</f>
        <v/>
      </c>
      <c r="K669" s="1" t="str">
        <f aca="false">IF(Suiza_DE_CN_ID!A19="","",UPPER(Suiza_DE_CN_ID!J19))</f>
        <v/>
      </c>
      <c r="L669" s="1" t="str">
        <f aca="false">IF(Suiza_DE_CN_ID!A19="","",IFERROR(INDEX(Gamma_Catalogo!$D$3:$D$1451,MATCH(Suiza_DE_CN_ID!D19,Gamma_Catalogo!$A$3:$A$1451,0)),"Revisar Ip Code"))</f>
        <v/>
      </c>
      <c r="M669" s="1" t="str">
        <f aca="false">IF(Suiza_DE_CN_ID!A19="","",IFERROR(INDEX(Gamma_Catalogo!$C$3:$C$1451,MATCH(Suiza_DE_CN_ID!D19,Gamma_Catalogo!$A$3:$A$1451,0)),"Revisar Ip Code"))</f>
        <v/>
      </c>
      <c r="N669" s="1" t="str">
        <f aca="false">IF(Suiza_DE_CN_ID!A19="","",IFERROR(INDEX(Gamma_Catalogo!$E$3:$E$1451,MATCH(Suiza_DE_CN_ID!D19,Gamma_Catalogo!$A$3:$A$1451,0)),"Revisar Ip Code"))</f>
        <v/>
      </c>
      <c r="O669" s="1" t="str">
        <f aca="false">IF(Suiza_DE_CN_ID!A19="","","Suiza")</f>
        <v/>
      </c>
    </row>
    <row r="670" customFormat="false" ht="15" hidden="false" customHeight="true" outlineLevel="0" collapsed="false">
      <c r="A670" s="1" t="str">
        <f aca="false">IF(Suiza_DE_CN_ID!A20="","",IFERROR(INDEX(Mercados!$C$2:$C$32,MATCH(Suiza_DE_CN_ID!B20,Mercados!$A$2:$A$32,0)),"Revisar Tscode"))</f>
        <v/>
      </c>
      <c r="B670" s="1" t="str">
        <f aca="false">IF(Suiza_DE_CN_ID!A20="","",Suiza_DE_CN_ID!A20)</f>
        <v/>
      </c>
      <c r="C670" s="1" t="str">
        <f aca="false">IF(Suiza_DE_CN_ID!A20="","",Suiza_DE_CN_ID!C20)</f>
        <v/>
      </c>
      <c r="D670" s="1" t="str">
        <f aca="false">IF(Suiza_DE_CN_ID!A20="","",Suiza_DE_CN_ID!D20)</f>
        <v/>
      </c>
      <c r="E670" s="1" t="str">
        <f aca="false">IF(Suiza_DE_CN_ID!A20="","",Suiza_DE_CN_ID!E20)</f>
        <v/>
      </c>
      <c r="F670" s="1" t="str">
        <f aca="false">IF(Suiza_DE_CN_ID!A20="","",Suiza_DE_CN_ID!G20)</f>
        <v/>
      </c>
      <c r="I670" s="1" t="str">
        <f aca="false">IF(Suiza_DE_CN_ID!A20="","",Suiza_DE_CN_ID!H20)</f>
        <v/>
      </c>
      <c r="J670" s="1" t="str">
        <f aca="false">IF(Suiza_DE_CN_ID!A20="","",Suiza_DE_CN_ID!I20)</f>
        <v/>
      </c>
      <c r="K670" s="1" t="str">
        <f aca="false">IF(Suiza_DE_CN_ID!A20="","",UPPER(Suiza_DE_CN_ID!J20))</f>
        <v/>
      </c>
      <c r="L670" s="1" t="str">
        <f aca="false">IF(Suiza_DE_CN_ID!A20="","",IFERROR(INDEX(Gamma_Catalogo!$D$3:$D$1451,MATCH(Suiza_DE_CN_ID!D20,Gamma_Catalogo!$A$3:$A$1451,0)),"Revisar Ip Code"))</f>
        <v/>
      </c>
      <c r="M670" s="1" t="str">
        <f aca="false">IF(Suiza_DE_CN_ID!A20="","",IFERROR(INDEX(Gamma_Catalogo!$C$3:$C$1451,MATCH(Suiza_DE_CN_ID!D20,Gamma_Catalogo!$A$3:$A$1451,0)),"Revisar Ip Code"))</f>
        <v/>
      </c>
      <c r="N670" s="1" t="str">
        <f aca="false">IF(Suiza_DE_CN_ID!A20="","",IFERROR(INDEX(Gamma_Catalogo!$E$3:$E$1451,MATCH(Suiza_DE_CN_ID!D20,Gamma_Catalogo!$A$3:$A$1451,0)),"Revisar Ip Code"))</f>
        <v/>
      </c>
      <c r="O670" s="1" t="str">
        <f aca="false">IF(Suiza_DE_CN_ID!A20="","","Suiza")</f>
        <v/>
      </c>
    </row>
    <row r="671" customFormat="false" ht="15" hidden="false" customHeight="true" outlineLevel="0" collapsed="false">
      <c r="A671" s="1" t="str">
        <f aca="false">IF(Suiza_DE_CN_ID!A21="","",IFERROR(INDEX(Mercados!$C$2:$C$32,MATCH(Suiza_DE_CN_ID!B21,Mercados!$A$2:$A$32,0)),"Revisar Tscode"))</f>
        <v/>
      </c>
      <c r="B671" s="1" t="str">
        <f aca="false">IF(Suiza_DE_CN_ID!A21="","",Suiza_DE_CN_ID!A21)</f>
        <v/>
      </c>
      <c r="C671" s="1" t="str">
        <f aca="false">IF(Suiza_DE_CN_ID!A21="","",Suiza_DE_CN_ID!C21)</f>
        <v/>
      </c>
      <c r="D671" s="1" t="str">
        <f aca="false">IF(Suiza_DE_CN_ID!A21="","",Suiza_DE_CN_ID!D21)</f>
        <v/>
      </c>
      <c r="E671" s="1" t="str">
        <f aca="false">IF(Suiza_DE_CN_ID!A21="","",Suiza_DE_CN_ID!E21)</f>
        <v/>
      </c>
      <c r="F671" s="1" t="str">
        <f aca="false">IF(Suiza_DE_CN_ID!A21="","",Suiza_DE_CN_ID!G21)</f>
        <v/>
      </c>
      <c r="I671" s="1" t="str">
        <f aca="false">IF(Suiza_DE_CN_ID!A21="","",Suiza_DE_CN_ID!H21)</f>
        <v/>
      </c>
      <c r="J671" s="1" t="str">
        <f aca="false">IF(Suiza_DE_CN_ID!A21="","",Suiza_DE_CN_ID!I21)</f>
        <v/>
      </c>
      <c r="K671" s="1" t="str">
        <f aca="false">IF(Suiza_DE_CN_ID!A21="","",UPPER(Suiza_DE_CN_ID!J21))</f>
        <v/>
      </c>
      <c r="L671" s="1" t="str">
        <f aca="false">IF(Suiza_DE_CN_ID!A21="","",IFERROR(INDEX(Gamma_Catalogo!$D$3:$D$1451,MATCH(Suiza_DE_CN_ID!D21,Gamma_Catalogo!$A$3:$A$1451,0)),"Revisar Ip Code"))</f>
        <v/>
      </c>
      <c r="M671" s="1" t="str">
        <f aca="false">IF(Suiza_DE_CN_ID!A21="","",IFERROR(INDEX(Gamma_Catalogo!$C$3:$C$1451,MATCH(Suiza_DE_CN_ID!D21,Gamma_Catalogo!$A$3:$A$1451,0)),"Revisar Ip Code"))</f>
        <v/>
      </c>
      <c r="N671" s="1" t="str">
        <f aca="false">IF(Suiza_DE_CN_ID!A21="","",IFERROR(INDEX(Gamma_Catalogo!$E$3:$E$1451,MATCH(Suiza_DE_CN_ID!D21,Gamma_Catalogo!$A$3:$A$1451,0)),"Revisar Ip Code"))</f>
        <v/>
      </c>
      <c r="O671" s="1" t="str">
        <f aca="false">IF(Suiza_DE_CN_ID!A21="","","Suiza")</f>
        <v/>
      </c>
    </row>
    <row r="672" customFormat="false" ht="15" hidden="false" customHeight="true" outlineLevel="0" collapsed="false">
      <c r="A672" s="1" t="str">
        <f aca="false">IF(Suiza_DE_CN_ID!A22="","",IFERROR(INDEX(Mercados!$C$2:$C$32,MATCH(Suiza_DE_CN_ID!B22,Mercados!$A$2:$A$32,0)),"Revisar Tscode"))</f>
        <v/>
      </c>
      <c r="B672" s="1" t="str">
        <f aca="false">IF(Suiza_DE_CN_ID!A22="","",Suiza_DE_CN_ID!A22)</f>
        <v/>
      </c>
      <c r="C672" s="1" t="str">
        <f aca="false">IF(Suiza_DE_CN_ID!A22="","",Suiza_DE_CN_ID!C22)</f>
        <v/>
      </c>
      <c r="D672" s="1" t="str">
        <f aca="false">IF(Suiza_DE_CN_ID!A22="","",Suiza_DE_CN_ID!D22)</f>
        <v/>
      </c>
      <c r="E672" s="1" t="str">
        <f aca="false">IF(Suiza_DE_CN_ID!A22="","",Suiza_DE_CN_ID!E22)</f>
        <v/>
      </c>
      <c r="F672" s="1" t="str">
        <f aca="false">IF(Suiza_DE_CN_ID!A22="","",Suiza_DE_CN_ID!G22)</f>
        <v/>
      </c>
      <c r="I672" s="1" t="str">
        <f aca="false">IF(Suiza_DE_CN_ID!A22="","",Suiza_DE_CN_ID!H22)</f>
        <v/>
      </c>
      <c r="J672" s="1" t="str">
        <f aca="false">IF(Suiza_DE_CN_ID!A22="","",Suiza_DE_CN_ID!I22)</f>
        <v/>
      </c>
      <c r="K672" s="1" t="str">
        <f aca="false">IF(Suiza_DE_CN_ID!A22="","",UPPER(Suiza_DE_CN_ID!J22))</f>
        <v/>
      </c>
      <c r="L672" s="1" t="str">
        <f aca="false">IF(Suiza_DE_CN_ID!A22="","",IFERROR(INDEX(Gamma_Catalogo!$D$3:$D$1451,MATCH(Suiza_DE_CN_ID!D22,Gamma_Catalogo!$A$3:$A$1451,0)),"Revisar Ip Code"))</f>
        <v/>
      </c>
      <c r="M672" s="1" t="str">
        <f aca="false">IF(Suiza_DE_CN_ID!A22="","",IFERROR(INDEX(Gamma_Catalogo!$C$3:$C$1451,MATCH(Suiza_DE_CN_ID!D22,Gamma_Catalogo!$A$3:$A$1451,0)),"Revisar Ip Code"))</f>
        <v/>
      </c>
      <c r="N672" s="1" t="str">
        <f aca="false">IF(Suiza_DE_CN_ID!A22="","",IFERROR(INDEX(Gamma_Catalogo!$E$3:$E$1451,MATCH(Suiza_DE_CN_ID!D22,Gamma_Catalogo!$A$3:$A$1451,0)),"Revisar Ip Code"))</f>
        <v/>
      </c>
      <c r="O672" s="1" t="str">
        <f aca="false">IF(Suiza_DE_CN_ID!A22="","","Suiza")</f>
        <v/>
      </c>
    </row>
    <row r="673" customFormat="false" ht="15" hidden="false" customHeight="true" outlineLevel="0" collapsed="false">
      <c r="A673" s="1" t="str">
        <f aca="false">IF(Suiza_DE_CN_ID!A23="","",IFERROR(INDEX(Mercados!$C$2:$C$32,MATCH(Suiza_DE_CN_ID!B23,Mercados!$A$2:$A$32,0)),"Revisar Tscode"))</f>
        <v/>
      </c>
      <c r="B673" s="1" t="str">
        <f aca="false">IF(Suiza_DE_CN_ID!A23="","",Suiza_DE_CN_ID!A23)</f>
        <v/>
      </c>
      <c r="C673" s="1" t="str">
        <f aca="false">IF(Suiza_DE_CN_ID!A23="","",Suiza_DE_CN_ID!C23)</f>
        <v/>
      </c>
      <c r="D673" s="1" t="str">
        <f aca="false">IF(Suiza_DE_CN_ID!A23="","",Suiza_DE_CN_ID!D23)</f>
        <v/>
      </c>
      <c r="E673" s="1" t="str">
        <f aca="false">IF(Suiza_DE_CN_ID!A23="","",Suiza_DE_CN_ID!E23)</f>
        <v/>
      </c>
      <c r="F673" s="1" t="str">
        <f aca="false">IF(Suiza_DE_CN_ID!A23="","",Suiza_DE_CN_ID!G23)</f>
        <v/>
      </c>
      <c r="I673" s="1" t="str">
        <f aca="false">IF(Suiza_DE_CN_ID!A23="","",Suiza_DE_CN_ID!H23)</f>
        <v/>
      </c>
      <c r="J673" s="1" t="str">
        <f aca="false">IF(Suiza_DE_CN_ID!A23="","",Suiza_DE_CN_ID!I23)</f>
        <v/>
      </c>
      <c r="K673" s="1" t="str">
        <f aca="false">IF(Suiza_DE_CN_ID!A23="","",UPPER(Suiza_DE_CN_ID!J23))</f>
        <v/>
      </c>
      <c r="L673" s="1" t="str">
        <f aca="false">IF(Suiza_DE_CN_ID!A23="","",IFERROR(INDEX(Gamma_Catalogo!$D$3:$D$1451,MATCH(Suiza_DE_CN_ID!D23,Gamma_Catalogo!$A$3:$A$1451,0)),"Revisar Ip Code"))</f>
        <v/>
      </c>
      <c r="M673" s="1" t="str">
        <f aca="false">IF(Suiza_DE_CN_ID!A23="","",IFERROR(INDEX(Gamma_Catalogo!$C$3:$C$1451,MATCH(Suiza_DE_CN_ID!D23,Gamma_Catalogo!$A$3:$A$1451,0)),"Revisar Ip Code"))</f>
        <v/>
      </c>
      <c r="N673" s="1" t="str">
        <f aca="false">IF(Suiza_DE_CN_ID!A23="","",IFERROR(INDEX(Gamma_Catalogo!$E$3:$E$1451,MATCH(Suiza_DE_CN_ID!D23,Gamma_Catalogo!$A$3:$A$1451,0)),"Revisar Ip Code"))</f>
        <v/>
      </c>
      <c r="O673" s="1" t="str">
        <f aca="false">IF(Suiza_DE_CN_ID!A23="","","Suiza")</f>
        <v/>
      </c>
    </row>
    <row r="674" customFormat="false" ht="15" hidden="false" customHeight="true" outlineLevel="0" collapsed="false">
      <c r="A674" s="1" t="str">
        <f aca="false">IF(Suiza_DE_CN_ID!A24="","",IFERROR(INDEX(Mercados!$C$2:$C$32,MATCH(Suiza_DE_CN_ID!B24,Mercados!$A$2:$A$32,0)),"Revisar Tscode"))</f>
        <v/>
      </c>
      <c r="B674" s="1" t="str">
        <f aca="false">IF(Suiza_DE_CN_ID!A24="","",Suiza_DE_CN_ID!A24)</f>
        <v/>
      </c>
      <c r="C674" s="1" t="str">
        <f aca="false">IF(Suiza_DE_CN_ID!A24="","",Suiza_DE_CN_ID!C24)</f>
        <v/>
      </c>
      <c r="D674" s="1" t="str">
        <f aca="false">IF(Suiza_DE_CN_ID!A24="","",Suiza_DE_CN_ID!D24)</f>
        <v/>
      </c>
      <c r="E674" s="1" t="str">
        <f aca="false">IF(Suiza_DE_CN_ID!A24="","",Suiza_DE_CN_ID!E24)</f>
        <v/>
      </c>
      <c r="F674" s="1" t="str">
        <f aca="false">IF(Suiza_DE_CN_ID!A24="","",Suiza_DE_CN_ID!G24)</f>
        <v/>
      </c>
      <c r="I674" s="1" t="str">
        <f aca="false">IF(Suiza_DE_CN_ID!A24="","",Suiza_DE_CN_ID!H24)</f>
        <v/>
      </c>
      <c r="J674" s="1" t="str">
        <f aca="false">IF(Suiza_DE_CN_ID!A24="","",Suiza_DE_CN_ID!I24)</f>
        <v/>
      </c>
      <c r="K674" s="1" t="str">
        <f aca="false">IF(Suiza_DE_CN_ID!A24="","",UPPER(Suiza_DE_CN_ID!J24))</f>
        <v/>
      </c>
      <c r="L674" s="1" t="str">
        <f aca="false">IF(Suiza_DE_CN_ID!A24="","",IFERROR(INDEX(Gamma_Catalogo!$D$3:$D$1451,MATCH(Suiza_DE_CN_ID!D24,Gamma_Catalogo!$A$3:$A$1451,0)),"Revisar Ip Code"))</f>
        <v/>
      </c>
      <c r="M674" s="1" t="str">
        <f aca="false">IF(Suiza_DE_CN_ID!A24="","",IFERROR(INDEX(Gamma_Catalogo!$C$3:$C$1451,MATCH(Suiza_DE_CN_ID!D24,Gamma_Catalogo!$A$3:$A$1451,0)),"Revisar Ip Code"))</f>
        <v/>
      </c>
      <c r="N674" s="1" t="str">
        <f aca="false">IF(Suiza_DE_CN_ID!A24="","",IFERROR(INDEX(Gamma_Catalogo!$E$3:$E$1451,MATCH(Suiza_DE_CN_ID!D24,Gamma_Catalogo!$A$3:$A$1451,0)),"Revisar Ip Code"))</f>
        <v/>
      </c>
      <c r="O674" s="1" t="str">
        <f aca="false">IF(Suiza_DE_CN_ID!A24="","","Suiza")</f>
        <v/>
      </c>
    </row>
    <row r="675" customFormat="false" ht="15" hidden="false" customHeight="true" outlineLevel="0" collapsed="false">
      <c r="A675" s="1" t="str">
        <f aca="false">IF(Suiza_DE_CN_ID!A25="","",IFERROR(INDEX(Mercados!$C$2:$C$32,MATCH(Suiza_DE_CN_ID!B25,Mercados!$A$2:$A$32,0)),"Revisar Tscode"))</f>
        <v/>
      </c>
      <c r="B675" s="1" t="str">
        <f aca="false">IF(Suiza_DE_CN_ID!A25="","",Suiza_DE_CN_ID!A25)</f>
        <v/>
      </c>
      <c r="C675" s="1" t="str">
        <f aca="false">IF(Suiza_DE_CN_ID!A25="","",Suiza_DE_CN_ID!C25)</f>
        <v/>
      </c>
      <c r="D675" s="1" t="str">
        <f aca="false">IF(Suiza_DE_CN_ID!A25="","",Suiza_DE_CN_ID!D25)</f>
        <v/>
      </c>
      <c r="E675" s="1" t="str">
        <f aca="false">IF(Suiza_DE_CN_ID!A25="","",Suiza_DE_CN_ID!E25)</f>
        <v/>
      </c>
      <c r="F675" s="1" t="str">
        <f aca="false">IF(Suiza_DE_CN_ID!A25="","",Suiza_DE_CN_ID!G25)</f>
        <v/>
      </c>
      <c r="I675" s="1" t="str">
        <f aca="false">IF(Suiza_DE_CN_ID!A25="","",Suiza_DE_CN_ID!H25)</f>
        <v/>
      </c>
      <c r="J675" s="1" t="str">
        <f aca="false">IF(Suiza_DE_CN_ID!A25="","",Suiza_DE_CN_ID!I25)</f>
        <v/>
      </c>
      <c r="K675" s="1" t="str">
        <f aca="false">IF(Suiza_DE_CN_ID!A25="","",UPPER(Suiza_DE_CN_ID!J25))</f>
        <v/>
      </c>
      <c r="L675" s="1" t="str">
        <f aca="false">IF(Suiza_DE_CN_ID!A25="","",IFERROR(INDEX(Gamma_Catalogo!$D$3:$D$1451,MATCH(Suiza_DE_CN_ID!D25,Gamma_Catalogo!$A$3:$A$1451,0)),"Revisar Ip Code"))</f>
        <v/>
      </c>
      <c r="M675" s="1" t="str">
        <f aca="false">IF(Suiza_DE_CN_ID!A25="","",IFERROR(INDEX(Gamma_Catalogo!$C$3:$C$1451,MATCH(Suiza_DE_CN_ID!D25,Gamma_Catalogo!$A$3:$A$1451,0)),"Revisar Ip Code"))</f>
        <v/>
      </c>
      <c r="N675" s="1" t="str">
        <f aca="false">IF(Suiza_DE_CN_ID!A25="","",IFERROR(INDEX(Gamma_Catalogo!$E$3:$E$1451,MATCH(Suiza_DE_CN_ID!D25,Gamma_Catalogo!$A$3:$A$1451,0)),"Revisar Ip Code"))</f>
        <v/>
      </c>
      <c r="O675" s="1" t="str">
        <f aca="false">IF(Suiza_DE_CN_ID!A25="","","Suiza")</f>
        <v/>
      </c>
    </row>
    <row r="676" customFormat="false" ht="15" hidden="false" customHeight="true" outlineLevel="0" collapsed="false">
      <c r="A676" s="1" t="str">
        <f aca="false">IF(Suiza_DE_CN_ID!A26="","",IFERROR(INDEX(Mercados!$C$2:$C$32,MATCH(Suiza_DE_CN_ID!B26,Mercados!$A$2:$A$32,0)),"Revisar Tscode"))</f>
        <v/>
      </c>
      <c r="B676" s="1" t="str">
        <f aca="false">IF(Suiza_DE_CN_ID!A26="","",Suiza_DE_CN_ID!A26)</f>
        <v/>
      </c>
      <c r="C676" s="1" t="str">
        <f aca="false">IF(Suiza_DE_CN_ID!A26="","",Suiza_DE_CN_ID!C26)</f>
        <v/>
      </c>
      <c r="D676" s="1" t="str">
        <f aca="false">IF(Suiza_DE_CN_ID!A26="","",Suiza_DE_CN_ID!D26)</f>
        <v/>
      </c>
      <c r="E676" s="1" t="str">
        <f aca="false">IF(Suiza_DE_CN_ID!A26="","",Suiza_DE_CN_ID!E26)</f>
        <v/>
      </c>
      <c r="F676" s="1" t="str">
        <f aca="false">IF(Suiza_DE_CN_ID!A26="","",Suiza_DE_CN_ID!G26)</f>
        <v/>
      </c>
      <c r="I676" s="1" t="str">
        <f aca="false">IF(Suiza_DE_CN_ID!A26="","",Suiza_DE_CN_ID!H26)</f>
        <v/>
      </c>
      <c r="J676" s="1" t="str">
        <f aca="false">IF(Suiza_DE_CN_ID!A26="","",Suiza_DE_CN_ID!I26)</f>
        <v/>
      </c>
      <c r="K676" s="1" t="str">
        <f aca="false">IF(Suiza_DE_CN_ID!A26="","",UPPER(Suiza_DE_CN_ID!J26))</f>
        <v/>
      </c>
      <c r="L676" s="1" t="str">
        <f aca="false">IF(Suiza_DE_CN_ID!A26="","",IFERROR(INDEX(Gamma_Catalogo!$D$3:$D$1451,MATCH(Suiza_DE_CN_ID!D26,Gamma_Catalogo!$A$3:$A$1451,0)),"Revisar Ip Code"))</f>
        <v/>
      </c>
      <c r="M676" s="1" t="str">
        <f aca="false">IF(Suiza_DE_CN_ID!A26="","",IFERROR(INDEX(Gamma_Catalogo!$C$3:$C$1451,MATCH(Suiza_DE_CN_ID!D26,Gamma_Catalogo!$A$3:$A$1451,0)),"Revisar Ip Code"))</f>
        <v/>
      </c>
      <c r="N676" s="1" t="str">
        <f aca="false">IF(Suiza_DE_CN_ID!A26="","",IFERROR(INDEX(Gamma_Catalogo!$E$3:$E$1451,MATCH(Suiza_DE_CN_ID!D26,Gamma_Catalogo!$A$3:$A$1451,0)),"Revisar Ip Code"))</f>
        <v/>
      </c>
      <c r="O676" s="1" t="str">
        <f aca="false">IF(Suiza_DE_CN_ID!A26="","","Suiza")</f>
        <v/>
      </c>
    </row>
    <row r="677" customFormat="false" ht="15" hidden="false" customHeight="true" outlineLevel="0" collapsed="false">
      <c r="A677" s="1" t="str">
        <f aca="false">IF(Suiza_DE_CN_ID!A27="","",IFERROR(INDEX(Mercados!$C$2:$C$32,MATCH(Suiza_DE_CN_ID!B27,Mercados!$A$2:$A$32,0)),"Revisar Tscode"))</f>
        <v/>
      </c>
      <c r="B677" s="1" t="str">
        <f aca="false">IF(Suiza_DE_CN_ID!A27="","",Suiza_DE_CN_ID!A27)</f>
        <v/>
      </c>
      <c r="C677" s="1" t="str">
        <f aca="false">IF(Suiza_DE_CN_ID!A27="","",Suiza_DE_CN_ID!C27)</f>
        <v/>
      </c>
      <c r="D677" s="1" t="str">
        <f aca="false">IF(Suiza_DE_CN_ID!A27="","",Suiza_DE_CN_ID!D27)</f>
        <v/>
      </c>
      <c r="E677" s="1" t="str">
        <f aca="false">IF(Suiza_DE_CN_ID!A27="","",Suiza_DE_CN_ID!E27)</f>
        <v/>
      </c>
      <c r="F677" s="1" t="str">
        <f aca="false">IF(Suiza_DE_CN_ID!A27="","",Suiza_DE_CN_ID!G27)</f>
        <v/>
      </c>
      <c r="I677" s="1" t="str">
        <f aca="false">IF(Suiza_DE_CN_ID!A27="","",Suiza_DE_CN_ID!H27)</f>
        <v/>
      </c>
      <c r="J677" s="1" t="str">
        <f aca="false">IF(Suiza_DE_CN_ID!A27="","",Suiza_DE_CN_ID!I27)</f>
        <v/>
      </c>
      <c r="K677" s="1" t="str">
        <f aca="false">IF(Suiza_DE_CN_ID!A27="","",UPPER(Suiza_DE_CN_ID!J27))</f>
        <v/>
      </c>
      <c r="L677" s="1" t="str">
        <f aca="false">IF(Suiza_DE_CN_ID!A27="","",IFERROR(INDEX(Gamma_Catalogo!$D$3:$D$1451,MATCH(Suiza_DE_CN_ID!D27,Gamma_Catalogo!$A$3:$A$1451,0)),"Revisar Ip Code"))</f>
        <v/>
      </c>
      <c r="M677" s="1" t="str">
        <f aca="false">IF(Suiza_DE_CN_ID!A27="","",IFERROR(INDEX(Gamma_Catalogo!$C$3:$C$1451,MATCH(Suiza_DE_CN_ID!D27,Gamma_Catalogo!$A$3:$A$1451,0)),"Revisar Ip Code"))</f>
        <v/>
      </c>
      <c r="N677" s="1" t="str">
        <f aca="false">IF(Suiza_DE_CN_ID!A27="","",IFERROR(INDEX(Gamma_Catalogo!$E$3:$E$1451,MATCH(Suiza_DE_CN_ID!D27,Gamma_Catalogo!$A$3:$A$1451,0)),"Revisar Ip Code"))</f>
        <v/>
      </c>
      <c r="O677" s="1" t="str">
        <f aca="false">IF(Suiza_DE_CN_ID!A27="","","Suiza")</f>
        <v/>
      </c>
    </row>
    <row r="678" customFormat="false" ht="15" hidden="false" customHeight="true" outlineLevel="0" collapsed="false">
      <c r="A678" s="1" t="str">
        <f aca="false">IF(Suiza_DE_CN_ID!A28="","",IFERROR(INDEX(Mercados!$C$2:$C$32,MATCH(Suiza_DE_CN_ID!B28,Mercados!$A$2:$A$32,0)),"Revisar Tscode"))</f>
        <v/>
      </c>
      <c r="B678" s="1" t="str">
        <f aca="false">IF(Suiza_DE_CN_ID!A28="","",Suiza_DE_CN_ID!A28)</f>
        <v/>
      </c>
      <c r="C678" s="1" t="str">
        <f aca="false">IF(Suiza_DE_CN_ID!A28="","",Suiza_DE_CN_ID!C28)</f>
        <v/>
      </c>
      <c r="D678" s="1" t="str">
        <f aca="false">IF(Suiza_DE_CN_ID!A28="","",Suiza_DE_CN_ID!D28)</f>
        <v/>
      </c>
      <c r="E678" s="1" t="str">
        <f aca="false">IF(Suiza_DE_CN_ID!A28="","",Suiza_DE_CN_ID!E28)</f>
        <v/>
      </c>
      <c r="F678" s="1" t="str">
        <f aca="false">IF(Suiza_DE_CN_ID!A28="","",Suiza_DE_CN_ID!G28)</f>
        <v/>
      </c>
      <c r="I678" s="1" t="str">
        <f aca="false">IF(Suiza_DE_CN_ID!A28="","",Suiza_DE_CN_ID!H28)</f>
        <v/>
      </c>
      <c r="J678" s="1" t="str">
        <f aca="false">IF(Suiza_DE_CN_ID!A28="","",Suiza_DE_CN_ID!I28)</f>
        <v/>
      </c>
      <c r="K678" s="1" t="str">
        <f aca="false">IF(Suiza_DE_CN_ID!A28="","",UPPER(Suiza_DE_CN_ID!J28))</f>
        <v/>
      </c>
      <c r="L678" s="1" t="str">
        <f aca="false">IF(Suiza_DE_CN_ID!A28="","",IFERROR(INDEX(Gamma_Catalogo!$D$3:$D$1451,MATCH(Suiza_DE_CN_ID!D28,Gamma_Catalogo!$A$3:$A$1451,0)),"Revisar Ip Code"))</f>
        <v/>
      </c>
      <c r="M678" s="1" t="str">
        <f aca="false">IF(Suiza_DE_CN_ID!A28="","",IFERROR(INDEX(Gamma_Catalogo!$C$3:$C$1451,MATCH(Suiza_DE_CN_ID!D28,Gamma_Catalogo!$A$3:$A$1451,0)),"Revisar Ip Code"))</f>
        <v/>
      </c>
      <c r="N678" s="1" t="str">
        <f aca="false">IF(Suiza_DE_CN_ID!A28="","",IFERROR(INDEX(Gamma_Catalogo!$E$3:$E$1451,MATCH(Suiza_DE_CN_ID!D28,Gamma_Catalogo!$A$3:$A$1451,0)),"Revisar Ip Code"))</f>
        <v/>
      </c>
      <c r="O678" s="1" t="str">
        <f aca="false">IF(Suiza_DE_CN_ID!A28="","","Suiza")</f>
        <v/>
      </c>
    </row>
    <row r="679" customFormat="false" ht="15" hidden="false" customHeight="true" outlineLevel="0" collapsed="false">
      <c r="A679" s="1" t="str">
        <f aca="false">IF(Suiza_DE_CN_ID!A29="","",IFERROR(INDEX(Mercados!$C$2:$C$32,MATCH(Suiza_DE_CN_ID!B29,Mercados!$A$2:$A$32,0)),"Revisar Tscode"))</f>
        <v/>
      </c>
      <c r="B679" s="1" t="str">
        <f aca="false">IF(Suiza_DE_CN_ID!A29="","",Suiza_DE_CN_ID!A29)</f>
        <v/>
      </c>
      <c r="C679" s="1" t="str">
        <f aca="false">IF(Suiza_DE_CN_ID!A29="","",Suiza_DE_CN_ID!C29)</f>
        <v/>
      </c>
      <c r="D679" s="1" t="str">
        <f aca="false">IF(Suiza_DE_CN_ID!A29="","",Suiza_DE_CN_ID!D29)</f>
        <v/>
      </c>
      <c r="E679" s="1" t="str">
        <f aca="false">IF(Suiza_DE_CN_ID!A29="","",Suiza_DE_CN_ID!E29)</f>
        <v/>
      </c>
      <c r="F679" s="1" t="str">
        <f aca="false">IF(Suiza_DE_CN_ID!A29="","",Suiza_DE_CN_ID!G29)</f>
        <v/>
      </c>
      <c r="I679" s="1" t="str">
        <f aca="false">IF(Suiza_DE_CN_ID!A29="","",Suiza_DE_CN_ID!H29)</f>
        <v/>
      </c>
      <c r="J679" s="1" t="str">
        <f aca="false">IF(Suiza_DE_CN_ID!A29="","",Suiza_DE_CN_ID!I29)</f>
        <v/>
      </c>
      <c r="K679" s="1" t="str">
        <f aca="false">IF(Suiza_DE_CN_ID!A29="","",UPPER(Suiza_DE_CN_ID!J29))</f>
        <v/>
      </c>
      <c r="L679" s="1" t="str">
        <f aca="false">IF(Suiza_DE_CN_ID!A29="","",IFERROR(INDEX(Gamma_Catalogo!$D$3:$D$1451,MATCH(Suiza_DE_CN_ID!D29,Gamma_Catalogo!$A$3:$A$1451,0)),"Revisar Ip Code"))</f>
        <v/>
      </c>
      <c r="M679" s="1" t="str">
        <f aca="false">IF(Suiza_DE_CN_ID!A29="","",IFERROR(INDEX(Gamma_Catalogo!$C$3:$C$1451,MATCH(Suiza_DE_CN_ID!D29,Gamma_Catalogo!$A$3:$A$1451,0)),"Revisar Ip Code"))</f>
        <v/>
      </c>
      <c r="N679" s="1" t="str">
        <f aca="false">IF(Suiza_DE_CN_ID!A29="","",IFERROR(INDEX(Gamma_Catalogo!$E$3:$E$1451,MATCH(Suiza_DE_CN_ID!D29,Gamma_Catalogo!$A$3:$A$1451,0)),"Revisar Ip Code"))</f>
        <v/>
      </c>
      <c r="O679" s="1" t="str">
        <f aca="false">IF(Suiza_DE_CN_ID!A29="","","Suiza")</f>
        <v/>
      </c>
    </row>
    <row r="680" customFormat="false" ht="15" hidden="false" customHeight="true" outlineLevel="0" collapsed="false">
      <c r="A680" s="1" t="str">
        <f aca="false">IF(Suiza_DE_CN_ID!A30="","",IFERROR(INDEX(Mercados!$C$2:$C$32,MATCH(Suiza_DE_CN_ID!B30,Mercados!$A$2:$A$32,0)),"Revisar Tscode"))</f>
        <v/>
      </c>
      <c r="B680" s="1" t="str">
        <f aca="false">IF(Suiza_DE_CN_ID!A30="","",Suiza_DE_CN_ID!A30)</f>
        <v/>
      </c>
      <c r="C680" s="1" t="str">
        <f aca="false">IF(Suiza_DE_CN_ID!A30="","",Suiza_DE_CN_ID!C30)</f>
        <v/>
      </c>
      <c r="D680" s="1" t="str">
        <f aca="false">IF(Suiza_DE_CN_ID!A30="","",Suiza_DE_CN_ID!D30)</f>
        <v/>
      </c>
      <c r="E680" s="1" t="str">
        <f aca="false">IF(Suiza_DE_CN_ID!A30="","",Suiza_DE_CN_ID!E30)</f>
        <v/>
      </c>
      <c r="F680" s="1" t="str">
        <f aca="false">IF(Suiza_DE_CN_ID!A30="","",Suiza_DE_CN_ID!G30)</f>
        <v/>
      </c>
      <c r="I680" s="1" t="str">
        <f aca="false">IF(Suiza_DE_CN_ID!A30="","",Suiza_DE_CN_ID!H30)</f>
        <v/>
      </c>
      <c r="J680" s="1" t="str">
        <f aca="false">IF(Suiza_DE_CN_ID!A30="","",Suiza_DE_CN_ID!I30)</f>
        <v/>
      </c>
      <c r="K680" s="1" t="str">
        <f aca="false">IF(Suiza_DE_CN_ID!A30="","",UPPER(Suiza_DE_CN_ID!J30))</f>
        <v/>
      </c>
      <c r="L680" s="1" t="str">
        <f aca="false">IF(Suiza_DE_CN_ID!A30="","",IFERROR(INDEX(Gamma_Catalogo!$D$3:$D$1451,MATCH(Suiza_DE_CN_ID!D30,Gamma_Catalogo!$A$3:$A$1451,0)),"Revisar Ip Code"))</f>
        <v/>
      </c>
      <c r="M680" s="1" t="str">
        <f aca="false">IF(Suiza_DE_CN_ID!A30="","",IFERROR(INDEX(Gamma_Catalogo!$C$3:$C$1451,MATCH(Suiza_DE_CN_ID!D30,Gamma_Catalogo!$A$3:$A$1451,0)),"Revisar Ip Code"))</f>
        <v/>
      </c>
      <c r="N680" s="1" t="str">
        <f aca="false">IF(Suiza_DE_CN_ID!A30="","",IFERROR(INDEX(Gamma_Catalogo!$E$3:$E$1451,MATCH(Suiza_DE_CN_ID!D30,Gamma_Catalogo!$A$3:$A$1451,0)),"Revisar Ip Code"))</f>
        <v/>
      </c>
      <c r="O680" s="1" t="str">
        <f aca="false">IF(Suiza_DE_CN_ID!A30="","","Suiza")</f>
        <v/>
      </c>
    </row>
    <row r="681" customFormat="false" ht="15" hidden="false" customHeight="true" outlineLevel="0" collapsed="false">
      <c r="A681" s="1" t="str">
        <f aca="false">IF(Suiza_DE_CN_ID!A31="","",IFERROR(INDEX(Mercados!$C$2:$C$32,MATCH(Suiza_DE_CN_ID!B31,Mercados!$A$2:$A$32,0)),"Revisar Tscode"))</f>
        <v/>
      </c>
      <c r="B681" s="1" t="str">
        <f aca="false">IF(Suiza_DE_CN_ID!A31="","",Suiza_DE_CN_ID!A31)</f>
        <v/>
      </c>
      <c r="C681" s="1" t="str">
        <f aca="false">IF(Suiza_DE_CN_ID!A31="","",Suiza_DE_CN_ID!C31)</f>
        <v/>
      </c>
      <c r="D681" s="1" t="str">
        <f aca="false">IF(Suiza_DE_CN_ID!A31="","",Suiza_DE_CN_ID!D31)</f>
        <v/>
      </c>
      <c r="E681" s="1" t="str">
        <f aca="false">IF(Suiza_DE_CN_ID!A31="","",Suiza_DE_CN_ID!E31)</f>
        <v/>
      </c>
      <c r="F681" s="1" t="str">
        <f aca="false">IF(Suiza_DE_CN_ID!A31="","",Suiza_DE_CN_ID!G31)</f>
        <v/>
      </c>
      <c r="I681" s="1" t="str">
        <f aca="false">IF(Suiza_DE_CN_ID!A31="","",Suiza_DE_CN_ID!H31)</f>
        <v/>
      </c>
      <c r="J681" s="1" t="str">
        <f aca="false">IF(Suiza_DE_CN_ID!A31="","",Suiza_DE_CN_ID!I31)</f>
        <v/>
      </c>
      <c r="K681" s="1" t="str">
        <f aca="false">IF(Suiza_DE_CN_ID!A31="","",UPPER(Suiza_DE_CN_ID!J31))</f>
        <v/>
      </c>
      <c r="L681" s="1" t="str">
        <f aca="false">IF(Suiza_DE_CN_ID!A31="","",IFERROR(INDEX(Gamma_Catalogo!$D$3:$D$1451,MATCH(Suiza_DE_CN_ID!D31,Gamma_Catalogo!$A$3:$A$1451,0)),"Revisar Ip Code"))</f>
        <v/>
      </c>
      <c r="M681" s="1" t="str">
        <f aca="false">IF(Suiza_DE_CN_ID!A31="","",IFERROR(INDEX(Gamma_Catalogo!$C$3:$C$1451,MATCH(Suiza_DE_CN_ID!D31,Gamma_Catalogo!$A$3:$A$1451,0)),"Revisar Ip Code"))</f>
        <v/>
      </c>
      <c r="N681" s="1" t="str">
        <f aca="false">IF(Suiza_DE_CN_ID!A31="","",IFERROR(INDEX(Gamma_Catalogo!$E$3:$E$1451,MATCH(Suiza_DE_CN_ID!D31,Gamma_Catalogo!$A$3:$A$1451,0)),"Revisar Ip Code"))</f>
        <v/>
      </c>
      <c r="O681" s="1" t="str">
        <f aca="false">IF(Suiza_DE_CN_ID!A31="","","Suiza")</f>
        <v/>
      </c>
    </row>
    <row r="682" customFormat="false" ht="15" hidden="false" customHeight="true" outlineLevel="0" collapsed="false">
      <c r="A682" s="1" t="str">
        <f aca="false">IF(Suiza_DE_CN_ID!A32="","",IFERROR(INDEX(Mercados!$C$2:$C$32,MATCH(Suiza_DE_CN_ID!B32,Mercados!$A$2:$A$32,0)),"Revisar Tscode"))</f>
        <v/>
      </c>
      <c r="B682" s="1" t="str">
        <f aca="false">IF(Suiza_DE_CN_ID!A32="","",Suiza_DE_CN_ID!A32)</f>
        <v/>
      </c>
      <c r="C682" s="1" t="str">
        <f aca="false">IF(Suiza_DE_CN_ID!A32="","",Suiza_DE_CN_ID!C32)</f>
        <v/>
      </c>
      <c r="D682" s="1" t="str">
        <f aca="false">IF(Suiza_DE_CN_ID!A32="","",Suiza_DE_CN_ID!D32)</f>
        <v/>
      </c>
      <c r="E682" s="1" t="str">
        <f aca="false">IF(Suiza_DE_CN_ID!A32="","",Suiza_DE_CN_ID!E32)</f>
        <v/>
      </c>
      <c r="F682" s="1" t="str">
        <f aca="false">IF(Suiza_DE_CN_ID!A32="","",Suiza_DE_CN_ID!G32)</f>
        <v/>
      </c>
      <c r="I682" s="1" t="str">
        <f aca="false">IF(Suiza_DE_CN_ID!A32="","",Suiza_DE_CN_ID!H32)</f>
        <v/>
      </c>
      <c r="J682" s="1" t="str">
        <f aca="false">IF(Suiza_DE_CN_ID!A32="","",Suiza_DE_CN_ID!I32)</f>
        <v/>
      </c>
      <c r="K682" s="1" t="str">
        <f aca="false">IF(Suiza_DE_CN_ID!A32="","",UPPER(Suiza_DE_CN_ID!J32))</f>
        <v/>
      </c>
      <c r="L682" s="1" t="str">
        <f aca="false">IF(Suiza_DE_CN_ID!A32="","",IFERROR(INDEX(Gamma_Catalogo!$D$3:$D$1451,MATCH(Suiza_DE_CN_ID!D32,Gamma_Catalogo!$A$3:$A$1451,0)),"Revisar Ip Code"))</f>
        <v/>
      </c>
      <c r="M682" s="1" t="str">
        <f aca="false">IF(Suiza_DE_CN_ID!A32="","",IFERROR(INDEX(Gamma_Catalogo!$C$3:$C$1451,MATCH(Suiza_DE_CN_ID!D32,Gamma_Catalogo!$A$3:$A$1451,0)),"Revisar Ip Code"))</f>
        <v/>
      </c>
      <c r="N682" s="1" t="str">
        <f aca="false">IF(Suiza_DE_CN_ID!A32="","",IFERROR(INDEX(Gamma_Catalogo!$E$3:$E$1451,MATCH(Suiza_DE_CN_ID!D32,Gamma_Catalogo!$A$3:$A$1451,0)),"Revisar Ip Code"))</f>
        <v/>
      </c>
      <c r="O682" s="1" t="str">
        <f aca="false">IF(Suiza_DE_CN_ID!A32="","","Suiza")</f>
        <v/>
      </c>
    </row>
    <row r="683" customFormat="false" ht="15" hidden="false" customHeight="true" outlineLevel="0" collapsed="false">
      <c r="A683" s="1" t="str">
        <f aca="false">IF(Suiza_DE_CN_ID!A33="","",IFERROR(INDEX(Mercados!$C$2:$C$32,MATCH(Suiza_DE_CN_ID!B33,Mercados!$A$2:$A$32,0)),"Revisar Tscode"))</f>
        <v/>
      </c>
      <c r="B683" s="1" t="str">
        <f aca="false">IF(Suiza_DE_CN_ID!A33="","",Suiza_DE_CN_ID!A33)</f>
        <v/>
      </c>
      <c r="C683" s="1" t="str">
        <f aca="false">IF(Suiza_DE_CN_ID!A33="","",Suiza_DE_CN_ID!C33)</f>
        <v/>
      </c>
      <c r="D683" s="1" t="str">
        <f aca="false">IF(Suiza_DE_CN_ID!A33="","",Suiza_DE_CN_ID!D33)</f>
        <v/>
      </c>
      <c r="E683" s="1" t="str">
        <f aca="false">IF(Suiza_DE_CN_ID!A33="","",Suiza_DE_CN_ID!E33)</f>
        <v/>
      </c>
      <c r="F683" s="1" t="str">
        <f aca="false">IF(Suiza_DE_CN_ID!A33="","",Suiza_DE_CN_ID!G33)</f>
        <v/>
      </c>
      <c r="I683" s="1" t="str">
        <f aca="false">IF(Suiza_DE_CN_ID!A33="","",Suiza_DE_CN_ID!H33)</f>
        <v/>
      </c>
      <c r="J683" s="1" t="str">
        <f aca="false">IF(Suiza_DE_CN_ID!A33="","",Suiza_DE_CN_ID!I33)</f>
        <v/>
      </c>
      <c r="K683" s="1" t="str">
        <f aca="false">IF(Suiza_DE_CN_ID!A33="","",UPPER(Suiza_DE_CN_ID!J33))</f>
        <v/>
      </c>
      <c r="L683" s="1" t="str">
        <f aca="false">IF(Suiza_DE_CN_ID!A33="","",IFERROR(INDEX(Gamma_Catalogo!$D$3:$D$1451,MATCH(Suiza_DE_CN_ID!D33,Gamma_Catalogo!$A$3:$A$1451,0)),"Revisar Ip Code"))</f>
        <v/>
      </c>
      <c r="M683" s="1" t="str">
        <f aca="false">IF(Suiza_DE_CN_ID!A33="","",IFERROR(INDEX(Gamma_Catalogo!$C$3:$C$1451,MATCH(Suiza_DE_CN_ID!D33,Gamma_Catalogo!$A$3:$A$1451,0)),"Revisar Ip Code"))</f>
        <v/>
      </c>
      <c r="N683" s="1" t="str">
        <f aca="false">IF(Suiza_DE_CN_ID!A33="","",IFERROR(INDEX(Gamma_Catalogo!$E$3:$E$1451,MATCH(Suiza_DE_CN_ID!D33,Gamma_Catalogo!$A$3:$A$1451,0)),"Revisar Ip Code"))</f>
        <v/>
      </c>
      <c r="O683" s="1" t="str">
        <f aca="false">IF(Suiza_DE_CN_ID!A33="","","Suiza")</f>
        <v/>
      </c>
    </row>
    <row r="684" customFormat="false" ht="15" hidden="false" customHeight="true" outlineLevel="0" collapsed="false">
      <c r="A684" s="1" t="str">
        <f aca="false">IF(Suiza_DE_CN_ID!A34="","",IFERROR(INDEX(Mercados!$C$2:$C$32,MATCH(Suiza_DE_CN_ID!B34,Mercados!$A$2:$A$32,0)),"Revisar Tscode"))</f>
        <v/>
      </c>
      <c r="B684" s="1" t="str">
        <f aca="false">IF(Suiza_DE_CN_ID!A34="","",Suiza_DE_CN_ID!A34)</f>
        <v/>
      </c>
      <c r="C684" s="1" t="str">
        <f aca="false">IF(Suiza_DE_CN_ID!A34="","",Suiza_DE_CN_ID!C34)</f>
        <v/>
      </c>
      <c r="D684" s="1" t="str">
        <f aca="false">IF(Suiza_DE_CN_ID!A34="","",Suiza_DE_CN_ID!D34)</f>
        <v/>
      </c>
      <c r="E684" s="1" t="str">
        <f aca="false">IF(Suiza_DE_CN_ID!A34="","",Suiza_DE_CN_ID!E34)</f>
        <v/>
      </c>
      <c r="F684" s="1" t="str">
        <f aca="false">IF(Suiza_DE_CN_ID!A34="","",Suiza_DE_CN_ID!G34)</f>
        <v/>
      </c>
      <c r="I684" s="1" t="str">
        <f aca="false">IF(Suiza_DE_CN_ID!A34="","",Suiza_DE_CN_ID!H34)</f>
        <v/>
      </c>
      <c r="J684" s="1" t="str">
        <f aca="false">IF(Suiza_DE_CN_ID!A34="","",Suiza_DE_CN_ID!I34)</f>
        <v/>
      </c>
      <c r="K684" s="1" t="str">
        <f aca="false">IF(Suiza_DE_CN_ID!A34="","",UPPER(Suiza_DE_CN_ID!J34))</f>
        <v/>
      </c>
      <c r="L684" s="1" t="str">
        <f aca="false">IF(Suiza_DE_CN_ID!A34="","",IFERROR(INDEX(Gamma_Catalogo!$D$3:$D$1451,MATCH(Suiza_DE_CN_ID!D34,Gamma_Catalogo!$A$3:$A$1451,0)),"Revisar Ip Code"))</f>
        <v/>
      </c>
      <c r="M684" s="1" t="str">
        <f aca="false">IF(Suiza_DE_CN_ID!A34="","",IFERROR(INDEX(Gamma_Catalogo!$C$3:$C$1451,MATCH(Suiza_DE_CN_ID!D34,Gamma_Catalogo!$A$3:$A$1451,0)),"Revisar Ip Code"))</f>
        <v/>
      </c>
      <c r="N684" s="1" t="str">
        <f aca="false">IF(Suiza_DE_CN_ID!A34="","",IFERROR(INDEX(Gamma_Catalogo!$E$3:$E$1451,MATCH(Suiza_DE_CN_ID!D34,Gamma_Catalogo!$A$3:$A$1451,0)),"Revisar Ip Code"))</f>
        <v/>
      </c>
      <c r="O684" s="1" t="str">
        <f aca="false">IF(Suiza_DE_CN_ID!A34="","","Suiza")</f>
        <v/>
      </c>
    </row>
    <row r="685" customFormat="false" ht="15" hidden="false" customHeight="true" outlineLevel="0" collapsed="false">
      <c r="A685" s="1" t="str">
        <f aca="false">IF(Suiza_DE_CN_ID!A35="","",IFERROR(INDEX(Mercados!$C$2:$C$32,MATCH(Suiza_DE_CN_ID!B35,Mercados!$A$2:$A$32,0)),"Revisar Tscode"))</f>
        <v/>
      </c>
      <c r="B685" s="1" t="str">
        <f aca="false">IF(Suiza_DE_CN_ID!A35="","",Suiza_DE_CN_ID!A35)</f>
        <v/>
      </c>
      <c r="C685" s="1" t="str">
        <f aca="false">IF(Suiza_DE_CN_ID!A35="","",Suiza_DE_CN_ID!C35)</f>
        <v/>
      </c>
      <c r="D685" s="1" t="str">
        <f aca="false">IF(Suiza_DE_CN_ID!A35="","",Suiza_DE_CN_ID!D35)</f>
        <v/>
      </c>
      <c r="E685" s="1" t="str">
        <f aca="false">IF(Suiza_DE_CN_ID!A35="","",Suiza_DE_CN_ID!E35)</f>
        <v/>
      </c>
      <c r="F685" s="1" t="str">
        <f aca="false">IF(Suiza_DE_CN_ID!A35="","",Suiza_DE_CN_ID!G35)</f>
        <v/>
      </c>
      <c r="I685" s="1" t="str">
        <f aca="false">IF(Suiza_DE_CN_ID!A35="","",Suiza_DE_CN_ID!H35)</f>
        <v/>
      </c>
      <c r="J685" s="1" t="str">
        <f aca="false">IF(Suiza_DE_CN_ID!A35="","",Suiza_DE_CN_ID!I35)</f>
        <v/>
      </c>
      <c r="K685" s="1" t="str">
        <f aca="false">IF(Suiza_DE_CN_ID!A35="","",UPPER(Suiza_DE_CN_ID!J35))</f>
        <v/>
      </c>
      <c r="L685" s="1" t="str">
        <f aca="false">IF(Suiza_DE_CN_ID!A35="","",IFERROR(INDEX(Gamma_Catalogo!$D$3:$D$1451,MATCH(Suiza_DE_CN_ID!D35,Gamma_Catalogo!$A$3:$A$1451,0)),"Revisar Ip Code"))</f>
        <v/>
      </c>
      <c r="M685" s="1" t="str">
        <f aca="false">IF(Suiza_DE_CN_ID!A35="","",IFERROR(INDEX(Gamma_Catalogo!$C$3:$C$1451,MATCH(Suiza_DE_CN_ID!D35,Gamma_Catalogo!$A$3:$A$1451,0)),"Revisar Ip Code"))</f>
        <v/>
      </c>
      <c r="N685" s="1" t="str">
        <f aca="false">IF(Suiza_DE_CN_ID!A35="","",IFERROR(INDEX(Gamma_Catalogo!$E$3:$E$1451,MATCH(Suiza_DE_CN_ID!D35,Gamma_Catalogo!$A$3:$A$1451,0)),"Revisar Ip Code"))</f>
        <v/>
      </c>
      <c r="O685" s="1" t="str">
        <f aca="false">IF(Suiza_DE_CN_ID!A35="","","Suiza")</f>
        <v/>
      </c>
    </row>
    <row r="686" customFormat="false" ht="15" hidden="false" customHeight="true" outlineLevel="0" collapsed="false">
      <c r="A686" s="1" t="str">
        <f aca="false">IF(Suiza_DE_CN_ID!A36="","",IFERROR(INDEX(Mercados!$C$2:$C$32,MATCH(Suiza_DE_CN_ID!B36,Mercados!$A$2:$A$32,0)),"Revisar Tscode"))</f>
        <v/>
      </c>
      <c r="B686" s="1" t="str">
        <f aca="false">IF(Suiza_DE_CN_ID!A36="","",Suiza_DE_CN_ID!A36)</f>
        <v/>
      </c>
      <c r="C686" s="1" t="str">
        <f aca="false">IF(Suiza_DE_CN_ID!A36="","",Suiza_DE_CN_ID!C36)</f>
        <v/>
      </c>
      <c r="D686" s="1" t="str">
        <f aca="false">IF(Suiza_DE_CN_ID!A36="","",Suiza_DE_CN_ID!D36)</f>
        <v/>
      </c>
      <c r="E686" s="1" t="str">
        <f aca="false">IF(Suiza_DE_CN_ID!A36="","",Suiza_DE_CN_ID!E36)</f>
        <v/>
      </c>
      <c r="F686" s="1" t="str">
        <f aca="false">IF(Suiza_DE_CN_ID!A36="","",Suiza_DE_CN_ID!G36)</f>
        <v/>
      </c>
      <c r="I686" s="1" t="str">
        <f aca="false">IF(Suiza_DE_CN_ID!A36="","",Suiza_DE_CN_ID!H36)</f>
        <v/>
      </c>
      <c r="J686" s="1" t="str">
        <f aca="false">IF(Suiza_DE_CN_ID!A36="","",Suiza_DE_CN_ID!I36)</f>
        <v/>
      </c>
      <c r="K686" s="1" t="str">
        <f aca="false">IF(Suiza_DE_CN_ID!A36="","",UPPER(Suiza_DE_CN_ID!J36))</f>
        <v/>
      </c>
      <c r="L686" s="1" t="str">
        <f aca="false">IF(Suiza_DE_CN_ID!A36="","",IFERROR(INDEX(Gamma_Catalogo!$D$3:$D$1451,MATCH(Suiza_DE_CN_ID!D36,Gamma_Catalogo!$A$3:$A$1451,0)),"Revisar Ip Code"))</f>
        <v/>
      </c>
      <c r="M686" s="1" t="str">
        <f aca="false">IF(Suiza_DE_CN_ID!A36="","",IFERROR(INDEX(Gamma_Catalogo!$C$3:$C$1451,MATCH(Suiza_DE_CN_ID!D36,Gamma_Catalogo!$A$3:$A$1451,0)),"Revisar Ip Code"))</f>
        <v/>
      </c>
      <c r="N686" s="1" t="str">
        <f aca="false">IF(Suiza_DE_CN_ID!A36="","",IFERROR(INDEX(Gamma_Catalogo!$E$3:$E$1451,MATCH(Suiza_DE_CN_ID!D36,Gamma_Catalogo!$A$3:$A$1451,0)),"Revisar Ip Code"))</f>
        <v/>
      </c>
      <c r="O686" s="1" t="str">
        <f aca="false">IF(Suiza_DE_CN_ID!A36="","","Suiza")</f>
        <v/>
      </c>
    </row>
    <row r="687" customFormat="false" ht="15" hidden="false" customHeight="true" outlineLevel="0" collapsed="false">
      <c r="A687" s="1" t="str">
        <f aca="false">IF(Suiza_DE_CN_ID!A37="","",IFERROR(INDEX(Mercados!$C$2:$C$32,MATCH(Suiza_DE_CN_ID!B37,Mercados!$A$2:$A$32,0)),"Revisar Tscode"))</f>
        <v/>
      </c>
      <c r="B687" s="1" t="str">
        <f aca="false">IF(Suiza_DE_CN_ID!A37="","",Suiza_DE_CN_ID!A37)</f>
        <v/>
      </c>
      <c r="C687" s="1" t="str">
        <f aca="false">IF(Suiza_DE_CN_ID!A37="","",Suiza_DE_CN_ID!C37)</f>
        <v/>
      </c>
      <c r="D687" s="1" t="str">
        <f aca="false">IF(Suiza_DE_CN_ID!A37="","",Suiza_DE_CN_ID!D37)</f>
        <v/>
      </c>
      <c r="E687" s="1" t="str">
        <f aca="false">IF(Suiza_DE_CN_ID!A37="","",Suiza_DE_CN_ID!E37)</f>
        <v/>
      </c>
      <c r="F687" s="1" t="str">
        <f aca="false">IF(Suiza_DE_CN_ID!A37="","",Suiza_DE_CN_ID!G37)</f>
        <v/>
      </c>
      <c r="I687" s="1" t="str">
        <f aca="false">IF(Suiza_DE_CN_ID!A37="","",Suiza_DE_CN_ID!H37)</f>
        <v/>
      </c>
      <c r="J687" s="1" t="str">
        <f aca="false">IF(Suiza_DE_CN_ID!A37="","",Suiza_DE_CN_ID!I37)</f>
        <v/>
      </c>
      <c r="K687" s="1" t="str">
        <f aca="false">IF(Suiza_DE_CN_ID!A37="","",UPPER(Suiza_DE_CN_ID!J37))</f>
        <v/>
      </c>
      <c r="L687" s="1" t="str">
        <f aca="false">IF(Suiza_DE_CN_ID!A37="","",IFERROR(INDEX(Gamma_Catalogo!$D$3:$D$1451,MATCH(Suiza_DE_CN_ID!D37,Gamma_Catalogo!$A$3:$A$1451,0)),"Revisar Ip Code"))</f>
        <v/>
      </c>
      <c r="M687" s="1" t="str">
        <f aca="false">IF(Suiza_DE_CN_ID!A37="","",IFERROR(INDEX(Gamma_Catalogo!$C$3:$C$1451,MATCH(Suiza_DE_CN_ID!D37,Gamma_Catalogo!$A$3:$A$1451,0)),"Revisar Ip Code"))</f>
        <v/>
      </c>
      <c r="N687" s="1" t="str">
        <f aca="false">IF(Suiza_DE_CN_ID!A37="","",IFERROR(INDEX(Gamma_Catalogo!$E$3:$E$1451,MATCH(Suiza_DE_CN_ID!D37,Gamma_Catalogo!$A$3:$A$1451,0)),"Revisar Ip Code"))</f>
        <v/>
      </c>
      <c r="O687" s="1" t="str">
        <f aca="false">IF(Suiza_DE_CN_ID!A37="","","Suiza")</f>
        <v/>
      </c>
    </row>
    <row r="688" customFormat="false" ht="15" hidden="false" customHeight="true" outlineLevel="0" collapsed="false">
      <c r="A688" s="1" t="str">
        <f aca="false">IF(Suiza_DE_CN_ID!A38="","",IFERROR(INDEX(Mercados!$C$2:$C$32,MATCH(Suiza_DE_CN_ID!B38,Mercados!$A$2:$A$32,0)),"Revisar Tscode"))</f>
        <v/>
      </c>
      <c r="B688" s="1" t="str">
        <f aca="false">IF(Suiza_DE_CN_ID!A38="","",Suiza_DE_CN_ID!A38)</f>
        <v/>
      </c>
      <c r="C688" s="1" t="str">
        <f aca="false">IF(Suiza_DE_CN_ID!A38="","",Suiza_DE_CN_ID!C38)</f>
        <v/>
      </c>
      <c r="D688" s="1" t="str">
        <f aca="false">IF(Suiza_DE_CN_ID!A38="","",Suiza_DE_CN_ID!D38)</f>
        <v/>
      </c>
      <c r="E688" s="1" t="str">
        <f aca="false">IF(Suiza_DE_CN_ID!A38="","",Suiza_DE_CN_ID!E38)</f>
        <v/>
      </c>
      <c r="F688" s="1" t="str">
        <f aca="false">IF(Suiza_DE_CN_ID!A38="","",Suiza_DE_CN_ID!G38)</f>
        <v/>
      </c>
      <c r="I688" s="1" t="str">
        <f aca="false">IF(Suiza_DE_CN_ID!A38="","",Suiza_DE_CN_ID!H38)</f>
        <v/>
      </c>
      <c r="J688" s="1" t="str">
        <f aca="false">IF(Suiza_DE_CN_ID!A38="","",Suiza_DE_CN_ID!I38)</f>
        <v/>
      </c>
      <c r="K688" s="1" t="str">
        <f aca="false">IF(Suiza_DE_CN_ID!A38="","",UPPER(Suiza_DE_CN_ID!J38))</f>
        <v/>
      </c>
      <c r="L688" s="1" t="str">
        <f aca="false">IF(Suiza_DE_CN_ID!A38="","",IFERROR(INDEX(Gamma_Catalogo!$D$3:$D$1451,MATCH(Suiza_DE_CN_ID!D38,Gamma_Catalogo!$A$3:$A$1451,0)),"Revisar Ip Code"))</f>
        <v/>
      </c>
      <c r="M688" s="1" t="str">
        <f aca="false">IF(Suiza_DE_CN_ID!A38="","",IFERROR(INDEX(Gamma_Catalogo!$C$3:$C$1451,MATCH(Suiza_DE_CN_ID!D38,Gamma_Catalogo!$A$3:$A$1451,0)),"Revisar Ip Code"))</f>
        <v/>
      </c>
      <c r="N688" s="1" t="str">
        <f aca="false">IF(Suiza_DE_CN_ID!A38="","",IFERROR(INDEX(Gamma_Catalogo!$E$3:$E$1451,MATCH(Suiza_DE_CN_ID!D38,Gamma_Catalogo!$A$3:$A$1451,0)),"Revisar Ip Code"))</f>
        <v/>
      </c>
      <c r="O688" s="1" t="str">
        <f aca="false">IF(Suiza_DE_CN_ID!A38="","","Suiza")</f>
        <v/>
      </c>
    </row>
    <row r="689" customFormat="false" ht="15" hidden="false" customHeight="true" outlineLevel="0" collapsed="false">
      <c r="A689" s="1" t="str">
        <f aca="false">IF(Suiza_DE_CN_ID!A39="","",IFERROR(INDEX(Mercados!$C$2:$C$32,MATCH(Suiza_DE_CN_ID!B39,Mercados!$A$2:$A$32,0)),"Revisar Tscode"))</f>
        <v/>
      </c>
      <c r="B689" s="1" t="str">
        <f aca="false">IF(Suiza_DE_CN_ID!A39="","",Suiza_DE_CN_ID!A39)</f>
        <v/>
      </c>
      <c r="C689" s="1" t="str">
        <f aca="false">IF(Suiza_DE_CN_ID!A39="","",Suiza_DE_CN_ID!C39)</f>
        <v/>
      </c>
      <c r="D689" s="1" t="str">
        <f aca="false">IF(Suiza_DE_CN_ID!A39="","",Suiza_DE_CN_ID!D39)</f>
        <v/>
      </c>
      <c r="E689" s="1" t="str">
        <f aca="false">IF(Suiza_DE_CN_ID!A39="","",Suiza_DE_CN_ID!E39)</f>
        <v/>
      </c>
      <c r="F689" s="1" t="str">
        <f aca="false">IF(Suiza_DE_CN_ID!A39="","",Suiza_DE_CN_ID!G39)</f>
        <v/>
      </c>
      <c r="I689" s="1" t="str">
        <f aca="false">IF(Suiza_DE_CN_ID!A39="","",Suiza_DE_CN_ID!H39)</f>
        <v/>
      </c>
      <c r="J689" s="1" t="str">
        <f aca="false">IF(Suiza_DE_CN_ID!A39="","",Suiza_DE_CN_ID!I39)</f>
        <v/>
      </c>
      <c r="K689" s="1" t="str">
        <f aca="false">IF(Suiza_DE_CN_ID!A39="","",UPPER(Suiza_DE_CN_ID!J39))</f>
        <v/>
      </c>
      <c r="L689" s="1" t="str">
        <f aca="false">IF(Suiza_DE_CN_ID!A39="","",IFERROR(INDEX(Gamma_Catalogo!$D$3:$D$1451,MATCH(Suiza_DE_CN_ID!D39,Gamma_Catalogo!$A$3:$A$1451,0)),"Revisar Ip Code"))</f>
        <v/>
      </c>
      <c r="M689" s="1" t="str">
        <f aca="false">IF(Suiza_DE_CN_ID!A39="","",IFERROR(INDEX(Gamma_Catalogo!$C$3:$C$1451,MATCH(Suiza_DE_CN_ID!D39,Gamma_Catalogo!$A$3:$A$1451,0)),"Revisar Ip Code"))</f>
        <v/>
      </c>
      <c r="N689" s="1" t="str">
        <f aca="false">IF(Suiza_DE_CN_ID!A39="","",IFERROR(INDEX(Gamma_Catalogo!$E$3:$E$1451,MATCH(Suiza_DE_CN_ID!D39,Gamma_Catalogo!$A$3:$A$1451,0)),"Revisar Ip Code"))</f>
        <v/>
      </c>
      <c r="O689" s="1" t="str">
        <f aca="false">IF(Suiza_DE_CN_ID!A39="","","Suiza")</f>
        <v/>
      </c>
    </row>
    <row r="690" customFormat="false" ht="15" hidden="false" customHeight="true" outlineLevel="0" collapsed="false">
      <c r="A690" s="1" t="str">
        <f aca="false">IF(Suiza_DE_CN_ID!A40="","",IFERROR(INDEX(Mercados!$C$2:$C$32,MATCH(Suiza_DE_CN_ID!B40,Mercados!$A$2:$A$32,0)),"Revisar Tscode"))</f>
        <v/>
      </c>
      <c r="B690" s="1" t="str">
        <f aca="false">IF(Suiza_DE_CN_ID!A40="","",Suiza_DE_CN_ID!A40)</f>
        <v/>
      </c>
      <c r="C690" s="1" t="str">
        <f aca="false">IF(Suiza_DE_CN_ID!A40="","",Suiza_DE_CN_ID!C40)</f>
        <v/>
      </c>
      <c r="D690" s="1" t="str">
        <f aca="false">IF(Suiza_DE_CN_ID!A40="","",Suiza_DE_CN_ID!D40)</f>
        <v/>
      </c>
      <c r="E690" s="1" t="str">
        <f aca="false">IF(Suiza_DE_CN_ID!A40="","",Suiza_DE_CN_ID!E40)</f>
        <v/>
      </c>
      <c r="F690" s="1" t="str">
        <f aca="false">IF(Suiza_DE_CN_ID!A40="","",Suiza_DE_CN_ID!G40)</f>
        <v/>
      </c>
      <c r="I690" s="1" t="str">
        <f aca="false">IF(Suiza_DE_CN_ID!A40="","",Suiza_DE_CN_ID!H40)</f>
        <v/>
      </c>
      <c r="J690" s="1" t="str">
        <f aca="false">IF(Suiza_DE_CN_ID!A40="","",Suiza_DE_CN_ID!I40)</f>
        <v/>
      </c>
      <c r="K690" s="1" t="str">
        <f aca="false">IF(Suiza_DE_CN_ID!A40="","",UPPER(Suiza_DE_CN_ID!J40))</f>
        <v/>
      </c>
      <c r="L690" s="1" t="str">
        <f aca="false">IF(Suiza_DE_CN_ID!A40="","",IFERROR(INDEX(Gamma_Catalogo!$D$3:$D$1451,MATCH(Suiza_DE_CN_ID!D40,Gamma_Catalogo!$A$3:$A$1451,0)),"Revisar Ip Code"))</f>
        <v/>
      </c>
      <c r="M690" s="1" t="str">
        <f aca="false">IF(Suiza_DE_CN_ID!A40="","",IFERROR(INDEX(Gamma_Catalogo!$C$3:$C$1451,MATCH(Suiza_DE_CN_ID!D40,Gamma_Catalogo!$A$3:$A$1451,0)),"Revisar Ip Code"))</f>
        <v/>
      </c>
      <c r="N690" s="1" t="str">
        <f aca="false">IF(Suiza_DE_CN_ID!A40="","",IFERROR(INDEX(Gamma_Catalogo!$E$3:$E$1451,MATCH(Suiza_DE_CN_ID!D40,Gamma_Catalogo!$A$3:$A$1451,0)),"Revisar Ip Code"))</f>
        <v/>
      </c>
      <c r="O690" s="1" t="str">
        <f aca="false">IF(Suiza_DE_CN_ID!A40="","","Suiza")</f>
        <v/>
      </c>
    </row>
    <row r="691" customFormat="false" ht="15" hidden="false" customHeight="true" outlineLevel="0" collapsed="false">
      <c r="A691" s="1" t="str">
        <f aca="false">IF(Suiza_DE_CN_ID!A41="","",IFERROR(INDEX(Mercados!$C$2:$C$32,MATCH(Suiza_DE_CN_ID!B41,Mercados!$A$2:$A$32,0)),"Revisar Tscode"))</f>
        <v/>
      </c>
      <c r="B691" s="1" t="str">
        <f aca="false">IF(Suiza_DE_CN_ID!A41="","",Suiza_DE_CN_ID!A41)</f>
        <v/>
      </c>
      <c r="C691" s="1" t="str">
        <f aca="false">IF(Suiza_DE_CN_ID!A41="","",Suiza_DE_CN_ID!C41)</f>
        <v/>
      </c>
      <c r="D691" s="1" t="str">
        <f aca="false">IF(Suiza_DE_CN_ID!A41="","",Suiza_DE_CN_ID!D41)</f>
        <v/>
      </c>
      <c r="E691" s="1" t="str">
        <f aca="false">IF(Suiza_DE_CN_ID!A41="","",Suiza_DE_CN_ID!E41)</f>
        <v/>
      </c>
      <c r="F691" s="1" t="str">
        <f aca="false">IF(Suiza_DE_CN_ID!A41="","",Suiza_DE_CN_ID!G41)</f>
        <v/>
      </c>
      <c r="I691" s="1" t="str">
        <f aca="false">IF(Suiza_DE_CN_ID!A41="","",Suiza_DE_CN_ID!H41)</f>
        <v/>
      </c>
      <c r="J691" s="1" t="str">
        <f aca="false">IF(Suiza_DE_CN_ID!A41="","",Suiza_DE_CN_ID!I41)</f>
        <v/>
      </c>
      <c r="K691" s="1" t="str">
        <f aca="false">IF(Suiza_DE_CN_ID!A41="","",UPPER(Suiza_DE_CN_ID!J41))</f>
        <v/>
      </c>
      <c r="L691" s="1" t="str">
        <f aca="false">IF(Suiza_DE_CN_ID!A41="","",IFERROR(INDEX(Gamma_Catalogo!$D$3:$D$1451,MATCH(Suiza_DE_CN_ID!D41,Gamma_Catalogo!$A$3:$A$1451,0)),"Revisar Ip Code"))</f>
        <v/>
      </c>
      <c r="M691" s="1" t="str">
        <f aca="false">IF(Suiza_DE_CN_ID!A41="","",IFERROR(INDEX(Gamma_Catalogo!$C$3:$C$1451,MATCH(Suiza_DE_CN_ID!D41,Gamma_Catalogo!$A$3:$A$1451,0)),"Revisar Ip Code"))</f>
        <v/>
      </c>
      <c r="N691" s="1" t="str">
        <f aca="false">IF(Suiza_DE_CN_ID!A41="","",IFERROR(INDEX(Gamma_Catalogo!$E$3:$E$1451,MATCH(Suiza_DE_CN_ID!D41,Gamma_Catalogo!$A$3:$A$1451,0)),"Revisar Ip Code"))</f>
        <v/>
      </c>
      <c r="O691" s="1" t="str">
        <f aca="false">IF(Suiza_DE_CN_ID!A41="","","Suiza")</f>
        <v/>
      </c>
    </row>
    <row r="692" customFormat="false" ht="15" hidden="false" customHeight="true" outlineLevel="0" collapsed="false">
      <c r="A692" s="1" t="str">
        <f aca="false">IF(Suiza_DE_CN_ID!A42="","",IFERROR(INDEX(Mercados!$C$2:$C$32,MATCH(Suiza_DE_CN_ID!B42,Mercados!$A$2:$A$32,0)),"Revisar Tscode"))</f>
        <v/>
      </c>
      <c r="B692" s="1" t="str">
        <f aca="false">IF(Suiza_DE_CN_ID!A42="","",Suiza_DE_CN_ID!A42)</f>
        <v/>
      </c>
      <c r="C692" s="1" t="str">
        <f aca="false">IF(Suiza_DE_CN_ID!A42="","",Suiza_DE_CN_ID!C42)</f>
        <v/>
      </c>
      <c r="D692" s="1" t="str">
        <f aca="false">IF(Suiza_DE_CN_ID!A42="","",Suiza_DE_CN_ID!D42)</f>
        <v/>
      </c>
      <c r="E692" s="1" t="str">
        <f aca="false">IF(Suiza_DE_CN_ID!A42="","",Suiza_DE_CN_ID!E42)</f>
        <v/>
      </c>
      <c r="F692" s="1" t="str">
        <f aca="false">IF(Suiza_DE_CN_ID!A42="","",Suiza_DE_CN_ID!G42)</f>
        <v/>
      </c>
      <c r="I692" s="1" t="str">
        <f aca="false">IF(Suiza_DE_CN_ID!A42="","",Suiza_DE_CN_ID!H42)</f>
        <v/>
      </c>
      <c r="J692" s="1" t="str">
        <f aca="false">IF(Suiza_DE_CN_ID!A42="","",Suiza_DE_CN_ID!I42)</f>
        <v/>
      </c>
      <c r="K692" s="1" t="str">
        <f aca="false">IF(Suiza_DE_CN_ID!A42="","",UPPER(Suiza_DE_CN_ID!J42))</f>
        <v/>
      </c>
      <c r="L692" s="1" t="str">
        <f aca="false">IF(Suiza_DE_CN_ID!A42="","",IFERROR(INDEX(Gamma_Catalogo!$D$3:$D$1451,MATCH(Suiza_DE_CN_ID!D42,Gamma_Catalogo!$A$3:$A$1451,0)),"Revisar Ip Code"))</f>
        <v/>
      </c>
      <c r="M692" s="1" t="str">
        <f aca="false">IF(Suiza_DE_CN_ID!A42="","",IFERROR(INDEX(Gamma_Catalogo!$C$3:$C$1451,MATCH(Suiza_DE_CN_ID!D42,Gamma_Catalogo!$A$3:$A$1451,0)),"Revisar Ip Code"))</f>
        <v/>
      </c>
      <c r="N692" s="1" t="str">
        <f aca="false">IF(Suiza_DE_CN_ID!A42="","",IFERROR(INDEX(Gamma_Catalogo!$E$3:$E$1451,MATCH(Suiza_DE_CN_ID!D42,Gamma_Catalogo!$A$3:$A$1451,0)),"Revisar Ip Code"))</f>
        <v/>
      </c>
      <c r="O692" s="1" t="str">
        <f aca="false">IF(Suiza_DE_CN_ID!A42="","","Suiza")</f>
        <v/>
      </c>
    </row>
    <row r="693" customFormat="false" ht="15" hidden="false" customHeight="true" outlineLevel="0" collapsed="false">
      <c r="A693" s="1" t="str">
        <f aca="false">IF(Suiza_DE_CN_ID!A43="","",IFERROR(INDEX(Mercados!$C$2:$C$32,MATCH(Suiza_DE_CN_ID!B43,Mercados!$A$2:$A$32,0)),"Revisar Tscode"))</f>
        <v/>
      </c>
      <c r="B693" s="1" t="str">
        <f aca="false">IF(Suiza_DE_CN_ID!A43="","",Suiza_DE_CN_ID!A43)</f>
        <v/>
      </c>
      <c r="C693" s="1" t="str">
        <f aca="false">IF(Suiza_DE_CN_ID!A43="","",Suiza_DE_CN_ID!C43)</f>
        <v/>
      </c>
      <c r="D693" s="1" t="str">
        <f aca="false">IF(Suiza_DE_CN_ID!A43="","",Suiza_DE_CN_ID!D43)</f>
        <v/>
      </c>
      <c r="E693" s="1" t="str">
        <f aca="false">IF(Suiza_DE_CN_ID!A43="","",Suiza_DE_CN_ID!E43)</f>
        <v/>
      </c>
      <c r="F693" s="1" t="str">
        <f aca="false">IF(Suiza_DE_CN_ID!A43="","",Suiza_DE_CN_ID!G43)</f>
        <v/>
      </c>
      <c r="I693" s="1" t="str">
        <f aca="false">IF(Suiza_DE_CN_ID!A43="","",Suiza_DE_CN_ID!H43)</f>
        <v/>
      </c>
      <c r="J693" s="1" t="str">
        <f aca="false">IF(Suiza_DE_CN_ID!A43="","",Suiza_DE_CN_ID!I43)</f>
        <v/>
      </c>
      <c r="K693" s="1" t="str">
        <f aca="false">IF(Suiza_DE_CN_ID!A43="","",UPPER(Suiza_DE_CN_ID!J43))</f>
        <v/>
      </c>
      <c r="L693" s="1" t="str">
        <f aca="false">IF(Suiza_DE_CN_ID!A43="","",IFERROR(INDEX(Gamma_Catalogo!$D$3:$D$1451,MATCH(Suiza_DE_CN_ID!D43,Gamma_Catalogo!$A$3:$A$1451,0)),"Revisar Ip Code"))</f>
        <v/>
      </c>
      <c r="M693" s="1" t="str">
        <f aca="false">IF(Suiza_DE_CN_ID!A43="","",IFERROR(INDEX(Gamma_Catalogo!$C$3:$C$1451,MATCH(Suiza_DE_CN_ID!D43,Gamma_Catalogo!$A$3:$A$1451,0)),"Revisar Ip Code"))</f>
        <v/>
      </c>
      <c r="N693" s="1" t="str">
        <f aca="false">IF(Suiza_DE_CN_ID!A43="","",IFERROR(INDEX(Gamma_Catalogo!$E$3:$E$1451,MATCH(Suiza_DE_CN_ID!D43,Gamma_Catalogo!$A$3:$A$1451,0)),"Revisar Ip Code"))</f>
        <v/>
      </c>
      <c r="O693" s="1" t="str">
        <f aca="false">IF(Suiza_DE_CN_ID!A43="","","Suiza")</f>
        <v/>
      </c>
    </row>
    <row r="694" customFormat="false" ht="15" hidden="false" customHeight="true" outlineLevel="0" collapsed="false">
      <c r="A694" s="1" t="str">
        <f aca="false">IF(Suiza_DE_CN_ID!A44="","",IFERROR(INDEX(Mercados!$C$2:$C$32,MATCH(Suiza_DE_CN_ID!B44,Mercados!$A$2:$A$32,0)),"Revisar Tscode"))</f>
        <v/>
      </c>
      <c r="B694" s="1" t="str">
        <f aca="false">IF(Suiza_DE_CN_ID!A44="","",Suiza_DE_CN_ID!A44)</f>
        <v/>
      </c>
      <c r="C694" s="1" t="str">
        <f aca="false">IF(Suiza_DE_CN_ID!A44="","",Suiza_DE_CN_ID!C44)</f>
        <v/>
      </c>
      <c r="D694" s="1" t="str">
        <f aca="false">IF(Suiza_DE_CN_ID!A44="","",Suiza_DE_CN_ID!D44)</f>
        <v/>
      </c>
      <c r="E694" s="1" t="str">
        <f aca="false">IF(Suiza_DE_CN_ID!A44="","",Suiza_DE_CN_ID!E44)</f>
        <v/>
      </c>
      <c r="F694" s="1" t="str">
        <f aca="false">IF(Suiza_DE_CN_ID!A44="","",Suiza_DE_CN_ID!G44)</f>
        <v/>
      </c>
      <c r="I694" s="1" t="str">
        <f aca="false">IF(Suiza_DE_CN_ID!A44="","",Suiza_DE_CN_ID!H44)</f>
        <v/>
      </c>
      <c r="J694" s="1" t="str">
        <f aca="false">IF(Suiza_DE_CN_ID!A44="","",Suiza_DE_CN_ID!I44)</f>
        <v/>
      </c>
      <c r="K694" s="1" t="str">
        <f aca="false">IF(Suiza_DE_CN_ID!A44="","",UPPER(Suiza_DE_CN_ID!J44))</f>
        <v/>
      </c>
      <c r="L694" s="1" t="str">
        <f aca="false">IF(Suiza_DE_CN_ID!A44="","",IFERROR(INDEX(Gamma_Catalogo!$D$3:$D$1451,MATCH(Suiza_DE_CN_ID!D44,Gamma_Catalogo!$A$3:$A$1451,0)),"Revisar Ip Code"))</f>
        <v/>
      </c>
      <c r="M694" s="1" t="str">
        <f aca="false">IF(Suiza_DE_CN_ID!A44="","",IFERROR(INDEX(Gamma_Catalogo!$C$3:$C$1451,MATCH(Suiza_DE_CN_ID!D44,Gamma_Catalogo!$A$3:$A$1451,0)),"Revisar Ip Code"))</f>
        <v/>
      </c>
      <c r="N694" s="1" t="str">
        <f aca="false">IF(Suiza_DE_CN_ID!A44="","",IFERROR(INDEX(Gamma_Catalogo!$E$3:$E$1451,MATCH(Suiza_DE_CN_ID!D44,Gamma_Catalogo!$A$3:$A$1451,0)),"Revisar Ip Code"))</f>
        <v/>
      </c>
      <c r="O694" s="1" t="str">
        <f aca="false">IF(Suiza_DE_CN_ID!A44="","","Suiza")</f>
        <v/>
      </c>
    </row>
    <row r="695" customFormat="false" ht="15" hidden="false" customHeight="true" outlineLevel="0" collapsed="false">
      <c r="A695" s="1" t="str">
        <f aca="false">IF(Suiza_DE_CN_ID!A45="","",IFERROR(INDEX(Mercados!$C$2:$C$32,MATCH(Suiza_DE_CN_ID!B45,Mercados!$A$2:$A$32,0)),"Revisar Tscode"))</f>
        <v/>
      </c>
      <c r="B695" s="1" t="str">
        <f aca="false">IF(Suiza_DE_CN_ID!A45="","",Suiza_DE_CN_ID!A45)</f>
        <v/>
      </c>
      <c r="C695" s="1" t="str">
        <f aca="false">IF(Suiza_DE_CN_ID!A45="","",Suiza_DE_CN_ID!C45)</f>
        <v/>
      </c>
      <c r="D695" s="1" t="str">
        <f aca="false">IF(Suiza_DE_CN_ID!A45="","",Suiza_DE_CN_ID!D45)</f>
        <v/>
      </c>
      <c r="E695" s="1" t="str">
        <f aca="false">IF(Suiza_DE_CN_ID!A45="","",Suiza_DE_CN_ID!E45)</f>
        <v/>
      </c>
      <c r="F695" s="1" t="str">
        <f aca="false">IF(Suiza_DE_CN_ID!A45="","",Suiza_DE_CN_ID!G45)</f>
        <v/>
      </c>
      <c r="I695" s="1" t="str">
        <f aca="false">IF(Suiza_DE_CN_ID!A45="","",Suiza_DE_CN_ID!H45)</f>
        <v/>
      </c>
      <c r="J695" s="1" t="str">
        <f aca="false">IF(Suiza_DE_CN_ID!A45="","",Suiza_DE_CN_ID!I45)</f>
        <v/>
      </c>
      <c r="K695" s="1" t="str">
        <f aca="false">IF(Suiza_DE_CN_ID!A45="","",UPPER(Suiza_DE_CN_ID!J45))</f>
        <v/>
      </c>
      <c r="L695" s="1" t="str">
        <f aca="false">IF(Suiza_DE_CN_ID!A45="","",IFERROR(INDEX(Gamma_Catalogo!$D$3:$D$1451,MATCH(Suiza_DE_CN_ID!D45,Gamma_Catalogo!$A$3:$A$1451,0)),"Revisar Ip Code"))</f>
        <v/>
      </c>
      <c r="M695" s="1" t="str">
        <f aca="false">IF(Suiza_DE_CN_ID!A45="","",IFERROR(INDEX(Gamma_Catalogo!$C$3:$C$1451,MATCH(Suiza_DE_CN_ID!D45,Gamma_Catalogo!$A$3:$A$1451,0)),"Revisar Ip Code"))</f>
        <v/>
      </c>
      <c r="N695" s="1" t="str">
        <f aca="false">IF(Suiza_DE_CN_ID!A45="","",IFERROR(INDEX(Gamma_Catalogo!$E$3:$E$1451,MATCH(Suiza_DE_CN_ID!D45,Gamma_Catalogo!$A$3:$A$1451,0)),"Revisar Ip Code"))</f>
        <v/>
      </c>
      <c r="O695" s="1" t="str">
        <f aca="false">IF(Suiza_DE_CN_ID!A45="","","Suiza")</f>
        <v/>
      </c>
    </row>
    <row r="696" customFormat="false" ht="15" hidden="false" customHeight="true" outlineLevel="0" collapsed="false">
      <c r="A696" s="1" t="str">
        <f aca="false">IF(Suiza_DE_CN_ID!A46="","",IFERROR(INDEX(Mercados!$C$2:$C$32,MATCH(Suiza_DE_CN_ID!B46,Mercados!$A$2:$A$32,0)),"Revisar Tscode"))</f>
        <v/>
      </c>
      <c r="B696" s="1" t="str">
        <f aca="false">IF(Suiza_DE_CN_ID!A46="","",Suiza_DE_CN_ID!A46)</f>
        <v/>
      </c>
      <c r="C696" s="1" t="str">
        <f aca="false">IF(Suiza_DE_CN_ID!A46="","",Suiza_DE_CN_ID!C46)</f>
        <v/>
      </c>
      <c r="D696" s="1" t="str">
        <f aca="false">IF(Suiza_DE_CN_ID!A46="","",Suiza_DE_CN_ID!D46)</f>
        <v/>
      </c>
      <c r="E696" s="1" t="str">
        <f aca="false">IF(Suiza_DE_CN_ID!A46="","",Suiza_DE_CN_ID!E46)</f>
        <v/>
      </c>
      <c r="F696" s="1" t="str">
        <f aca="false">IF(Suiza_DE_CN_ID!A46="","",Suiza_DE_CN_ID!G46)</f>
        <v/>
      </c>
      <c r="I696" s="1" t="str">
        <f aca="false">IF(Suiza_DE_CN_ID!A46="","",Suiza_DE_CN_ID!H46)</f>
        <v/>
      </c>
      <c r="J696" s="1" t="str">
        <f aca="false">IF(Suiza_DE_CN_ID!A46="","",Suiza_DE_CN_ID!I46)</f>
        <v/>
      </c>
      <c r="K696" s="1" t="str">
        <f aca="false">IF(Suiza_DE_CN_ID!A46="","",UPPER(Suiza_DE_CN_ID!J46))</f>
        <v/>
      </c>
      <c r="L696" s="1" t="str">
        <f aca="false">IF(Suiza_DE_CN_ID!A46="","",IFERROR(INDEX(Gamma_Catalogo!$D$3:$D$1451,MATCH(Suiza_DE_CN_ID!D46,Gamma_Catalogo!$A$3:$A$1451,0)),"Revisar Ip Code"))</f>
        <v/>
      </c>
      <c r="M696" s="1" t="str">
        <f aca="false">IF(Suiza_DE_CN_ID!A46="","",IFERROR(INDEX(Gamma_Catalogo!$C$3:$C$1451,MATCH(Suiza_DE_CN_ID!D46,Gamma_Catalogo!$A$3:$A$1451,0)),"Revisar Ip Code"))</f>
        <v/>
      </c>
      <c r="N696" s="1" t="str">
        <f aca="false">IF(Suiza_DE_CN_ID!A46="","",IFERROR(INDEX(Gamma_Catalogo!$E$3:$E$1451,MATCH(Suiza_DE_CN_ID!D46,Gamma_Catalogo!$A$3:$A$1451,0)),"Revisar Ip Code"))</f>
        <v/>
      </c>
      <c r="O696" s="1" t="str">
        <f aca="false">IF(Suiza_DE_CN_ID!A46="","","Suiza")</f>
        <v/>
      </c>
    </row>
    <row r="697" customFormat="false" ht="15" hidden="false" customHeight="true" outlineLevel="0" collapsed="false">
      <c r="A697" s="1" t="str">
        <f aca="false">IF(Suiza_DE_CN_ID!A47="","",IFERROR(INDEX(Mercados!$C$2:$C$32,MATCH(Suiza_DE_CN_ID!B47,Mercados!$A$2:$A$32,0)),"Revisar Tscode"))</f>
        <v/>
      </c>
      <c r="B697" s="1" t="str">
        <f aca="false">IF(Suiza_DE_CN_ID!A47="","",Suiza_DE_CN_ID!A47)</f>
        <v/>
      </c>
      <c r="C697" s="1" t="str">
        <f aca="false">IF(Suiza_DE_CN_ID!A47="","",Suiza_DE_CN_ID!C47)</f>
        <v/>
      </c>
      <c r="D697" s="1" t="str">
        <f aca="false">IF(Suiza_DE_CN_ID!A47="","",Suiza_DE_CN_ID!D47)</f>
        <v/>
      </c>
      <c r="E697" s="1" t="str">
        <f aca="false">IF(Suiza_DE_CN_ID!A47="","",Suiza_DE_CN_ID!E47)</f>
        <v/>
      </c>
      <c r="F697" s="1" t="str">
        <f aca="false">IF(Suiza_DE_CN_ID!A47="","",Suiza_DE_CN_ID!G47)</f>
        <v/>
      </c>
      <c r="I697" s="1" t="str">
        <f aca="false">IF(Suiza_DE_CN_ID!A47="","",Suiza_DE_CN_ID!H47)</f>
        <v/>
      </c>
      <c r="J697" s="1" t="str">
        <f aca="false">IF(Suiza_DE_CN_ID!A47="","",Suiza_DE_CN_ID!I47)</f>
        <v/>
      </c>
      <c r="K697" s="1" t="str">
        <f aca="false">IF(Suiza_DE_CN_ID!A47="","",UPPER(Suiza_DE_CN_ID!J47))</f>
        <v/>
      </c>
      <c r="L697" s="1" t="str">
        <f aca="false">IF(Suiza_DE_CN_ID!A47="","",IFERROR(INDEX(Gamma_Catalogo!$D$3:$D$1451,MATCH(Suiza_DE_CN_ID!D47,Gamma_Catalogo!$A$3:$A$1451,0)),"Revisar Ip Code"))</f>
        <v/>
      </c>
      <c r="M697" s="1" t="str">
        <f aca="false">IF(Suiza_DE_CN_ID!A47="","",IFERROR(INDEX(Gamma_Catalogo!$C$3:$C$1451,MATCH(Suiza_DE_CN_ID!D47,Gamma_Catalogo!$A$3:$A$1451,0)),"Revisar Ip Code"))</f>
        <v/>
      </c>
      <c r="N697" s="1" t="str">
        <f aca="false">IF(Suiza_DE_CN_ID!A47="","",IFERROR(INDEX(Gamma_Catalogo!$E$3:$E$1451,MATCH(Suiza_DE_CN_ID!D47,Gamma_Catalogo!$A$3:$A$1451,0)),"Revisar Ip Code"))</f>
        <v/>
      </c>
      <c r="O697" s="1" t="str">
        <f aca="false">IF(Suiza_DE_CN_ID!A47="","","Suiza")</f>
        <v/>
      </c>
    </row>
    <row r="698" customFormat="false" ht="15" hidden="false" customHeight="true" outlineLevel="0" collapsed="false">
      <c r="A698" s="1" t="str">
        <f aca="false">IF(Suiza_DE_CN_ID!A48="","",IFERROR(INDEX(Mercados!$C$2:$C$32,MATCH(Suiza_DE_CN_ID!B48,Mercados!$A$2:$A$32,0)),"Revisar Tscode"))</f>
        <v/>
      </c>
      <c r="B698" s="1" t="str">
        <f aca="false">IF(Suiza_DE_CN_ID!A48="","",Suiza_DE_CN_ID!A48)</f>
        <v/>
      </c>
      <c r="C698" s="1" t="str">
        <f aca="false">IF(Suiza_DE_CN_ID!A48="","",Suiza_DE_CN_ID!C48)</f>
        <v/>
      </c>
      <c r="D698" s="1" t="str">
        <f aca="false">IF(Suiza_DE_CN_ID!A48="","",Suiza_DE_CN_ID!D48)</f>
        <v/>
      </c>
      <c r="E698" s="1" t="str">
        <f aca="false">IF(Suiza_DE_CN_ID!A48="","",Suiza_DE_CN_ID!E48)</f>
        <v/>
      </c>
      <c r="F698" s="1" t="str">
        <f aca="false">IF(Suiza_DE_CN_ID!A48="","",Suiza_DE_CN_ID!G48)</f>
        <v/>
      </c>
      <c r="I698" s="1" t="str">
        <f aca="false">IF(Suiza_DE_CN_ID!A48="","",Suiza_DE_CN_ID!H48)</f>
        <v/>
      </c>
      <c r="J698" s="1" t="str">
        <f aca="false">IF(Suiza_DE_CN_ID!A48="","",Suiza_DE_CN_ID!I48)</f>
        <v/>
      </c>
      <c r="K698" s="1" t="str">
        <f aca="false">IF(Suiza_DE_CN_ID!A48="","",UPPER(Suiza_DE_CN_ID!J48))</f>
        <v/>
      </c>
      <c r="L698" s="1" t="str">
        <f aca="false">IF(Suiza_DE_CN_ID!A48="","",IFERROR(INDEX(Gamma_Catalogo!$D$3:$D$1451,MATCH(Suiza_DE_CN_ID!D48,Gamma_Catalogo!$A$3:$A$1451,0)),"Revisar Ip Code"))</f>
        <v/>
      </c>
      <c r="M698" s="1" t="str">
        <f aca="false">IF(Suiza_DE_CN_ID!A48="","",IFERROR(INDEX(Gamma_Catalogo!$C$3:$C$1451,MATCH(Suiza_DE_CN_ID!D48,Gamma_Catalogo!$A$3:$A$1451,0)),"Revisar Ip Code"))</f>
        <v/>
      </c>
      <c r="N698" s="1" t="str">
        <f aca="false">IF(Suiza_DE_CN_ID!A48="","",IFERROR(INDEX(Gamma_Catalogo!$E$3:$E$1451,MATCH(Suiza_DE_CN_ID!D48,Gamma_Catalogo!$A$3:$A$1451,0)),"Revisar Ip Code"))</f>
        <v/>
      </c>
      <c r="O698" s="1" t="str">
        <f aca="false">IF(Suiza_DE_CN_ID!A48="","","Suiza")</f>
        <v/>
      </c>
    </row>
    <row r="699" customFormat="false" ht="15" hidden="false" customHeight="true" outlineLevel="0" collapsed="false">
      <c r="A699" s="1" t="str">
        <f aca="false">IF(Suiza_DE_CN_ID!A49="","",IFERROR(INDEX(Mercados!$C$2:$C$32,MATCH(Suiza_DE_CN_ID!B49,Mercados!$A$2:$A$32,0)),"Revisar Tscode"))</f>
        <v/>
      </c>
      <c r="B699" s="1" t="str">
        <f aca="false">IF(Suiza_DE_CN_ID!A49="","",Suiza_DE_CN_ID!A49)</f>
        <v/>
      </c>
      <c r="C699" s="1" t="str">
        <f aca="false">IF(Suiza_DE_CN_ID!A49="","",Suiza_DE_CN_ID!C49)</f>
        <v/>
      </c>
      <c r="D699" s="1" t="str">
        <f aca="false">IF(Suiza_DE_CN_ID!A49="","",Suiza_DE_CN_ID!D49)</f>
        <v/>
      </c>
      <c r="E699" s="1" t="str">
        <f aca="false">IF(Suiza_DE_CN_ID!A49="","",Suiza_DE_CN_ID!E49)</f>
        <v/>
      </c>
      <c r="F699" s="1" t="str">
        <f aca="false">IF(Suiza_DE_CN_ID!A49="","",Suiza_DE_CN_ID!G49)</f>
        <v/>
      </c>
      <c r="I699" s="1" t="str">
        <f aca="false">IF(Suiza_DE_CN_ID!A49="","",Suiza_DE_CN_ID!H49)</f>
        <v/>
      </c>
      <c r="J699" s="1" t="str">
        <f aca="false">IF(Suiza_DE_CN_ID!A49="","",Suiza_DE_CN_ID!I49)</f>
        <v/>
      </c>
      <c r="K699" s="1" t="str">
        <f aca="false">IF(Suiza_DE_CN_ID!A49="","",UPPER(Suiza_DE_CN_ID!J49))</f>
        <v/>
      </c>
      <c r="L699" s="1" t="str">
        <f aca="false">IF(Suiza_DE_CN_ID!A49="","",IFERROR(INDEX(Gamma_Catalogo!$D$3:$D$1451,MATCH(Suiza_DE_CN_ID!D49,Gamma_Catalogo!$A$3:$A$1451,0)),"Revisar Ip Code"))</f>
        <v/>
      </c>
      <c r="M699" s="1" t="str">
        <f aca="false">IF(Suiza_DE_CN_ID!A49="","",IFERROR(INDEX(Gamma_Catalogo!$C$3:$C$1451,MATCH(Suiza_DE_CN_ID!D49,Gamma_Catalogo!$A$3:$A$1451,0)),"Revisar Ip Code"))</f>
        <v/>
      </c>
      <c r="N699" s="1" t="str">
        <f aca="false">IF(Suiza_DE_CN_ID!A49="","",IFERROR(INDEX(Gamma_Catalogo!$E$3:$E$1451,MATCH(Suiza_DE_CN_ID!D49,Gamma_Catalogo!$A$3:$A$1451,0)),"Revisar Ip Code"))</f>
        <v/>
      </c>
      <c r="O699" s="1" t="str">
        <f aca="false">IF(Suiza_DE_CN_ID!A49="","","Suiza")</f>
        <v/>
      </c>
    </row>
    <row r="700" customFormat="false" ht="15" hidden="false" customHeight="true" outlineLevel="0" collapsed="false">
      <c r="A700" s="1" t="str">
        <f aca="false">IF(Suiza_DE_CN_ID!A50="","",IFERROR(INDEX(Mercados!$C$2:$C$32,MATCH(Suiza_DE_CN_ID!B50,Mercados!$A$2:$A$32,0)),"Revisar Tscode"))</f>
        <v/>
      </c>
      <c r="B700" s="1" t="str">
        <f aca="false">IF(Suiza_DE_CN_ID!A50="","",Suiza_DE_CN_ID!A50)</f>
        <v/>
      </c>
      <c r="C700" s="1" t="str">
        <f aca="false">IF(Suiza_DE_CN_ID!A50="","",Suiza_DE_CN_ID!C50)</f>
        <v/>
      </c>
      <c r="D700" s="1" t="str">
        <f aca="false">IF(Suiza_DE_CN_ID!A50="","",Suiza_DE_CN_ID!D50)</f>
        <v/>
      </c>
      <c r="E700" s="1" t="str">
        <f aca="false">IF(Suiza_DE_CN_ID!A50="","",Suiza_DE_CN_ID!E50)</f>
        <v/>
      </c>
      <c r="F700" s="1" t="str">
        <f aca="false">IF(Suiza_DE_CN_ID!A50="","",Suiza_DE_CN_ID!G50)</f>
        <v/>
      </c>
      <c r="I700" s="1" t="str">
        <f aca="false">IF(Suiza_DE_CN_ID!A50="","",Suiza_DE_CN_ID!H50)</f>
        <v/>
      </c>
      <c r="J700" s="1" t="str">
        <f aca="false">IF(Suiza_DE_CN_ID!A50="","",Suiza_DE_CN_ID!I50)</f>
        <v/>
      </c>
      <c r="K700" s="1" t="str">
        <f aca="false">IF(Suiza_DE_CN_ID!A50="","",UPPER(Suiza_DE_CN_ID!J50))</f>
        <v/>
      </c>
      <c r="L700" s="1" t="str">
        <f aca="false">IF(Suiza_DE_CN_ID!A50="","",IFERROR(INDEX(Gamma_Catalogo!$D$3:$D$1451,MATCH(Suiza_DE_CN_ID!D50,Gamma_Catalogo!$A$3:$A$1451,0)),"Revisar Ip Code"))</f>
        <v/>
      </c>
      <c r="M700" s="1" t="str">
        <f aca="false">IF(Suiza_DE_CN_ID!A50="","",IFERROR(INDEX(Gamma_Catalogo!$C$3:$C$1451,MATCH(Suiza_DE_CN_ID!D50,Gamma_Catalogo!$A$3:$A$1451,0)),"Revisar Ip Code"))</f>
        <v/>
      </c>
      <c r="N700" s="1" t="str">
        <f aca="false">IF(Suiza_DE_CN_ID!A50="","",IFERROR(INDEX(Gamma_Catalogo!$E$3:$E$1451,MATCH(Suiza_DE_CN_ID!D50,Gamma_Catalogo!$A$3:$A$1451,0)),"Revisar Ip Code"))</f>
        <v/>
      </c>
      <c r="O700" s="1" t="str">
        <f aca="false">IF(Suiza_DE_CN_ID!A50="","","Suiza")</f>
        <v/>
      </c>
    </row>
    <row r="701" customFormat="false" ht="15" hidden="false" customHeight="true" outlineLevel="0" collapsed="false">
      <c r="A701" s="1" t="str">
        <f aca="false">IF(Suiza_DE_CN_ID!A51="","",IFERROR(INDEX(Mercados!$C$2:$C$32,MATCH(Suiza_DE_CN_ID!B51,Mercados!$A$2:$A$32,0)),"Revisar Tscode"))</f>
        <v/>
      </c>
      <c r="B701" s="1" t="str">
        <f aca="false">IF(Suiza_DE_CN_ID!A51="","",Suiza_DE_CN_ID!A51)</f>
        <v/>
      </c>
      <c r="C701" s="1" t="str">
        <f aca="false">IF(Suiza_DE_CN_ID!A51="","",Suiza_DE_CN_ID!C51)</f>
        <v/>
      </c>
      <c r="D701" s="1" t="str">
        <f aca="false">IF(Suiza_DE_CN_ID!A51="","",Suiza_DE_CN_ID!D51)</f>
        <v/>
      </c>
      <c r="E701" s="1" t="str">
        <f aca="false">IF(Suiza_DE_CN_ID!A51="","",Suiza_DE_CN_ID!E51)</f>
        <v/>
      </c>
      <c r="F701" s="1" t="str">
        <f aca="false">IF(Suiza_DE_CN_ID!A51="","",Suiza_DE_CN_ID!G51)</f>
        <v/>
      </c>
      <c r="I701" s="1" t="str">
        <f aca="false">IF(Suiza_DE_CN_ID!A51="","",Suiza_DE_CN_ID!H51)</f>
        <v/>
      </c>
      <c r="J701" s="1" t="str">
        <f aca="false">IF(Suiza_DE_CN_ID!A51="","",Suiza_DE_CN_ID!I51)</f>
        <v/>
      </c>
      <c r="K701" s="1" t="str">
        <f aca="false">IF(Suiza_DE_CN_ID!A51="","",UPPER(Suiza_DE_CN_ID!J51))</f>
        <v/>
      </c>
      <c r="L701" s="1" t="str">
        <f aca="false">IF(Suiza_DE_CN_ID!A51="","",IFERROR(INDEX(Gamma_Catalogo!$D$3:$D$1451,MATCH(Suiza_DE_CN_ID!D51,Gamma_Catalogo!$A$3:$A$1451,0)),"Revisar Ip Code"))</f>
        <v/>
      </c>
      <c r="M701" s="1" t="str">
        <f aca="false">IF(Suiza_DE_CN_ID!A51="","",IFERROR(INDEX(Gamma_Catalogo!$C$3:$C$1451,MATCH(Suiza_DE_CN_ID!D51,Gamma_Catalogo!$A$3:$A$1451,0)),"Revisar Ip Code"))</f>
        <v/>
      </c>
      <c r="N701" s="1" t="str">
        <f aca="false">IF(Suiza_DE_CN_ID!A51="","",IFERROR(INDEX(Gamma_Catalogo!$E$3:$E$1451,MATCH(Suiza_DE_CN_ID!D51,Gamma_Catalogo!$A$3:$A$1451,0)),"Revisar Ip Code"))</f>
        <v/>
      </c>
      <c r="O701" s="1" t="str">
        <f aca="false">IF(Suiza_DE_CN_ID!A51="","","Suiza")</f>
        <v/>
      </c>
    </row>
    <row r="702" customFormat="false" ht="15" hidden="false" customHeight="true" outlineLevel="0" collapsed="false">
      <c r="A702" s="1" t="str">
        <f aca="false">IF(Suiza_DE_CN_ID!A52="","",IFERROR(INDEX(Mercados!$C$2:$C$32,MATCH(Suiza_DE_CN_ID!B52,Mercados!$A$2:$A$32,0)),"Revisar Tscode"))</f>
        <v/>
      </c>
      <c r="B702" s="1" t="str">
        <f aca="false">IF(Suiza_DE_CN_ID!A52="","",Suiza_DE_CN_ID!A52)</f>
        <v/>
      </c>
      <c r="C702" s="1" t="str">
        <f aca="false">IF(Suiza_DE_CN_ID!A52="","",Suiza_DE_CN_ID!C52)</f>
        <v/>
      </c>
      <c r="D702" s="1" t="str">
        <f aca="false">IF(Suiza_DE_CN_ID!A52="","",Suiza_DE_CN_ID!D52)</f>
        <v/>
      </c>
      <c r="E702" s="1" t="str">
        <f aca="false">IF(Suiza_DE_CN_ID!A52="","",Suiza_DE_CN_ID!E52)</f>
        <v/>
      </c>
      <c r="F702" s="1" t="str">
        <f aca="false">IF(Suiza_DE_CN_ID!A52="","",Suiza_DE_CN_ID!G52)</f>
        <v/>
      </c>
      <c r="I702" s="1" t="str">
        <f aca="false">IF(Suiza_DE_CN_ID!A52="","",Suiza_DE_CN_ID!H52)</f>
        <v/>
      </c>
      <c r="J702" s="1" t="str">
        <f aca="false">IF(Suiza_DE_CN_ID!A52="","",Suiza_DE_CN_ID!I52)</f>
        <v/>
      </c>
      <c r="K702" s="1" t="str">
        <f aca="false">IF(Suiza_DE_CN_ID!A52="","",UPPER(Suiza_DE_CN_ID!J52))</f>
        <v/>
      </c>
      <c r="L702" s="1" t="str">
        <f aca="false">IF(Suiza_DE_CN_ID!A52="","",IFERROR(INDEX(Gamma_Catalogo!$D$3:$D$1451,MATCH(Suiza_DE_CN_ID!D52,Gamma_Catalogo!$A$3:$A$1451,0)),"Revisar Ip Code"))</f>
        <v/>
      </c>
      <c r="M702" s="1" t="str">
        <f aca="false">IF(Suiza_DE_CN_ID!A52="","",IFERROR(INDEX(Gamma_Catalogo!$C$3:$C$1451,MATCH(Suiza_DE_CN_ID!D52,Gamma_Catalogo!$A$3:$A$1451,0)),"Revisar Ip Code"))</f>
        <v/>
      </c>
      <c r="N702" s="1" t="str">
        <f aca="false">IF(Suiza_DE_CN_ID!A52="","",IFERROR(INDEX(Gamma_Catalogo!$E$3:$E$1451,MATCH(Suiza_DE_CN_ID!D52,Gamma_Catalogo!$A$3:$A$1451,0)),"Revisar Ip Code"))</f>
        <v/>
      </c>
      <c r="O702" s="1" t="str">
        <f aca="false">IF(Suiza_DE_CN_ID!A52="","","Suiza")</f>
        <v/>
      </c>
    </row>
    <row r="703" customFormat="false" ht="15" hidden="false" customHeight="true" outlineLevel="0" collapsed="false">
      <c r="A703" s="1" t="str">
        <f aca="false">IF(Suiza_DE_CN_ID!A53="","",IFERROR(INDEX(Mercados!$C$2:$C$32,MATCH(Suiza_DE_CN_ID!B53,Mercados!$A$2:$A$32,0)),"Revisar Tscode"))</f>
        <v/>
      </c>
      <c r="B703" s="1" t="str">
        <f aca="false">IF(Suiza_DE_CN_ID!A53="","",Suiza_DE_CN_ID!A53)</f>
        <v/>
      </c>
      <c r="C703" s="1" t="str">
        <f aca="false">IF(Suiza_DE_CN_ID!A53="","",Suiza_DE_CN_ID!C53)</f>
        <v/>
      </c>
      <c r="D703" s="1" t="str">
        <f aca="false">IF(Suiza_DE_CN_ID!A53="","",Suiza_DE_CN_ID!D53)</f>
        <v/>
      </c>
      <c r="E703" s="1" t="str">
        <f aca="false">IF(Suiza_DE_CN_ID!A53="","",Suiza_DE_CN_ID!E53)</f>
        <v/>
      </c>
      <c r="F703" s="1" t="str">
        <f aca="false">IF(Suiza_DE_CN_ID!A53="","",Suiza_DE_CN_ID!G53)</f>
        <v/>
      </c>
      <c r="I703" s="1" t="str">
        <f aca="false">IF(Suiza_DE_CN_ID!A53="","",Suiza_DE_CN_ID!H53)</f>
        <v/>
      </c>
      <c r="J703" s="1" t="str">
        <f aca="false">IF(Suiza_DE_CN_ID!A53="","",Suiza_DE_CN_ID!I53)</f>
        <v/>
      </c>
      <c r="K703" s="1" t="str">
        <f aca="false">IF(Suiza_DE_CN_ID!A53="","",UPPER(Suiza_DE_CN_ID!J53))</f>
        <v/>
      </c>
      <c r="L703" s="1" t="str">
        <f aca="false">IF(Suiza_DE_CN_ID!A53="","",IFERROR(INDEX(Gamma_Catalogo!$D$3:$D$1451,MATCH(Suiza_DE_CN_ID!D53,Gamma_Catalogo!$A$3:$A$1451,0)),"Revisar Ip Code"))</f>
        <v/>
      </c>
      <c r="M703" s="1" t="str">
        <f aca="false">IF(Suiza_DE_CN_ID!A53="","",IFERROR(INDEX(Gamma_Catalogo!$C$3:$C$1451,MATCH(Suiza_DE_CN_ID!D53,Gamma_Catalogo!$A$3:$A$1451,0)),"Revisar Ip Code"))</f>
        <v/>
      </c>
      <c r="N703" s="1" t="str">
        <f aca="false">IF(Suiza_DE_CN_ID!A53="","",IFERROR(INDEX(Gamma_Catalogo!$E$3:$E$1451,MATCH(Suiza_DE_CN_ID!D53,Gamma_Catalogo!$A$3:$A$1451,0)),"Revisar Ip Code"))</f>
        <v/>
      </c>
      <c r="O703" s="1" t="str">
        <f aca="false">IF(Suiza_DE_CN_ID!A53="","","Suiza")</f>
        <v/>
      </c>
    </row>
    <row r="704" customFormat="false" ht="15" hidden="false" customHeight="true" outlineLevel="0" collapsed="false">
      <c r="A704" s="1" t="str">
        <f aca="false">IF(Suiza_DE_CN_ID!A54="","",IFERROR(INDEX(Mercados!$C$2:$C$32,MATCH(Suiza_DE_CN_ID!B54,Mercados!$A$2:$A$32,0)),"Revisar Tscode"))</f>
        <v/>
      </c>
      <c r="B704" s="1" t="str">
        <f aca="false">IF(Suiza_DE_CN_ID!A54="","",Suiza_DE_CN_ID!A54)</f>
        <v/>
      </c>
      <c r="C704" s="1" t="str">
        <f aca="false">IF(Suiza_DE_CN_ID!A54="","",Suiza_DE_CN_ID!C54)</f>
        <v/>
      </c>
      <c r="D704" s="1" t="str">
        <f aca="false">IF(Suiza_DE_CN_ID!A54="","",Suiza_DE_CN_ID!D54)</f>
        <v/>
      </c>
      <c r="E704" s="1" t="str">
        <f aca="false">IF(Suiza_DE_CN_ID!A54="","",Suiza_DE_CN_ID!E54)</f>
        <v/>
      </c>
      <c r="F704" s="1" t="str">
        <f aca="false">IF(Suiza_DE_CN_ID!A54="","",Suiza_DE_CN_ID!G54)</f>
        <v/>
      </c>
      <c r="I704" s="1" t="str">
        <f aca="false">IF(Suiza_DE_CN_ID!A54="","",Suiza_DE_CN_ID!H54)</f>
        <v/>
      </c>
      <c r="J704" s="1" t="str">
        <f aca="false">IF(Suiza_DE_CN_ID!A54="","",Suiza_DE_CN_ID!I54)</f>
        <v/>
      </c>
      <c r="K704" s="1" t="str">
        <f aca="false">IF(Suiza_DE_CN_ID!A54="","",UPPER(Suiza_DE_CN_ID!J54))</f>
        <v/>
      </c>
      <c r="L704" s="1" t="str">
        <f aca="false">IF(Suiza_DE_CN_ID!A54="","",IFERROR(INDEX(Gamma_Catalogo!$D$3:$D$1451,MATCH(Suiza_DE_CN_ID!D54,Gamma_Catalogo!$A$3:$A$1451,0)),"Revisar Ip Code"))</f>
        <v/>
      </c>
      <c r="M704" s="1" t="str">
        <f aca="false">IF(Suiza_DE_CN_ID!A54="","",IFERROR(INDEX(Gamma_Catalogo!$C$3:$C$1451,MATCH(Suiza_DE_CN_ID!D54,Gamma_Catalogo!$A$3:$A$1451,0)),"Revisar Ip Code"))</f>
        <v/>
      </c>
      <c r="N704" s="1" t="str">
        <f aca="false">IF(Suiza_DE_CN_ID!A54="","",IFERROR(INDEX(Gamma_Catalogo!$E$3:$E$1451,MATCH(Suiza_DE_CN_ID!D54,Gamma_Catalogo!$A$3:$A$1451,0)),"Revisar Ip Code"))</f>
        <v/>
      </c>
      <c r="O704" s="1" t="str">
        <f aca="false">IF(Suiza_DE_CN_ID!A54="","","Suiza")</f>
        <v/>
      </c>
    </row>
    <row r="705" customFormat="false" ht="15" hidden="false" customHeight="true" outlineLevel="0" collapsed="false">
      <c r="A705" s="1" t="str">
        <f aca="false">IF(Suiza_DE_CN_ID!A55="","",IFERROR(INDEX(Mercados!$C$2:$C$32,MATCH(Suiza_DE_CN_ID!B55,Mercados!$A$2:$A$32,0)),"Revisar Tscode"))</f>
        <v/>
      </c>
      <c r="B705" s="1" t="str">
        <f aca="false">IF(Suiza_DE_CN_ID!A55="","",Suiza_DE_CN_ID!A55)</f>
        <v/>
      </c>
      <c r="C705" s="1" t="str">
        <f aca="false">IF(Suiza_DE_CN_ID!A55="","",Suiza_DE_CN_ID!C55)</f>
        <v/>
      </c>
      <c r="D705" s="1" t="str">
        <f aca="false">IF(Suiza_DE_CN_ID!A55="","",Suiza_DE_CN_ID!D55)</f>
        <v/>
      </c>
      <c r="E705" s="1" t="str">
        <f aca="false">IF(Suiza_DE_CN_ID!A55="","",Suiza_DE_CN_ID!E55)</f>
        <v/>
      </c>
      <c r="F705" s="1" t="str">
        <f aca="false">IF(Suiza_DE_CN_ID!A55="","",Suiza_DE_CN_ID!G55)</f>
        <v/>
      </c>
      <c r="I705" s="1" t="str">
        <f aca="false">IF(Suiza_DE_CN_ID!A55="","",Suiza_DE_CN_ID!H55)</f>
        <v/>
      </c>
      <c r="J705" s="1" t="str">
        <f aca="false">IF(Suiza_DE_CN_ID!A55="","",Suiza_DE_CN_ID!I55)</f>
        <v/>
      </c>
      <c r="K705" s="1" t="str">
        <f aca="false">IF(Suiza_DE_CN_ID!A55="","",UPPER(Suiza_DE_CN_ID!J55))</f>
        <v/>
      </c>
      <c r="L705" s="1" t="str">
        <f aca="false">IF(Suiza_DE_CN_ID!A55="","",IFERROR(INDEX(Gamma_Catalogo!$D$3:$D$1451,MATCH(Suiza_DE_CN_ID!D55,Gamma_Catalogo!$A$3:$A$1451,0)),"Revisar Ip Code"))</f>
        <v/>
      </c>
      <c r="M705" s="1" t="str">
        <f aca="false">IF(Suiza_DE_CN_ID!A55="","",IFERROR(INDEX(Gamma_Catalogo!$C$3:$C$1451,MATCH(Suiza_DE_CN_ID!D55,Gamma_Catalogo!$A$3:$A$1451,0)),"Revisar Ip Code"))</f>
        <v/>
      </c>
      <c r="N705" s="1" t="str">
        <f aca="false">IF(Suiza_DE_CN_ID!A55="","",IFERROR(INDEX(Gamma_Catalogo!$E$3:$E$1451,MATCH(Suiza_DE_CN_ID!D55,Gamma_Catalogo!$A$3:$A$1451,0)),"Revisar Ip Code"))</f>
        <v/>
      </c>
      <c r="O705" s="1" t="str">
        <f aca="false">IF(Suiza_DE_CN_ID!A55="","","Suiza")</f>
        <v/>
      </c>
    </row>
    <row r="706" customFormat="false" ht="15" hidden="false" customHeight="true" outlineLevel="0" collapsed="false">
      <c r="A706" s="1" t="str">
        <f aca="false">IF(Suiza_DE_CN_ID!A56="","",IFERROR(INDEX(Mercados!$C$2:$C$32,MATCH(Suiza_DE_CN_ID!B56,Mercados!$A$2:$A$32,0)),"Revisar Tscode"))</f>
        <v/>
      </c>
      <c r="B706" s="1" t="str">
        <f aca="false">IF(Suiza_DE_CN_ID!A56="","",Suiza_DE_CN_ID!A56)</f>
        <v/>
      </c>
      <c r="C706" s="1" t="str">
        <f aca="false">IF(Suiza_DE_CN_ID!A56="","",Suiza_DE_CN_ID!C56)</f>
        <v/>
      </c>
      <c r="D706" s="1" t="str">
        <f aca="false">IF(Suiza_DE_CN_ID!A56="","",Suiza_DE_CN_ID!D56)</f>
        <v/>
      </c>
      <c r="E706" s="1" t="str">
        <f aca="false">IF(Suiza_DE_CN_ID!A56="","",Suiza_DE_CN_ID!E56)</f>
        <v/>
      </c>
      <c r="F706" s="1" t="str">
        <f aca="false">IF(Suiza_DE_CN_ID!A56="","",Suiza_DE_CN_ID!G56)</f>
        <v/>
      </c>
      <c r="I706" s="1" t="str">
        <f aca="false">IF(Suiza_DE_CN_ID!A56="","",Suiza_DE_CN_ID!H56)</f>
        <v/>
      </c>
      <c r="J706" s="1" t="str">
        <f aca="false">IF(Suiza_DE_CN_ID!A56="","",Suiza_DE_CN_ID!I56)</f>
        <v/>
      </c>
      <c r="K706" s="1" t="str">
        <f aca="false">IF(Suiza_DE_CN_ID!A56="","",UPPER(Suiza_DE_CN_ID!J56))</f>
        <v/>
      </c>
      <c r="L706" s="1" t="str">
        <f aca="false">IF(Suiza_DE_CN_ID!A56="","",IFERROR(INDEX(Gamma_Catalogo!$D$3:$D$1451,MATCH(Suiza_DE_CN_ID!D56,Gamma_Catalogo!$A$3:$A$1451,0)),"Revisar Ip Code"))</f>
        <v/>
      </c>
      <c r="M706" s="1" t="str">
        <f aca="false">IF(Suiza_DE_CN_ID!A56="","",IFERROR(INDEX(Gamma_Catalogo!$C$3:$C$1451,MATCH(Suiza_DE_CN_ID!D56,Gamma_Catalogo!$A$3:$A$1451,0)),"Revisar Ip Code"))</f>
        <v/>
      </c>
      <c r="N706" s="1" t="str">
        <f aca="false">IF(Suiza_DE_CN_ID!A56="","",IFERROR(INDEX(Gamma_Catalogo!$E$3:$E$1451,MATCH(Suiza_DE_CN_ID!D56,Gamma_Catalogo!$A$3:$A$1451,0)),"Revisar Ip Code"))</f>
        <v/>
      </c>
      <c r="O706" s="1" t="str">
        <f aca="false">IF(Suiza_DE_CN_ID!A56="","","Suiza")</f>
        <v/>
      </c>
    </row>
    <row r="707" customFormat="false" ht="15" hidden="false" customHeight="true" outlineLevel="0" collapsed="false">
      <c r="A707" s="1" t="str">
        <f aca="false">IF(Suiza_DE_CN_ID!A57="","",IFERROR(INDEX(Mercados!$C$2:$C$32,MATCH(Suiza_DE_CN_ID!B57,Mercados!$A$2:$A$32,0)),"Revisar Tscode"))</f>
        <v/>
      </c>
      <c r="B707" s="1" t="str">
        <f aca="false">IF(Suiza_DE_CN_ID!A57="","",Suiza_DE_CN_ID!A57)</f>
        <v/>
      </c>
      <c r="C707" s="1" t="str">
        <f aca="false">IF(Suiza_DE_CN_ID!A57="","",Suiza_DE_CN_ID!C57)</f>
        <v/>
      </c>
      <c r="D707" s="1" t="str">
        <f aca="false">IF(Suiza_DE_CN_ID!A57="","",Suiza_DE_CN_ID!D57)</f>
        <v/>
      </c>
      <c r="E707" s="1" t="str">
        <f aca="false">IF(Suiza_DE_CN_ID!A57="","",Suiza_DE_CN_ID!E57)</f>
        <v/>
      </c>
      <c r="F707" s="1" t="str">
        <f aca="false">IF(Suiza_DE_CN_ID!A57="","",Suiza_DE_CN_ID!G57)</f>
        <v/>
      </c>
      <c r="I707" s="1" t="str">
        <f aca="false">IF(Suiza_DE_CN_ID!A57="","",Suiza_DE_CN_ID!H57)</f>
        <v/>
      </c>
      <c r="J707" s="1" t="str">
        <f aca="false">IF(Suiza_DE_CN_ID!A57="","",Suiza_DE_CN_ID!I57)</f>
        <v/>
      </c>
      <c r="K707" s="1" t="str">
        <f aca="false">IF(Suiza_DE_CN_ID!A57="","",UPPER(Suiza_DE_CN_ID!J57))</f>
        <v/>
      </c>
      <c r="L707" s="1" t="str">
        <f aca="false">IF(Suiza_DE_CN_ID!A57="","",IFERROR(INDEX(Gamma_Catalogo!$D$3:$D$1451,MATCH(Suiza_DE_CN_ID!D57,Gamma_Catalogo!$A$3:$A$1451,0)),"Revisar Ip Code"))</f>
        <v/>
      </c>
      <c r="M707" s="1" t="str">
        <f aca="false">IF(Suiza_DE_CN_ID!A57="","",IFERROR(INDEX(Gamma_Catalogo!$C$3:$C$1451,MATCH(Suiza_DE_CN_ID!D57,Gamma_Catalogo!$A$3:$A$1451,0)),"Revisar Ip Code"))</f>
        <v/>
      </c>
      <c r="N707" s="1" t="str">
        <f aca="false">IF(Suiza_DE_CN_ID!A57="","",IFERROR(INDEX(Gamma_Catalogo!$E$3:$E$1451,MATCH(Suiza_DE_CN_ID!D57,Gamma_Catalogo!$A$3:$A$1451,0)),"Revisar Ip Code"))</f>
        <v/>
      </c>
      <c r="O707" s="1" t="str">
        <f aca="false">IF(Suiza_DE_CN_ID!A57="","","Suiza")</f>
        <v/>
      </c>
    </row>
    <row r="708" customFormat="false" ht="15" hidden="false" customHeight="true" outlineLevel="0" collapsed="false">
      <c r="A708" s="1" t="str">
        <f aca="false">IF(Suiza_DE_CN_ID!A58="","",IFERROR(INDEX(Mercados!$C$2:$C$32,MATCH(Suiza_DE_CN_ID!B58,Mercados!$A$2:$A$32,0)),"Revisar Tscode"))</f>
        <v/>
      </c>
      <c r="B708" s="1" t="str">
        <f aca="false">IF(Suiza_DE_CN_ID!A58="","",Suiza_DE_CN_ID!A58)</f>
        <v/>
      </c>
      <c r="C708" s="1" t="str">
        <f aca="false">IF(Suiza_DE_CN_ID!A58="","",Suiza_DE_CN_ID!C58)</f>
        <v/>
      </c>
      <c r="D708" s="1" t="str">
        <f aca="false">IF(Suiza_DE_CN_ID!A58="","",Suiza_DE_CN_ID!D58)</f>
        <v/>
      </c>
      <c r="E708" s="1" t="str">
        <f aca="false">IF(Suiza_DE_CN_ID!A58="","",Suiza_DE_CN_ID!E58)</f>
        <v/>
      </c>
      <c r="F708" s="1" t="str">
        <f aca="false">IF(Suiza_DE_CN_ID!A58="","",Suiza_DE_CN_ID!G58)</f>
        <v/>
      </c>
      <c r="I708" s="1" t="str">
        <f aca="false">IF(Suiza_DE_CN_ID!A58="","",Suiza_DE_CN_ID!H58)</f>
        <v/>
      </c>
      <c r="J708" s="1" t="str">
        <f aca="false">IF(Suiza_DE_CN_ID!A58="","",Suiza_DE_CN_ID!I58)</f>
        <v/>
      </c>
      <c r="K708" s="1" t="str">
        <f aca="false">IF(Suiza_DE_CN_ID!A58="","",UPPER(Suiza_DE_CN_ID!J58))</f>
        <v/>
      </c>
      <c r="L708" s="1" t="str">
        <f aca="false">IF(Suiza_DE_CN_ID!A58="","",IFERROR(INDEX(Gamma_Catalogo!$D$3:$D$1451,MATCH(Suiza_DE_CN_ID!D58,Gamma_Catalogo!$A$3:$A$1451,0)),"Revisar Ip Code"))</f>
        <v/>
      </c>
      <c r="M708" s="1" t="str">
        <f aca="false">IF(Suiza_DE_CN_ID!A58="","",IFERROR(INDEX(Gamma_Catalogo!$C$3:$C$1451,MATCH(Suiza_DE_CN_ID!D58,Gamma_Catalogo!$A$3:$A$1451,0)),"Revisar Ip Code"))</f>
        <v/>
      </c>
      <c r="N708" s="1" t="str">
        <f aca="false">IF(Suiza_DE_CN_ID!A58="","",IFERROR(INDEX(Gamma_Catalogo!$E$3:$E$1451,MATCH(Suiza_DE_CN_ID!D58,Gamma_Catalogo!$A$3:$A$1451,0)),"Revisar Ip Code"))</f>
        <v/>
      </c>
      <c r="O708" s="1" t="str">
        <f aca="false">IF(Suiza_DE_CN_ID!A58="","","Suiza")</f>
        <v/>
      </c>
    </row>
    <row r="709" customFormat="false" ht="15" hidden="false" customHeight="true" outlineLevel="0" collapsed="false">
      <c r="A709" s="1" t="str">
        <f aca="false">IF(Suiza_DE_CN_ID!A59="","",IFERROR(INDEX(Mercados!$C$2:$C$32,MATCH(Suiza_DE_CN_ID!B59,Mercados!$A$2:$A$32,0)),"Revisar Tscode"))</f>
        <v/>
      </c>
      <c r="B709" s="1" t="str">
        <f aca="false">IF(Suiza_DE_CN_ID!A59="","",Suiza_DE_CN_ID!A59)</f>
        <v/>
      </c>
      <c r="C709" s="1" t="str">
        <f aca="false">IF(Suiza_DE_CN_ID!A59="","",Suiza_DE_CN_ID!C59)</f>
        <v/>
      </c>
      <c r="D709" s="1" t="str">
        <f aca="false">IF(Suiza_DE_CN_ID!A59="","",Suiza_DE_CN_ID!D59)</f>
        <v/>
      </c>
      <c r="E709" s="1" t="str">
        <f aca="false">IF(Suiza_DE_CN_ID!A59="","",Suiza_DE_CN_ID!E59)</f>
        <v/>
      </c>
      <c r="F709" s="1" t="str">
        <f aca="false">IF(Suiza_DE_CN_ID!A59="","",Suiza_DE_CN_ID!G59)</f>
        <v/>
      </c>
      <c r="I709" s="1" t="str">
        <f aca="false">IF(Suiza_DE_CN_ID!A59="","",Suiza_DE_CN_ID!H59)</f>
        <v/>
      </c>
      <c r="J709" s="1" t="str">
        <f aca="false">IF(Suiza_DE_CN_ID!A59="","",Suiza_DE_CN_ID!I59)</f>
        <v/>
      </c>
      <c r="K709" s="1" t="str">
        <f aca="false">IF(Suiza_DE_CN_ID!A59="","",UPPER(Suiza_DE_CN_ID!J59))</f>
        <v/>
      </c>
      <c r="L709" s="1" t="str">
        <f aca="false">IF(Suiza_DE_CN_ID!A59="","",IFERROR(INDEX(Gamma_Catalogo!$D$3:$D$1451,MATCH(Suiza_DE_CN_ID!D59,Gamma_Catalogo!$A$3:$A$1451,0)),"Revisar Ip Code"))</f>
        <v/>
      </c>
      <c r="M709" s="1" t="str">
        <f aca="false">IF(Suiza_DE_CN_ID!A59="","",IFERROR(INDEX(Gamma_Catalogo!$C$3:$C$1451,MATCH(Suiza_DE_CN_ID!D59,Gamma_Catalogo!$A$3:$A$1451,0)),"Revisar Ip Code"))</f>
        <v/>
      </c>
      <c r="N709" s="1" t="str">
        <f aca="false">IF(Suiza_DE_CN_ID!A59="","",IFERROR(INDEX(Gamma_Catalogo!$E$3:$E$1451,MATCH(Suiza_DE_CN_ID!D59,Gamma_Catalogo!$A$3:$A$1451,0)),"Revisar Ip Code"))</f>
        <v/>
      </c>
      <c r="O709" s="1" t="str">
        <f aca="false">IF(Suiza_DE_CN_ID!A59="","","Suiza")</f>
        <v/>
      </c>
    </row>
    <row r="710" customFormat="false" ht="15" hidden="false" customHeight="true" outlineLevel="0" collapsed="false">
      <c r="A710" s="1" t="str">
        <f aca="false">IF(Suiza_DE_CN_ID!A60="","",IFERROR(INDEX(Mercados!$C$2:$C$32,MATCH(Suiza_DE_CN_ID!B60,Mercados!$A$2:$A$32,0)),"Revisar Tscode"))</f>
        <v/>
      </c>
      <c r="B710" s="1" t="str">
        <f aca="false">IF(Suiza_DE_CN_ID!A60="","",Suiza_DE_CN_ID!A60)</f>
        <v/>
      </c>
      <c r="C710" s="1" t="str">
        <f aca="false">IF(Suiza_DE_CN_ID!A60="","",Suiza_DE_CN_ID!C60)</f>
        <v/>
      </c>
      <c r="D710" s="1" t="str">
        <f aca="false">IF(Suiza_DE_CN_ID!A60="","",Suiza_DE_CN_ID!D60)</f>
        <v/>
      </c>
      <c r="E710" s="1" t="str">
        <f aca="false">IF(Suiza_DE_CN_ID!A60="","",Suiza_DE_CN_ID!E60)</f>
        <v/>
      </c>
      <c r="F710" s="1" t="str">
        <f aca="false">IF(Suiza_DE_CN_ID!A60="","",Suiza_DE_CN_ID!G60)</f>
        <v/>
      </c>
      <c r="I710" s="1" t="str">
        <f aca="false">IF(Suiza_DE_CN_ID!A60="","",Suiza_DE_CN_ID!H60)</f>
        <v/>
      </c>
      <c r="J710" s="1" t="str">
        <f aca="false">IF(Suiza_DE_CN_ID!A60="","",Suiza_DE_CN_ID!I60)</f>
        <v/>
      </c>
      <c r="K710" s="1" t="str">
        <f aca="false">IF(Suiza_DE_CN_ID!A60="","",UPPER(Suiza_DE_CN_ID!J60))</f>
        <v/>
      </c>
      <c r="L710" s="1" t="str">
        <f aca="false">IF(Suiza_DE_CN_ID!A60="","",IFERROR(INDEX(Gamma_Catalogo!$D$3:$D$1451,MATCH(Suiza_DE_CN_ID!D60,Gamma_Catalogo!$A$3:$A$1451,0)),"Revisar Ip Code"))</f>
        <v/>
      </c>
      <c r="M710" s="1" t="str">
        <f aca="false">IF(Suiza_DE_CN_ID!A60="","",IFERROR(INDEX(Gamma_Catalogo!$C$3:$C$1451,MATCH(Suiza_DE_CN_ID!D60,Gamma_Catalogo!$A$3:$A$1451,0)),"Revisar Ip Code"))</f>
        <v/>
      </c>
      <c r="N710" s="1" t="str">
        <f aca="false">IF(Suiza_DE_CN_ID!A60="","",IFERROR(INDEX(Gamma_Catalogo!$E$3:$E$1451,MATCH(Suiza_DE_CN_ID!D60,Gamma_Catalogo!$A$3:$A$1451,0)),"Revisar Ip Code"))</f>
        <v/>
      </c>
      <c r="O710" s="1" t="str">
        <f aca="false">IF(Suiza_DE_CN_ID!A60="","","Suiza")</f>
        <v/>
      </c>
    </row>
    <row r="711" customFormat="false" ht="15" hidden="false" customHeight="true" outlineLevel="0" collapsed="false">
      <c r="A711" s="1" t="str">
        <f aca="false">IF(Suiza_DE_CN_ID!A61="","",IFERROR(INDEX(Mercados!$C$2:$C$32,MATCH(Suiza_DE_CN_ID!B61,Mercados!$A$2:$A$32,0)),"Revisar Tscode"))</f>
        <v/>
      </c>
      <c r="B711" s="1" t="str">
        <f aca="false">IF(Suiza_DE_CN_ID!A61="","",Suiza_DE_CN_ID!A61)</f>
        <v/>
      </c>
      <c r="C711" s="1" t="str">
        <f aca="false">IF(Suiza_DE_CN_ID!A61="","",Suiza_DE_CN_ID!C61)</f>
        <v/>
      </c>
      <c r="D711" s="1" t="str">
        <f aca="false">IF(Suiza_DE_CN_ID!A61="","",Suiza_DE_CN_ID!D61)</f>
        <v/>
      </c>
      <c r="E711" s="1" t="str">
        <f aca="false">IF(Suiza_DE_CN_ID!A61="","",Suiza_DE_CN_ID!E61)</f>
        <v/>
      </c>
      <c r="F711" s="1" t="str">
        <f aca="false">IF(Suiza_DE_CN_ID!A61="","",Suiza_DE_CN_ID!G61)</f>
        <v/>
      </c>
      <c r="I711" s="1" t="str">
        <f aca="false">IF(Suiza_DE_CN_ID!A61="","",Suiza_DE_CN_ID!H61)</f>
        <v/>
      </c>
      <c r="J711" s="1" t="str">
        <f aca="false">IF(Suiza_DE_CN_ID!A61="","",Suiza_DE_CN_ID!I61)</f>
        <v/>
      </c>
      <c r="K711" s="1" t="str">
        <f aca="false">IF(Suiza_DE_CN_ID!A61="","",UPPER(Suiza_DE_CN_ID!J61))</f>
        <v/>
      </c>
      <c r="L711" s="1" t="str">
        <f aca="false">IF(Suiza_DE_CN_ID!A61="","",IFERROR(INDEX(Gamma_Catalogo!$D$3:$D$1451,MATCH(Suiza_DE_CN_ID!D61,Gamma_Catalogo!$A$3:$A$1451,0)),"Revisar Ip Code"))</f>
        <v/>
      </c>
      <c r="M711" s="1" t="str">
        <f aca="false">IF(Suiza_DE_CN_ID!A61="","",IFERROR(INDEX(Gamma_Catalogo!$C$3:$C$1451,MATCH(Suiza_DE_CN_ID!D61,Gamma_Catalogo!$A$3:$A$1451,0)),"Revisar Ip Code"))</f>
        <v/>
      </c>
      <c r="N711" s="1" t="str">
        <f aca="false">IF(Suiza_DE_CN_ID!A61="","",IFERROR(INDEX(Gamma_Catalogo!$E$3:$E$1451,MATCH(Suiza_DE_CN_ID!D61,Gamma_Catalogo!$A$3:$A$1451,0)),"Revisar Ip Code"))</f>
        <v/>
      </c>
      <c r="O711" s="1" t="str">
        <f aca="false">IF(Suiza_DE_CN_ID!A61="","","Suiza")</f>
        <v/>
      </c>
    </row>
    <row r="712" customFormat="false" ht="15" hidden="false" customHeight="true" outlineLevel="0" collapsed="false">
      <c r="A712" s="1" t="str">
        <f aca="false">IF(Suiza_DE_CN_ID!A62="","",IFERROR(INDEX(Mercados!$C$2:$C$32,MATCH(Suiza_DE_CN_ID!B62,Mercados!$A$2:$A$32,0)),"Revisar Tscode"))</f>
        <v/>
      </c>
      <c r="B712" s="1" t="str">
        <f aca="false">IF(Suiza_DE_CN_ID!A62="","",Suiza_DE_CN_ID!A62)</f>
        <v/>
      </c>
      <c r="C712" s="1" t="str">
        <f aca="false">IF(Suiza_DE_CN_ID!A62="","",Suiza_DE_CN_ID!C62)</f>
        <v/>
      </c>
      <c r="D712" s="1" t="str">
        <f aca="false">IF(Suiza_DE_CN_ID!A62="","",Suiza_DE_CN_ID!D62)</f>
        <v/>
      </c>
      <c r="E712" s="1" t="str">
        <f aca="false">IF(Suiza_DE_CN_ID!A62="","",Suiza_DE_CN_ID!E62)</f>
        <v/>
      </c>
      <c r="F712" s="1" t="str">
        <f aca="false">IF(Suiza_DE_CN_ID!A62="","",Suiza_DE_CN_ID!G62)</f>
        <v/>
      </c>
      <c r="I712" s="1" t="str">
        <f aca="false">IF(Suiza_DE_CN_ID!A62="","",Suiza_DE_CN_ID!H62)</f>
        <v/>
      </c>
      <c r="J712" s="1" t="str">
        <f aca="false">IF(Suiza_DE_CN_ID!A62="","",Suiza_DE_CN_ID!I62)</f>
        <v/>
      </c>
      <c r="K712" s="1" t="str">
        <f aca="false">IF(Suiza_DE_CN_ID!A62="","",UPPER(Suiza_DE_CN_ID!J62))</f>
        <v/>
      </c>
      <c r="L712" s="1" t="str">
        <f aca="false">IF(Suiza_DE_CN_ID!A62="","",IFERROR(INDEX(Gamma_Catalogo!$D$3:$D$1451,MATCH(Suiza_DE_CN_ID!D62,Gamma_Catalogo!$A$3:$A$1451,0)),"Revisar Ip Code"))</f>
        <v/>
      </c>
      <c r="M712" s="1" t="str">
        <f aca="false">IF(Suiza_DE_CN_ID!A62="","",IFERROR(INDEX(Gamma_Catalogo!$C$3:$C$1451,MATCH(Suiza_DE_CN_ID!D62,Gamma_Catalogo!$A$3:$A$1451,0)),"Revisar Ip Code"))</f>
        <v/>
      </c>
      <c r="N712" s="1" t="str">
        <f aca="false">IF(Suiza_DE_CN_ID!A62="","",IFERROR(INDEX(Gamma_Catalogo!$E$3:$E$1451,MATCH(Suiza_DE_CN_ID!D62,Gamma_Catalogo!$A$3:$A$1451,0)),"Revisar Ip Code"))</f>
        <v/>
      </c>
      <c r="O712" s="1" t="str">
        <f aca="false">IF(Suiza_DE_CN_ID!A62="","","Suiza")</f>
        <v/>
      </c>
    </row>
    <row r="713" customFormat="false" ht="15" hidden="false" customHeight="true" outlineLevel="0" collapsed="false">
      <c r="A713" s="1" t="str">
        <f aca="false">IF(Suiza_DE_CN_ID!A63="","",IFERROR(INDEX(Mercados!$C$2:$C$32,MATCH(Suiza_DE_CN_ID!B63,Mercados!$A$2:$A$32,0)),"Revisar Tscode"))</f>
        <v/>
      </c>
      <c r="B713" s="1" t="str">
        <f aca="false">IF(Suiza_DE_CN_ID!A63="","",Suiza_DE_CN_ID!A63)</f>
        <v/>
      </c>
      <c r="C713" s="1" t="str">
        <f aca="false">IF(Suiza_DE_CN_ID!A63="","",Suiza_DE_CN_ID!C63)</f>
        <v/>
      </c>
      <c r="D713" s="1" t="str">
        <f aca="false">IF(Suiza_DE_CN_ID!A63="","",Suiza_DE_CN_ID!D63)</f>
        <v/>
      </c>
      <c r="E713" s="1" t="str">
        <f aca="false">IF(Suiza_DE_CN_ID!A63="","",Suiza_DE_CN_ID!E63)</f>
        <v/>
      </c>
      <c r="F713" s="1" t="str">
        <f aca="false">IF(Suiza_DE_CN_ID!A63="","",Suiza_DE_CN_ID!G63)</f>
        <v/>
      </c>
      <c r="I713" s="1" t="str">
        <f aca="false">IF(Suiza_DE_CN_ID!A63="","",Suiza_DE_CN_ID!H63)</f>
        <v/>
      </c>
      <c r="J713" s="1" t="str">
        <f aca="false">IF(Suiza_DE_CN_ID!A63="","",Suiza_DE_CN_ID!I63)</f>
        <v/>
      </c>
      <c r="K713" s="1" t="str">
        <f aca="false">IF(Suiza_DE_CN_ID!A63="","",UPPER(Suiza_DE_CN_ID!J63))</f>
        <v/>
      </c>
      <c r="L713" s="1" t="str">
        <f aca="false">IF(Suiza_DE_CN_ID!A63="","",IFERROR(INDEX(Gamma_Catalogo!$D$3:$D$1451,MATCH(Suiza_DE_CN_ID!D63,Gamma_Catalogo!$A$3:$A$1451,0)),"Revisar Ip Code"))</f>
        <v/>
      </c>
      <c r="M713" s="1" t="str">
        <f aca="false">IF(Suiza_DE_CN_ID!A63="","",IFERROR(INDEX(Gamma_Catalogo!$C$3:$C$1451,MATCH(Suiza_DE_CN_ID!D63,Gamma_Catalogo!$A$3:$A$1451,0)),"Revisar Ip Code"))</f>
        <v/>
      </c>
      <c r="N713" s="1" t="str">
        <f aca="false">IF(Suiza_DE_CN_ID!A63="","",IFERROR(INDEX(Gamma_Catalogo!$E$3:$E$1451,MATCH(Suiza_DE_CN_ID!D63,Gamma_Catalogo!$A$3:$A$1451,0)),"Revisar Ip Code"))</f>
        <v/>
      </c>
      <c r="O713" s="1" t="str">
        <f aca="false">IF(Suiza_DE_CN_ID!A63="","","Suiza")</f>
        <v/>
      </c>
    </row>
    <row r="714" customFormat="false" ht="15" hidden="false" customHeight="true" outlineLevel="0" collapsed="false">
      <c r="A714" s="1" t="str">
        <f aca="false">IF(Suiza_DE_CN_ID!A64="","",IFERROR(INDEX(Mercados!$C$2:$C$32,MATCH(Suiza_DE_CN_ID!B64,Mercados!$A$2:$A$32,0)),"Revisar Tscode"))</f>
        <v/>
      </c>
      <c r="B714" s="1" t="str">
        <f aca="false">IF(Suiza_DE_CN_ID!A64="","",Suiza_DE_CN_ID!A64)</f>
        <v/>
      </c>
      <c r="C714" s="1" t="str">
        <f aca="false">IF(Suiza_DE_CN_ID!A64="","",Suiza_DE_CN_ID!C64)</f>
        <v/>
      </c>
      <c r="D714" s="1" t="str">
        <f aca="false">IF(Suiza_DE_CN_ID!A64="","",Suiza_DE_CN_ID!D64)</f>
        <v/>
      </c>
      <c r="E714" s="1" t="str">
        <f aca="false">IF(Suiza_DE_CN_ID!A64="","",Suiza_DE_CN_ID!E64)</f>
        <v/>
      </c>
      <c r="F714" s="1" t="str">
        <f aca="false">IF(Suiza_DE_CN_ID!A64="","",Suiza_DE_CN_ID!G64)</f>
        <v/>
      </c>
      <c r="I714" s="1" t="str">
        <f aca="false">IF(Suiza_DE_CN_ID!A64="","",Suiza_DE_CN_ID!H64)</f>
        <v/>
      </c>
      <c r="J714" s="1" t="str">
        <f aca="false">IF(Suiza_DE_CN_ID!A64="","",Suiza_DE_CN_ID!I64)</f>
        <v/>
      </c>
      <c r="K714" s="1" t="str">
        <f aca="false">IF(Suiza_DE_CN_ID!A64="","",UPPER(Suiza_DE_CN_ID!J64))</f>
        <v/>
      </c>
      <c r="L714" s="1" t="str">
        <f aca="false">IF(Suiza_DE_CN_ID!A64="","",IFERROR(INDEX(Gamma_Catalogo!$D$3:$D$1451,MATCH(Suiza_DE_CN_ID!D64,Gamma_Catalogo!$A$3:$A$1451,0)),"Revisar Ip Code"))</f>
        <v/>
      </c>
      <c r="M714" s="1" t="str">
        <f aca="false">IF(Suiza_DE_CN_ID!A64="","",IFERROR(INDEX(Gamma_Catalogo!$C$3:$C$1451,MATCH(Suiza_DE_CN_ID!D64,Gamma_Catalogo!$A$3:$A$1451,0)),"Revisar Ip Code"))</f>
        <v/>
      </c>
      <c r="N714" s="1" t="str">
        <f aca="false">IF(Suiza_DE_CN_ID!A64="","",IFERROR(INDEX(Gamma_Catalogo!$E$3:$E$1451,MATCH(Suiza_DE_CN_ID!D64,Gamma_Catalogo!$A$3:$A$1451,0)),"Revisar Ip Code"))</f>
        <v/>
      </c>
      <c r="O714" s="1" t="str">
        <f aca="false">IF(Suiza_DE_CN_ID!A64="","","Suiza")</f>
        <v/>
      </c>
    </row>
    <row r="715" customFormat="false" ht="15" hidden="false" customHeight="true" outlineLevel="0" collapsed="false">
      <c r="A715" s="1" t="str">
        <f aca="false">IF(Suiza_DE_CN_ID!A65="","",IFERROR(INDEX(Mercados!$C$2:$C$32,MATCH(Suiza_DE_CN_ID!B65,Mercados!$A$2:$A$32,0)),"Revisar Tscode"))</f>
        <v/>
      </c>
      <c r="B715" s="1" t="str">
        <f aca="false">IF(Suiza_DE_CN_ID!A65="","",Suiza_DE_CN_ID!A65)</f>
        <v/>
      </c>
      <c r="C715" s="1" t="str">
        <f aca="false">IF(Suiza_DE_CN_ID!A65="","",Suiza_DE_CN_ID!C65)</f>
        <v/>
      </c>
      <c r="D715" s="1" t="str">
        <f aca="false">IF(Suiza_DE_CN_ID!A65="","",Suiza_DE_CN_ID!D65)</f>
        <v/>
      </c>
      <c r="E715" s="1" t="str">
        <f aca="false">IF(Suiza_DE_CN_ID!A65="","",Suiza_DE_CN_ID!E65)</f>
        <v/>
      </c>
      <c r="F715" s="1" t="str">
        <f aca="false">IF(Suiza_DE_CN_ID!A65="","",Suiza_DE_CN_ID!G65)</f>
        <v/>
      </c>
      <c r="I715" s="1" t="str">
        <f aca="false">IF(Suiza_DE_CN_ID!A65="","",Suiza_DE_CN_ID!H65)</f>
        <v/>
      </c>
      <c r="J715" s="1" t="str">
        <f aca="false">IF(Suiza_DE_CN_ID!A65="","",Suiza_DE_CN_ID!I65)</f>
        <v/>
      </c>
      <c r="K715" s="1" t="str">
        <f aca="false">IF(Suiza_DE_CN_ID!A65="","",UPPER(Suiza_DE_CN_ID!J65))</f>
        <v/>
      </c>
      <c r="L715" s="1" t="str">
        <f aca="false">IF(Suiza_DE_CN_ID!A65="","",IFERROR(INDEX(Gamma_Catalogo!$D$3:$D$1451,MATCH(Suiza_DE_CN_ID!D65,Gamma_Catalogo!$A$3:$A$1451,0)),"Revisar Ip Code"))</f>
        <v/>
      </c>
      <c r="M715" s="1" t="str">
        <f aca="false">IF(Suiza_DE_CN_ID!A65="","",IFERROR(INDEX(Gamma_Catalogo!$C$3:$C$1451,MATCH(Suiza_DE_CN_ID!D65,Gamma_Catalogo!$A$3:$A$1451,0)),"Revisar Ip Code"))</f>
        <v/>
      </c>
      <c r="N715" s="1" t="str">
        <f aca="false">IF(Suiza_DE_CN_ID!A65="","",IFERROR(INDEX(Gamma_Catalogo!$E$3:$E$1451,MATCH(Suiza_DE_CN_ID!D65,Gamma_Catalogo!$A$3:$A$1451,0)),"Revisar Ip Code"))</f>
        <v/>
      </c>
      <c r="O715" s="1" t="str">
        <f aca="false">IF(Suiza_DE_CN_ID!A65="","","Suiza")</f>
        <v/>
      </c>
    </row>
    <row r="716" customFormat="false" ht="15" hidden="false" customHeight="true" outlineLevel="0" collapsed="false">
      <c r="A716" s="1" t="str">
        <f aca="false">IF(Suiza_DE_CN_ID!A66="","",IFERROR(INDEX(Mercados!$C$2:$C$32,MATCH(Suiza_DE_CN_ID!B66,Mercados!$A$2:$A$32,0)),"Revisar Tscode"))</f>
        <v/>
      </c>
      <c r="B716" s="1" t="str">
        <f aca="false">IF(Suiza_DE_CN_ID!A66="","",Suiza_DE_CN_ID!A66)</f>
        <v/>
      </c>
      <c r="C716" s="1" t="str">
        <f aca="false">IF(Suiza_DE_CN_ID!A66="","",Suiza_DE_CN_ID!C66)</f>
        <v/>
      </c>
      <c r="D716" s="1" t="str">
        <f aca="false">IF(Suiza_DE_CN_ID!A66="","",Suiza_DE_CN_ID!D66)</f>
        <v/>
      </c>
      <c r="E716" s="1" t="str">
        <f aca="false">IF(Suiza_DE_CN_ID!A66="","",Suiza_DE_CN_ID!E66)</f>
        <v/>
      </c>
      <c r="F716" s="1" t="str">
        <f aca="false">IF(Suiza_DE_CN_ID!A66="","",Suiza_DE_CN_ID!G66)</f>
        <v/>
      </c>
      <c r="I716" s="1" t="str">
        <f aca="false">IF(Suiza_DE_CN_ID!A66="","",Suiza_DE_CN_ID!H66)</f>
        <v/>
      </c>
      <c r="J716" s="1" t="str">
        <f aca="false">IF(Suiza_DE_CN_ID!A66="","",Suiza_DE_CN_ID!I66)</f>
        <v/>
      </c>
      <c r="K716" s="1" t="str">
        <f aca="false">IF(Suiza_DE_CN_ID!A66="","",UPPER(Suiza_DE_CN_ID!J66))</f>
        <v/>
      </c>
      <c r="L716" s="1" t="str">
        <f aca="false">IF(Suiza_DE_CN_ID!A66="","",IFERROR(INDEX(Gamma_Catalogo!$D$3:$D$1451,MATCH(Suiza_DE_CN_ID!D66,Gamma_Catalogo!$A$3:$A$1451,0)),"Revisar Ip Code"))</f>
        <v/>
      </c>
      <c r="M716" s="1" t="str">
        <f aca="false">IF(Suiza_DE_CN_ID!A66="","",IFERROR(INDEX(Gamma_Catalogo!$C$3:$C$1451,MATCH(Suiza_DE_CN_ID!D66,Gamma_Catalogo!$A$3:$A$1451,0)),"Revisar Ip Code"))</f>
        <v/>
      </c>
      <c r="N716" s="1" t="str">
        <f aca="false">IF(Suiza_DE_CN_ID!A66="","",IFERROR(INDEX(Gamma_Catalogo!$E$3:$E$1451,MATCH(Suiza_DE_CN_ID!D66,Gamma_Catalogo!$A$3:$A$1451,0)),"Revisar Ip Code"))</f>
        <v/>
      </c>
      <c r="O716" s="1" t="str">
        <f aca="false">IF(Suiza_DE_CN_ID!A66="","","Suiza")</f>
        <v/>
      </c>
    </row>
    <row r="717" customFormat="false" ht="15" hidden="false" customHeight="true" outlineLevel="0" collapsed="false">
      <c r="A717" s="1" t="str">
        <f aca="false">IF(Suiza_DE_CN_ID!A67="","",IFERROR(INDEX(Mercados!$C$2:$C$32,MATCH(Suiza_DE_CN_ID!B67,Mercados!$A$2:$A$32,0)),"Revisar Tscode"))</f>
        <v/>
      </c>
      <c r="B717" s="1" t="str">
        <f aca="false">IF(Suiza_DE_CN_ID!A67="","",Suiza_DE_CN_ID!A67)</f>
        <v/>
      </c>
      <c r="C717" s="1" t="str">
        <f aca="false">IF(Suiza_DE_CN_ID!A67="","",Suiza_DE_CN_ID!C67)</f>
        <v/>
      </c>
      <c r="D717" s="1" t="str">
        <f aca="false">IF(Suiza_DE_CN_ID!A67="","",Suiza_DE_CN_ID!D67)</f>
        <v/>
      </c>
      <c r="E717" s="1" t="str">
        <f aca="false">IF(Suiza_DE_CN_ID!A67="","",Suiza_DE_CN_ID!E67)</f>
        <v/>
      </c>
      <c r="F717" s="1" t="str">
        <f aca="false">IF(Suiza_DE_CN_ID!A67="","",Suiza_DE_CN_ID!G67)</f>
        <v/>
      </c>
      <c r="I717" s="1" t="str">
        <f aca="false">IF(Suiza_DE_CN_ID!A67="","",Suiza_DE_CN_ID!H67)</f>
        <v/>
      </c>
      <c r="J717" s="1" t="str">
        <f aca="false">IF(Suiza_DE_CN_ID!A67="","",Suiza_DE_CN_ID!I67)</f>
        <v/>
      </c>
      <c r="K717" s="1" t="str">
        <f aca="false">IF(Suiza_DE_CN_ID!A67="","",UPPER(Suiza_DE_CN_ID!J67))</f>
        <v/>
      </c>
      <c r="L717" s="1" t="str">
        <f aca="false">IF(Suiza_DE_CN_ID!A67="","",IFERROR(INDEX(Gamma_Catalogo!$D$3:$D$1451,MATCH(Suiza_DE_CN_ID!D67,Gamma_Catalogo!$A$3:$A$1451,0)),"Revisar Ip Code"))</f>
        <v/>
      </c>
      <c r="M717" s="1" t="str">
        <f aca="false">IF(Suiza_DE_CN_ID!A67="","",IFERROR(INDEX(Gamma_Catalogo!$C$3:$C$1451,MATCH(Suiza_DE_CN_ID!D67,Gamma_Catalogo!$A$3:$A$1451,0)),"Revisar Ip Code"))</f>
        <v/>
      </c>
      <c r="N717" s="1" t="str">
        <f aca="false">IF(Suiza_DE_CN_ID!A67="","",IFERROR(INDEX(Gamma_Catalogo!$E$3:$E$1451,MATCH(Suiza_DE_CN_ID!D67,Gamma_Catalogo!$A$3:$A$1451,0)),"Revisar Ip Code"))</f>
        <v/>
      </c>
      <c r="O717" s="1" t="str">
        <f aca="false">IF(Suiza_DE_CN_ID!A67="","","Suiza")</f>
        <v/>
      </c>
    </row>
    <row r="718" customFormat="false" ht="15" hidden="false" customHeight="true" outlineLevel="0" collapsed="false">
      <c r="A718" s="1" t="str">
        <f aca="false">IF(Suiza_DE_CN_ID!A68="","",IFERROR(INDEX(Mercados!$C$2:$C$32,MATCH(Suiza_DE_CN_ID!B68,Mercados!$A$2:$A$32,0)),"Revisar Tscode"))</f>
        <v/>
      </c>
      <c r="B718" s="1" t="str">
        <f aca="false">IF(Suiza_DE_CN_ID!A68="","",Suiza_DE_CN_ID!A68)</f>
        <v/>
      </c>
      <c r="C718" s="1" t="str">
        <f aca="false">IF(Suiza_DE_CN_ID!A68="","",Suiza_DE_CN_ID!C68)</f>
        <v/>
      </c>
      <c r="D718" s="1" t="str">
        <f aca="false">IF(Suiza_DE_CN_ID!A68="","",Suiza_DE_CN_ID!D68)</f>
        <v/>
      </c>
      <c r="E718" s="1" t="str">
        <f aca="false">IF(Suiza_DE_CN_ID!A68="","",Suiza_DE_CN_ID!E68)</f>
        <v/>
      </c>
      <c r="F718" s="1" t="str">
        <f aca="false">IF(Suiza_DE_CN_ID!A68="","",Suiza_DE_CN_ID!G68)</f>
        <v/>
      </c>
      <c r="I718" s="1" t="str">
        <f aca="false">IF(Suiza_DE_CN_ID!A68="","",Suiza_DE_CN_ID!H68)</f>
        <v/>
      </c>
      <c r="J718" s="1" t="str">
        <f aca="false">IF(Suiza_DE_CN_ID!A68="","",Suiza_DE_CN_ID!I68)</f>
        <v/>
      </c>
      <c r="K718" s="1" t="str">
        <f aca="false">IF(Suiza_DE_CN_ID!A68="","",UPPER(Suiza_DE_CN_ID!J68))</f>
        <v/>
      </c>
      <c r="L718" s="1" t="str">
        <f aca="false">IF(Suiza_DE_CN_ID!A68="","",IFERROR(INDEX(Gamma_Catalogo!$D$3:$D$1451,MATCH(Suiza_DE_CN_ID!D68,Gamma_Catalogo!$A$3:$A$1451,0)),"Revisar Ip Code"))</f>
        <v/>
      </c>
      <c r="M718" s="1" t="str">
        <f aca="false">IF(Suiza_DE_CN_ID!A68="","",IFERROR(INDEX(Gamma_Catalogo!$C$3:$C$1451,MATCH(Suiza_DE_CN_ID!D68,Gamma_Catalogo!$A$3:$A$1451,0)),"Revisar Ip Code"))</f>
        <v/>
      </c>
      <c r="N718" s="1" t="str">
        <f aca="false">IF(Suiza_DE_CN_ID!A68="","",IFERROR(INDEX(Gamma_Catalogo!$E$3:$E$1451,MATCH(Suiza_DE_CN_ID!D68,Gamma_Catalogo!$A$3:$A$1451,0)),"Revisar Ip Code"))</f>
        <v/>
      </c>
      <c r="O718" s="1" t="str">
        <f aca="false">IF(Suiza_DE_CN_ID!A68="","","Suiza")</f>
        <v/>
      </c>
    </row>
    <row r="719" customFormat="false" ht="15" hidden="false" customHeight="true" outlineLevel="0" collapsed="false">
      <c r="A719" s="1" t="str">
        <f aca="false">IF(Suiza_DE_CN_ID!A69="","",IFERROR(INDEX(Mercados!$C$2:$C$32,MATCH(Suiza_DE_CN_ID!B69,Mercados!$A$2:$A$32,0)),"Revisar Tscode"))</f>
        <v/>
      </c>
      <c r="B719" s="1" t="str">
        <f aca="false">IF(Suiza_DE_CN_ID!A69="","",Suiza_DE_CN_ID!A69)</f>
        <v/>
      </c>
      <c r="C719" s="1" t="str">
        <f aca="false">IF(Suiza_DE_CN_ID!A69="","",Suiza_DE_CN_ID!C69)</f>
        <v/>
      </c>
      <c r="D719" s="1" t="str">
        <f aca="false">IF(Suiza_DE_CN_ID!A69="","",Suiza_DE_CN_ID!D69)</f>
        <v/>
      </c>
      <c r="E719" s="1" t="str">
        <f aca="false">IF(Suiza_DE_CN_ID!A69="","",Suiza_DE_CN_ID!E69)</f>
        <v/>
      </c>
      <c r="F719" s="1" t="str">
        <f aca="false">IF(Suiza_DE_CN_ID!A69="","",Suiza_DE_CN_ID!G69)</f>
        <v/>
      </c>
      <c r="I719" s="1" t="str">
        <f aca="false">IF(Suiza_DE_CN_ID!A69="","",Suiza_DE_CN_ID!H69)</f>
        <v/>
      </c>
      <c r="J719" s="1" t="str">
        <f aca="false">IF(Suiza_DE_CN_ID!A69="","",Suiza_DE_CN_ID!I69)</f>
        <v/>
      </c>
      <c r="K719" s="1" t="str">
        <f aca="false">IF(Suiza_DE_CN_ID!A69="","",UPPER(Suiza_DE_CN_ID!J69))</f>
        <v/>
      </c>
      <c r="L719" s="1" t="str">
        <f aca="false">IF(Suiza_DE_CN_ID!A69="","",IFERROR(INDEX(Gamma_Catalogo!$D$3:$D$1451,MATCH(Suiza_DE_CN_ID!D69,Gamma_Catalogo!$A$3:$A$1451,0)),"Revisar Ip Code"))</f>
        <v/>
      </c>
      <c r="M719" s="1" t="str">
        <f aca="false">IF(Suiza_DE_CN_ID!A69="","",IFERROR(INDEX(Gamma_Catalogo!$C$3:$C$1451,MATCH(Suiza_DE_CN_ID!D69,Gamma_Catalogo!$A$3:$A$1451,0)),"Revisar Ip Code"))</f>
        <v/>
      </c>
      <c r="N719" s="1" t="str">
        <f aca="false">IF(Suiza_DE_CN_ID!A69="","",IFERROR(INDEX(Gamma_Catalogo!$E$3:$E$1451,MATCH(Suiza_DE_CN_ID!D69,Gamma_Catalogo!$A$3:$A$1451,0)),"Revisar Ip Code"))</f>
        <v/>
      </c>
      <c r="O719" s="1" t="str">
        <f aca="false">IF(Suiza_DE_CN_ID!A69="","","Suiza")</f>
        <v/>
      </c>
    </row>
    <row r="720" customFormat="false" ht="15" hidden="false" customHeight="true" outlineLevel="0" collapsed="false">
      <c r="A720" s="1" t="str">
        <f aca="false">IF(Suiza_DE_CN_ID!A70="","",IFERROR(INDEX(Mercados!$C$2:$C$32,MATCH(Suiza_DE_CN_ID!B70,Mercados!$A$2:$A$32,0)),"Revisar Tscode"))</f>
        <v/>
      </c>
      <c r="B720" s="1" t="str">
        <f aca="false">IF(Suiza_DE_CN_ID!A70="","",Suiza_DE_CN_ID!A70)</f>
        <v/>
      </c>
      <c r="C720" s="1" t="str">
        <f aca="false">IF(Suiza_DE_CN_ID!A70="","",Suiza_DE_CN_ID!C70)</f>
        <v/>
      </c>
      <c r="D720" s="1" t="str">
        <f aca="false">IF(Suiza_DE_CN_ID!A70="","",Suiza_DE_CN_ID!D70)</f>
        <v/>
      </c>
      <c r="E720" s="1" t="str">
        <f aca="false">IF(Suiza_DE_CN_ID!A70="","",Suiza_DE_CN_ID!E70)</f>
        <v/>
      </c>
      <c r="F720" s="1" t="str">
        <f aca="false">IF(Suiza_DE_CN_ID!A70="","",Suiza_DE_CN_ID!G70)</f>
        <v/>
      </c>
      <c r="I720" s="1" t="str">
        <f aca="false">IF(Suiza_DE_CN_ID!A70="","",Suiza_DE_CN_ID!H70)</f>
        <v/>
      </c>
      <c r="J720" s="1" t="str">
        <f aca="false">IF(Suiza_DE_CN_ID!A70="","",Suiza_DE_CN_ID!I70)</f>
        <v/>
      </c>
      <c r="K720" s="1" t="str">
        <f aca="false">IF(Suiza_DE_CN_ID!A70="","",UPPER(Suiza_DE_CN_ID!J70))</f>
        <v/>
      </c>
      <c r="L720" s="1" t="str">
        <f aca="false">IF(Suiza_DE_CN_ID!A70="","",IFERROR(INDEX(Gamma_Catalogo!$D$3:$D$1451,MATCH(Suiza_DE_CN_ID!D70,Gamma_Catalogo!$A$3:$A$1451,0)),"Revisar Ip Code"))</f>
        <v/>
      </c>
      <c r="M720" s="1" t="str">
        <f aca="false">IF(Suiza_DE_CN_ID!A70="","",IFERROR(INDEX(Gamma_Catalogo!$C$3:$C$1451,MATCH(Suiza_DE_CN_ID!D70,Gamma_Catalogo!$A$3:$A$1451,0)),"Revisar Ip Code"))</f>
        <v/>
      </c>
      <c r="N720" s="1" t="str">
        <f aca="false">IF(Suiza_DE_CN_ID!A70="","",IFERROR(INDEX(Gamma_Catalogo!$E$3:$E$1451,MATCH(Suiza_DE_CN_ID!D70,Gamma_Catalogo!$A$3:$A$1451,0)),"Revisar Ip Code"))</f>
        <v/>
      </c>
      <c r="O720" s="1" t="str">
        <f aca="false">IF(Suiza_DE_CN_ID!A70="","","Suiza")</f>
        <v/>
      </c>
    </row>
    <row r="721" customFormat="false" ht="15" hidden="false" customHeight="true" outlineLevel="0" collapsed="false">
      <c r="A721" s="1" t="str">
        <f aca="false">IF(Suiza_DE_CN_ID!A71="","",IFERROR(INDEX(Mercados!$C$2:$C$32,MATCH(Suiza_DE_CN_ID!B71,Mercados!$A$2:$A$32,0)),"Revisar Tscode"))</f>
        <v/>
      </c>
      <c r="B721" s="1" t="str">
        <f aca="false">IF(Suiza_DE_CN_ID!A71="","",Suiza_DE_CN_ID!A71)</f>
        <v/>
      </c>
      <c r="C721" s="1" t="str">
        <f aca="false">IF(Suiza_DE_CN_ID!A71="","",Suiza_DE_CN_ID!C71)</f>
        <v/>
      </c>
      <c r="D721" s="1" t="str">
        <f aca="false">IF(Suiza_DE_CN_ID!A71="","",Suiza_DE_CN_ID!D71)</f>
        <v/>
      </c>
      <c r="E721" s="1" t="str">
        <f aca="false">IF(Suiza_DE_CN_ID!A71="","",Suiza_DE_CN_ID!E71)</f>
        <v/>
      </c>
      <c r="F721" s="1" t="str">
        <f aca="false">IF(Suiza_DE_CN_ID!A71="","",Suiza_DE_CN_ID!G71)</f>
        <v/>
      </c>
      <c r="I721" s="1" t="str">
        <f aca="false">IF(Suiza_DE_CN_ID!A71="","",Suiza_DE_CN_ID!H71)</f>
        <v/>
      </c>
      <c r="J721" s="1" t="str">
        <f aca="false">IF(Suiza_DE_CN_ID!A71="","",Suiza_DE_CN_ID!I71)</f>
        <v/>
      </c>
      <c r="K721" s="1" t="str">
        <f aca="false">IF(Suiza_DE_CN_ID!A71="","",UPPER(Suiza_DE_CN_ID!J71))</f>
        <v/>
      </c>
      <c r="L721" s="1" t="str">
        <f aca="false">IF(Suiza_DE_CN_ID!A71="","",IFERROR(INDEX(Gamma_Catalogo!$D$3:$D$1451,MATCH(Suiza_DE_CN_ID!D71,Gamma_Catalogo!$A$3:$A$1451,0)),"Revisar Ip Code"))</f>
        <v/>
      </c>
      <c r="M721" s="1" t="str">
        <f aca="false">IF(Suiza_DE_CN_ID!A71="","",IFERROR(INDEX(Gamma_Catalogo!$C$3:$C$1451,MATCH(Suiza_DE_CN_ID!D71,Gamma_Catalogo!$A$3:$A$1451,0)),"Revisar Ip Code"))</f>
        <v/>
      </c>
      <c r="N721" s="1" t="str">
        <f aca="false">IF(Suiza_DE_CN_ID!A71="","",IFERROR(INDEX(Gamma_Catalogo!$E$3:$E$1451,MATCH(Suiza_DE_CN_ID!D71,Gamma_Catalogo!$A$3:$A$1451,0)),"Revisar Ip Code"))</f>
        <v/>
      </c>
      <c r="O721" s="1" t="str">
        <f aca="false">IF(Suiza_DE_CN_ID!A71="","","Suiza")</f>
        <v/>
      </c>
    </row>
    <row r="722" customFormat="false" ht="15" hidden="false" customHeight="true" outlineLevel="0" collapsed="false">
      <c r="A722" s="1" t="str">
        <f aca="false">IF(Suiza_DE_CN_ID!A72="","",IFERROR(INDEX(Mercados!$C$2:$C$32,MATCH(Suiza_DE_CN_ID!B72,Mercados!$A$2:$A$32,0)),"Revisar Tscode"))</f>
        <v/>
      </c>
      <c r="B722" s="1" t="str">
        <f aca="false">IF(Suiza_DE_CN_ID!A72="","",Suiza_DE_CN_ID!A72)</f>
        <v/>
      </c>
      <c r="C722" s="1" t="str">
        <f aca="false">IF(Suiza_DE_CN_ID!A72="","",Suiza_DE_CN_ID!C72)</f>
        <v/>
      </c>
      <c r="D722" s="1" t="str">
        <f aca="false">IF(Suiza_DE_CN_ID!A72="","",Suiza_DE_CN_ID!D72)</f>
        <v/>
      </c>
      <c r="E722" s="1" t="str">
        <f aca="false">IF(Suiza_DE_CN_ID!A72="","",Suiza_DE_CN_ID!E72)</f>
        <v/>
      </c>
      <c r="F722" s="1" t="str">
        <f aca="false">IF(Suiza_DE_CN_ID!A72="","",Suiza_DE_CN_ID!G72)</f>
        <v/>
      </c>
      <c r="I722" s="1" t="str">
        <f aca="false">IF(Suiza_DE_CN_ID!A72="","",Suiza_DE_CN_ID!H72)</f>
        <v/>
      </c>
      <c r="J722" s="1" t="str">
        <f aca="false">IF(Suiza_DE_CN_ID!A72="","",Suiza_DE_CN_ID!I72)</f>
        <v/>
      </c>
      <c r="K722" s="1" t="str">
        <f aca="false">IF(Suiza_DE_CN_ID!A72="","",UPPER(Suiza_DE_CN_ID!J72))</f>
        <v/>
      </c>
      <c r="L722" s="1" t="str">
        <f aca="false">IF(Suiza_DE_CN_ID!A72="","",IFERROR(INDEX(Gamma_Catalogo!$D$3:$D$1451,MATCH(Suiza_DE_CN_ID!D72,Gamma_Catalogo!$A$3:$A$1451,0)),"Revisar Ip Code"))</f>
        <v/>
      </c>
      <c r="M722" s="1" t="str">
        <f aca="false">IF(Suiza_DE_CN_ID!A72="","",IFERROR(INDEX(Gamma_Catalogo!$C$3:$C$1451,MATCH(Suiza_DE_CN_ID!D72,Gamma_Catalogo!$A$3:$A$1451,0)),"Revisar Ip Code"))</f>
        <v/>
      </c>
      <c r="N722" s="1" t="str">
        <f aca="false">IF(Suiza_DE_CN_ID!A72="","",IFERROR(INDEX(Gamma_Catalogo!$E$3:$E$1451,MATCH(Suiza_DE_CN_ID!D72,Gamma_Catalogo!$A$3:$A$1451,0)),"Revisar Ip Code"))</f>
        <v/>
      </c>
      <c r="O722" s="1" t="str">
        <f aca="false">IF(Suiza_DE_CN_ID!A72="","","Suiza")</f>
        <v/>
      </c>
    </row>
    <row r="723" customFormat="false" ht="15" hidden="false" customHeight="true" outlineLevel="0" collapsed="false">
      <c r="A723" s="1" t="str">
        <f aca="false">IF(Suiza_DE_CN_ID!A73="","",IFERROR(INDEX(Mercados!$C$2:$C$32,MATCH(Suiza_DE_CN_ID!B73,Mercados!$A$2:$A$32,0)),"Revisar Tscode"))</f>
        <v/>
      </c>
      <c r="B723" s="1" t="str">
        <f aca="false">IF(Suiza_DE_CN_ID!A73="","",Suiza_DE_CN_ID!A73)</f>
        <v/>
      </c>
      <c r="C723" s="1" t="str">
        <f aca="false">IF(Suiza_DE_CN_ID!A73="","",Suiza_DE_CN_ID!C73)</f>
        <v/>
      </c>
      <c r="D723" s="1" t="str">
        <f aca="false">IF(Suiza_DE_CN_ID!A73="","",Suiza_DE_CN_ID!D73)</f>
        <v/>
      </c>
      <c r="E723" s="1" t="str">
        <f aca="false">IF(Suiza_DE_CN_ID!A73="","",Suiza_DE_CN_ID!E73)</f>
        <v/>
      </c>
      <c r="F723" s="1" t="str">
        <f aca="false">IF(Suiza_DE_CN_ID!A73="","",Suiza_DE_CN_ID!G73)</f>
        <v/>
      </c>
      <c r="I723" s="1" t="str">
        <f aca="false">IF(Suiza_DE_CN_ID!A73="","",Suiza_DE_CN_ID!H73)</f>
        <v/>
      </c>
      <c r="J723" s="1" t="str">
        <f aca="false">IF(Suiza_DE_CN_ID!A73="","",Suiza_DE_CN_ID!I73)</f>
        <v/>
      </c>
      <c r="K723" s="1" t="str">
        <f aca="false">IF(Suiza_DE_CN_ID!A73="","",UPPER(Suiza_DE_CN_ID!J73))</f>
        <v/>
      </c>
      <c r="L723" s="1" t="str">
        <f aca="false">IF(Suiza_DE_CN_ID!A73="","",IFERROR(INDEX(Gamma_Catalogo!$D$3:$D$1451,MATCH(Suiza_DE_CN_ID!D73,Gamma_Catalogo!$A$3:$A$1451,0)),"Revisar Ip Code"))</f>
        <v/>
      </c>
      <c r="M723" s="1" t="str">
        <f aca="false">IF(Suiza_DE_CN_ID!A73="","",IFERROR(INDEX(Gamma_Catalogo!$C$3:$C$1451,MATCH(Suiza_DE_CN_ID!D73,Gamma_Catalogo!$A$3:$A$1451,0)),"Revisar Ip Code"))</f>
        <v/>
      </c>
      <c r="N723" s="1" t="str">
        <f aca="false">IF(Suiza_DE_CN_ID!A73="","",IFERROR(INDEX(Gamma_Catalogo!$E$3:$E$1451,MATCH(Suiza_DE_CN_ID!D73,Gamma_Catalogo!$A$3:$A$1451,0)),"Revisar Ip Code"))</f>
        <v/>
      </c>
      <c r="O723" s="1" t="str">
        <f aca="false">IF(Suiza_DE_CN_ID!A73="","","Suiza")</f>
        <v/>
      </c>
    </row>
    <row r="724" customFormat="false" ht="15" hidden="false" customHeight="true" outlineLevel="0" collapsed="false">
      <c r="A724" s="1" t="str">
        <f aca="false">IF(Suiza_DE_CN_ID!A74="","",IFERROR(INDEX(Mercados!$C$2:$C$32,MATCH(Suiza_DE_CN_ID!B74,Mercados!$A$2:$A$32,0)),"Revisar Tscode"))</f>
        <v/>
      </c>
      <c r="B724" s="1" t="str">
        <f aca="false">IF(Suiza_DE_CN_ID!A74="","",Suiza_DE_CN_ID!A74)</f>
        <v/>
      </c>
      <c r="C724" s="1" t="str">
        <f aca="false">IF(Suiza_DE_CN_ID!A74="","",Suiza_DE_CN_ID!C74)</f>
        <v/>
      </c>
      <c r="D724" s="1" t="str">
        <f aca="false">IF(Suiza_DE_CN_ID!A74="","",Suiza_DE_CN_ID!D74)</f>
        <v/>
      </c>
      <c r="E724" s="1" t="str">
        <f aca="false">IF(Suiza_DE_CN_ID!A74="","",Suiza_DE_CN_ID!E74)</f>
        <v/>
      </c>
      <c r="F724" s="1" t="str">
        <f aca="false">IF(Suiza_DE_CN_ID!A74="","",Suiza_DE_CN_ID!G74)</f>
        <v/>
      </c>
      <c r="I724" s="1" t="str">
        <f aca="false">IF(Suiza_DE_CN_ID!A74="","",Suiza_DE_CN_ID!H74)</f>
        <v/>
      </c>
      <c r="J724" s="1" t="str">
        <f aca="false">IF(Suiza_DE_CN_ID!A74="","",Suiza_DE_CN_ID!I74)</f>
        <v/>
      </c>
      <c r="K724" s="1" t="str">
        <f aca="false">IF(Suiza_DE_CN_ID!A74="","",UPPER(Suiza_DE_CN_ID!J74))</f>
        <v/>
      </c>
      <c r="L724" s="1" t="str">
        <f aca="false">IF(Suiza_DE_CN_ID!A74="","",IFERROR(INDEX(Gamma_Catalogo!$D$3:$D$1451,MATCH(Suiza_DE_CN_ID!D74,Gamma_Catalogo!$A$3:$A$1451,0)),"Revisar Ip Code"))</f>
        <v/>
      </c>
      <c r="M724" s="1" t="str">
        <f aca="false">IF(Suiza_DE_CN_ID!A74="","",IFERROR(INDEX(Gamma_Catalogo!$C$3:$C$1451,MATCH(Suiza_DE_CN_ID!D74,Gamma_Catalogo!$A$3:$A$1451,0)),"Revisar Ip Code"))</f>
        <v/>
      </c>
      <c r="N724" s="1" t="str">
        <f aca="false">IF(Suiza_DE_CN_ID!A74="","",IFERROR(INDEX(Gamma_Catalogo!$E$3:$E$1451,MATCH(Suiza_DE_CN_ID!D74,Gamma_Catalogo!$A$3:$A$1451,0)),"Revisar Ip Code"))</f>
        <v/>
      </c>
      <c r="O724" s="1" t="str">
        <f aca="false">IF(Suiza_DE_CN_ID!A74="","","Suiza")</f>
        <v/>
      </c>
    </row>
    <row r="725" customFormat="false" ht="15" hidden="false" customHeight="true" outlineLevel="0" collapsed="false">
      <c r="A725" s="1" t="str">
        <f aca="false">IF(Suiza_DE_CN_ID!A75="","",IFERROR(INDEX(Mercados!$C$2:$C$32,MATCH(Suiza_DE_CN_ID!B75,Mercados!$A$2:$A$32,0)),"Revisar Tscode"))</f>
        <v/>
      </c>
      <c r="B725" s="1" t="str">
        <f aca="false">IF(Suiza_DE_CN_ID!A75="","",Suiza_DE_CN_ID!A75)</f>
        <v/>
      </c>
      <c r="C725" s="1" t="str">
        <f aca="false">IF(Suiza_DE_CN_ID!A75="","",Suiza_DE_CN_ID!C75)</f>
        <v/>
      </c>
      <c r="D725" s="1" t="str">
        <f aca="false">IF(Suiza_DE_CN_ID!A75="","",Suiza_DE_CN_ID!D75)</f>
        <v/>
      </c>
      <c r="E725" s="1" t="str">
        <f aca="false">IF(Suiza_DE_CN_ID!A75="","",Suiza_DE_CN_ID!E75)</f>
        <v/>
      </c>
      <c r="F725" s="1" t="str">
        <f aca="false">IF(Suiza_DE_CN_ID!A75="","",Suiza_DE_CN_ID!G75)</f>
        <v/>
      </c>
      <c r="I725" s="1" t="str">
        <f aca="false">IF(Suiza_DE_CN_ID!A75="","",Suiza_DE_CN_ID!H75)</f>
        <v/>
      </c>
      <c r="J725" s="1" t="str">
        <f aca="false">IF(Suiza_DE_CN_ID!A75="","",Suiza_DE_CN_ID!I75)</f>
        <v/>
      </c>
      <c r="K725" s="1" t="str">
        <f aca="false">IF(Suiza_DE_CN_ID!A75="","",UPPER(Suiza_DE_CN_ID!J75))</f>
        <v/>
      </c>
      <c r="L725" s="1" t="str">
        <f aca="false">IF(Suiza_DE_CN_ID!A75="","",IFERROR(INDEX(Gamma_Catalogo!$D$3:$D$1451,MATCH(Suiza_DE_CN_ID!D75,Gamma_Catalogo!$A$3:$A$1451,0)),"Revisar Ip Code"))</f>
        <v/>
      </c>
      <c r="M725" s="1" t="str">
        <f aca="false">IF(Suiza_DE_CN_ID!A75="","",IFERROR(INDEX(Gamma_Catalogo!$C$3:$C$1451,MATCH(Suiza_DE_CN_ID!D75,Gamma_Catalogo!$A$3:$A$1451,0)),"Revisar Ip Code"))</f>
        <v/>
      </c>
      <c r="N725" s="1" t="str">
        <f aca="false">IF(Suiza_DE_CN_ID!A75="","",IFERROR(INDEX(Gamma_Catalogo!$E$3:$E$1451,MATCH(Suiza_DE_CN_ID!D75,Gamma_Catalogo!$A$3:$A$1451,0)),"Revisar Ip Code"))</f>
        <v/>
      </c>
      <c r="O725" s="1" t="str">
        <f aca="false">IF(Suiza_DE_CN_ID!A75="","","Suiza")</f>
        <v/>
      </c>
    </row>
    <row r="726" customFormat="false" ht="15" hidden="false" customHeight="true" outlineLevel="0" collapsed="false">
      <c r="A726" s="1" t="str">
        <f aca="false">IF(Suiza_DE_CN_ID!A76="","",IFERROR(INDEX(Mercados!$C$2:$C$32,MATCH(Suiza_DE_CN_ID!B76,Mercados!$A$2:$A$32,0)),"Revisar Tscode"))</f>
        <v/>
      </c>
      <c r="B726" s="1" t="str">
        <f aca="false">IF(Suiza_DE_CN_ID!A76="","",Suiza_DE_CN_ID!A76)</f>
        <v/>
      </c>
      <c r="C726" s="1" t="str">
        <f aca="false">IF(Suiza_DE_CN_ID!A76="","",Suiza_DE_CN_ID!C76)</f>
        <v/>
      </c>
      <c r="D726" s="1" t="str">
        <f aca="false">IF(Suiza_DE_CN_ID!A76="","",Suiza_DE_CN_ID!D76)</f>
        <v/>
      </c>
      <c r="E726" s="1" t="str">
        <f aca="false">IF(Suiza_DE_CN_ID!A76="","",Suiza_DE_CN_ID!E76)</f>
        <v/>
      </c>
      <c r="F726" s="1" t="str">
        <f aca="false">IF(Suiza_DE_CN_ID!A76="","",Suiza_DE_CN_ID!G76)</f>
        <v/>
      </c>
      <c r="I726" s="1" t="str">
        <f aca="false">IF(Suiza_DE_CN_ID!A76="","",Suiza_DE_CN_ID!H76)</f>
        <v/>
      </c>
      <c r="J726" s="1" t="str">
        <f aca="false">IF(Suiza_DE_CN_ID!A76="","",Suiza_DE_CN_ID!I76)</f>
        <v/>
      </c>
      <c r="K726" s="1" t="str">
        <f aca="false">IF(Suiza_DE_CN_ID!A76="","",UPPER(Suiza_DE_CN_ID!J76))</f>
        <v/>
      </c>
      <c r="L726" s="1" t="str">
        <f aca="false">IF(Suiza_DE_CN_ID!A76="","",IFERROR(INDEX(Gamma_Catalogo!$D$3:$D$1451,MATCH(Suiza_DE_CN_ID!D76,Gamma_Catalogo!$A$3:$A$1451,0)),"Revisar Ip Code"))</f>
        <v/>
      </c>
      <c r="M726" s="1" t="str">
        <f aca="false">IF(Suiza_DE_CN_ID!A76="","",IFERROR(INDEX(Gamma_Catalogo!$C$3:$C$1451,MATCH(Suiza_DE_CN_ID!D76,Gamma_Catalogo!$A$3:$A$1451,0)),"Revisar Ip Code"))</f>
        <v/>
      </c>
      <c r="N726" s="1" t="str">
        <f aca="false">IF(Suiza_DE_CN_ID!A76="","",IFERROR(INDEX(Gamma_Catalogo!$E$3:$E$1451,MATCH(Suiza_DE_CN_ID!D76,Gamma_Catalogo!$A$3:$A$1451,0)),"Revisar Ip Code"))</f>
        <v/>
      </c>
      <c r="O726" s="1" t="str">
        <f aca="false">IF(Suiza_DE_CN_ID!A76="","","Suiza")</f>
        <v/>
      </c>
    </row>
    <row r="727" customFormat="false" ht="15" hidden="false" customHeight="true" outlineLevel="0" collapsed="false">
      <c r="A727" s="1" t="str">
        <f aca="false">IF(Suiza_DE_CN_ID!A77="","",IFERROR(INDEX(Mercados!$C$2:$C$32,MATCH(Suiza_DE_CN_ID!B77,Mercados!$A$2:$A$32,0)),"Revisar Tscode"))</f>
        <v/>
      </c>
      <c r="B727" s="1" t="str">
        <f aca="false">IF(Suiza_DE_CN_ID!A77="","",Suiza_DE_CN_ID!A77)</f>
        <v/>
      </c>
      <c r="C727" s="1" t="str">
        <f aca="false">IF(Suiza_DE_CN_ID!A77="","",Suiza_DE_CN_ID!C77)</f>
        <v/>
      </c>
      <c r="D727" s="1" t="str">
        <f aca="false">IF(Suiza_DE_CN_ID!A77="","",Suiza_DE_CN_ID!D77)</f>
        <v/>
      </c>
      <c r="E727" s="1" t="str">
        <f aca="false">IF(Suiza_DE_CN_ID!A77="","",Suiza_DE_CN_ID!E77)</f>
        <v/>
      </c>
      <c r="F727" s="1" t="str">
        <f aca="false">IF(Suiza_DE_CN_ID!A77="","",Suiza_DE_CN_ID!G77)</f>
        <v/>
      </c>
      <c r="I727" s="1" t="str">
        <f aca="false">IF(Suiza_DE_CN_ID!A77="","",Suiza_DE_CN_ID!H77)</f>
        <v/>
      </c>
      <c r="J727" s="1" t="str">
        <f aca="false">IF(Suiza_DE_CN_ID!A77="","",Suiza_DE_CN_ID!I77)</f>
        <v/>
      </c>
      <c r="K727" s="1" t="str">
        <f aca="false">IF(Suiza_DE_CN_ID!A77="","",UPPER(Suiza_DE_CN_ID!J77))</f>
        <v/>
      </c>
      <c r="L727" s="1" t="str">
        <f aca="false">IF(Suiza_DE_CN_ID!A77="","",IFERROR(INDEX(Gamma_Catalogo!$D$3:$D$1451,MATCH(Suiza_DE_CN_ID!D77,Gamma_Catalogo!$A$3:$A$1451,0)),"Revisar Ip Code"))</f>
        <v/>
      </c>
      <c r="M727" s="1" t="str">
        <f aca="false">IF(Suiza_DE_CN_ID!A77="","",IFERROR(INDEX(Gamma_Catalogo!$C$3:$C$1451,MATCH(Suiza_DE_CN_ID!D77,Gamma_Catalogo!$A$3:$A$1451,0)),"Revisar Ip Code"))</f>
        <v/>
      </c>
      <c r="N727" s="1" t="str">
        <f aca="false">IF(Suiza_DE_CN_ID!A77="","",IFERROR(INDEX(Gamma_Catalogo!$E$3:$E$1451,MATCH(Suiza_DE_CN_ID!D77,Gamma_Catalogo!$A$3:$A$1451,0)),"Revisar Ip Code"))</f>
        <v/>
      </c>
      <c r="O727" s="1" t="str">
        <f aca="false">IF(Suiza_DE_CN_ID!A77="","","Suiza")</f>
        <v/>
      </c>
    </row>
    <row r="728" customFormat="false" ht="15" hidden="false" customHeight="true" outlineLevel="0" collapsed="false">
      <c r="A728" s="1" t="str">
        <f aca="false">IF(Suiza_DE_CN_ID!A78="","",IFERROR(INDEX(Mercados!$C$2:$C$32,MATCH(Suiza_DE_CN_ID!B78,Mercados!$A$2:$A$32,0)),"Revisar Tscode"))</f>
        <v/>
      </c>
      <c r="B728" s="1" t="str">
        <f aca="false">IF(Suiza_DE_CN_ID!A78="","",Suiza_DE_CN_ID!A78)</f>
        <v/>
      </c>
      <c r="C728" s="1" t="str">
        <f aca="false">IF(Suiza_DE_CN_ID!A78="","",Suiza_DE_CN_ID!C78)</f>
        <v/>
      </c>
      <c r="D728" s="1" t="str">
        <f aca="false">IF(Suiza_DE_CN_ID!A78="","",Suiza_DE_CN_ID!D78)</f>
        <v/>
      </c>
      <c r="E728" s="1" t="str">
        <f aca="false">IF(Suiza_DE_CN_ID!A78="","",Suiza_DE_CN_ID!E78)</f>
        <v/>
      </c>
      <c r="F728" s="1" t="str">
        <f aca="false">IF(Suiza_DE_CN_ID!A78="","",Suiza_DE_CN_ID!G78)</f>
        <v/>
      </c>
      <c r="I728" s="1" t="str">
        <f aca="false">IF(Suiza_DE_CN_ID!A78="","",Suiza_DE_CN_ID!H78)</f>
        <v/>
      </c>
      <c r="J728" s="1" t="str">
        <f aca="false">IF(Suiza_DE_CN_ID!A78="","",Suiza_DE_CN_ID!I78)</f>
        <v/>
      </c>
      <c r="K728" s="1" t="str">
        <f aca="false">IF(Suiza_DE_CN_ID!A78="","",UPPER(Suiza_DE_CN_ID!J78))</f>
        <v/>
      </c>
      <c r="L728" s="1" t="str">
        <f aca="false">IF(Suiza_DE_CN_ID!A78="","",IFERROR(INDEX(Gamma_Catalogo!$D$3:$D$1451,MATCH(Suiza_DE_CN_ID!D78,Gamma_Catalogo!$A$3:$A$1451,0)),"Revisar Ip Code"))</f>
        <v/>
      </c>
      <c r="M728" s="1" t="str">
        <f aca="false">IF(Suiza_DE_CN_ID!A78="","",IFERROR(INDEX(Gamma_Catalogo!$C$3:$C$1451,MATCH(Suiza_DE_CN_ID!D78,Gamma_Catalogo!$A$3:$A$1451,0)),"Revisar Ip Code"))</f>
        <v/>
      </c>
      <c r="N728" s="1" t="str">
        <f aca="false">IF(Suiza_DE_CN_ID!A78="","",IFERROR(INDEX(Gamma_Catalogo!$E$3:$E$1451,MATCH(Suiza_DE_CN_ID!D78,Gamma_Catalogo!$A$3:$A$1451,0)),"Revisar Ip Code"))</f>
        <v/>
      </c>
      <c r="O728" s="1" t="str">
        <f aca="false">IF(Suiza_DE_CN_ID!A78="","","Suiza")</f>
        <v/>
      </c>
    </row>
    <row r="729" customFormat="false" ht="15" hidden="false" customHeight="true" outlineLevel="0" collapsed="false">
      <c r="A729" s="1" t="str">
        <f aca="false">IF(Suiza_DE_CN_ID!A79="","",IFERROR(INDEX(Mercados!$C$2:$C$32,MATCH(Suiza_DE_CN_ID!B79,Mercados!$A$2:$A$32,0)),"Revisar Tscode"))</f>
        <v/>
      </c>
      <c r="B729" s="1" t="str">
        <f aca="false">IF(Suiza_DE_CN_ID!A79="","",Suiza_DE_CN_ID!A79)</f>
        <v/>
      </c>
      <c r="C729" s="1" t="str">
        <f aca="false">IF(Suiza_DE_CN_ID!A79="","",Suiza_DE_CN_ID!C79)</f>
        <v/>
      </c>
      <c r="D729" s="1" t="str">
        <f aca="false">IF(Suiza_DE_CN_ID!A79="","",Suiza_DE_CN_ID!D79)</f>
        <v/>
      </c>
      <c r="E729" s="1" t="str">
        <f aca="false">IF(Suiza_DE_CN_ID!A79="","",Suiza_DE_CN_ID!E79)</f>
        <v/>
      </c>
      <c r="F729" s="1" t="str">
        <f aca="false">IF(Suiza_DE_CN_ID!A79="","",Suiza_DE_CN_ID!G79)</f>
        <v/>
      </c>
      <c r="I729" s="1" t="str">
        <f aca="false">IF(Suiza_DE_CN_ID!A79="","",Suiza_DE_CN_ID!H79)</f>
        <v/>
      </c>
      <c r="J729" s="1" t="str">
        <f aca="false">IF(Suiza_DE_CN_ID!A79="","",Suiza_DE_CN_ID!I79)</f>
        <v/>
      </c>
      <c r="K729" s="1" t="str">
        <f aca="false">IF(Suiza_DE_CN_ID!A79="","",UPPER(Suiza_DE_CN_ID!J79))</f>
        <v/>
      </c>
      <c r="L729" s="1" t="str">
        <f aca="false">IF(Suiza_DE_CN_ID!A79="","",IFERROR(INDEX(Gamma_Catalogo!$D$3:$D$1451,MATCH(Suiza_DE_CN_ID!D79,Gamma_Catalogo!$A$3:$A$1451,0)),"Revisar Ip Code"))</f>
        <v/>
      </c>
      <c r="M729" s="1" t="str">
        <f aca="false">IF(Suiza_DE_CN_ID!A79="","",IFERROR(INDEX(Gamma_Catalogo!$C$3:$C$1451,MATCH(Suiza_DE_CN_ID!D79,Gamma_Catalogo!$A$3:$A$1451,0)),"Revisar Ip Code"))</f>
        <v/>
      </c>
      <c r="N729" s="1" t="str">
        <f aca="false">IF(Suiza_DE_CN_ID!A79="","",IFERROR(INDEX(Gamma_Catalogo!$E$3:$E$1451,MATCH(Suiza_DE_CN_ID!D79,Gamma_Catalogo!$A$3:$A$1451,0)),"Revisar Ip Code"))</f>
        <v/>
      </c>
      <c r="O729" s="1" t="str">
        <f aca="false">IF(Suiza_DE_CN_ID!A79="","","Suiza")</f>
        <v/>
      </c>
    </row>
    <row r="730" customFormat="false" ht="15" hidden="false" customHeight="true" outlineLevel="0" collapsed="false">
      <c r="A730" s="1" t="str">
        <f aca="false">IF(Suiza_DE_CN_ID!A80="","",IFERROR(INDEX(Mercados!$C$2:$C$32,MATCH(Suiza_DE_CN_ID!B80,Mercados!$A$2:$A$32,0)),"Revisar Tscode"))</f>
        <v/>
      </c>
      <c r="B730" s="1" t="str">
        <f aca="false">IF(Suiza_DE_CN_ID!A80="","",Suiza_DE_CN_ID!A80)</f>
        <v/>
      </c>
      <c r="C730" s="1" t="str">
        <f aca="false">IF(Suiza_DE_CN_ID!A80="","",Suiza_DE_CN_ID!C80)</f>
        <v/>
      </c>
      <c r="D730" s="1" t="str">
        <f aca="false">IF(Suiza_DE_CN_ID!A80="","",Suiza_DE_CN_ID!D80)</f>
        <v/>
      </c>
      <c r="E730" s="1" t="str">
        <f aca="false">IF(Suiza_DE_CN_ID!A80="","",Suiza_DE_CN_ID!E80)</f>
        <v/>
      </c>
      <c r="F730" s="1" t="str">
        <f aca="false">IF(Suiza_DE_CN_ID!A80="","",Suiza_DE_CN_ID!G80)</f>
        <v/>
      </c>
      <c r="I730" s="1" t="str">
        <f aca="false">IF(Suiza_DE_CN_ID!A80="","",Suiza_DE_CN_ID!H80)</f>
        <v/>
      </c>
      <c r="J730" s="1" t="str">
        <f aca="false">IF(Suiza_DE_CN_ID!A80="","",Suiza_DE_CN_ID!I80)</f>
        <v/>
      </c>
      <c r="K730" s="1" t="str">
        <f aca="false">IF(Suiza_DE_CN_ID!A80="","",UPPER(Suiza_DE_CN_ID!J80))</f>
        <v/>
      </c>
      <c r="L730" s="1" t="str">
        <f aca="false">IF(Suiza_DE_CN_ID!A80="","",IFERROR(INDEX(Gamma_Catalogo!$D$3:$D$1451,MATCH(Suiza_DE_CN_ID!D80,Gamma_Catalogo!$A$3:$A$1451,0)),"Revisar Ip Code"))</f>
        <v/>
      </c>
      <c r="M730" s="1" t="str">
        <f aca="false">IF(Suiza_DE_CN_ID!A80="","",IFERROR(INDEX(Gamma_Catalogo!$C$3:$C$1451,MATCH(Suiza_DE_CN_ID!D80,Gamma_Catalogo!$A$3:$A$1451,0)),"Revisar Ip Code"))</f>
        <v/>
      </c>
      <c r="N730" s="1" t="str">
        <f aca="false">IF(Suiza_DE_CN_ID!A80="","",IFERROR(INDEX(Gamma_Catalogo!$E$3:$E$1451,MATCH(Suiza_DE_CN_ID!D80,Gamma_Catalogo!$A$3:$A$1451,0)),"Revisar Ip Code"))</f>
        <v/>
      </c>
      <c r="O730" s="1" t="str">
        <f aca="false">IF(Suiza_DE_CN_ID!A80="","","Suiza")</f>
        <v/>
      </c>
    </row>
    <row r="731" customFormat="false" ht="15" hidden="false" customHeight="true" outlineLevel="0" collapsed="false">
      <c r="A731" s="1" t="str">
        <f aca="false">IF(Suiza_DE_CN_ID!A81="","",IFERROR(INDEX(Mercados!$C$2:$C$32,MATCH(Suiza_DE_CN_ID!B81,Mercados!$A$2:$A$32,0)),"Revisar Tscode"))</f>
        <v/>
      </c>
      <c r="B731" s="1" t="str">
        <f aca="false">IF(Suiza_DE_CN_ID!A81="","",Suiza_DE_CN_ID!A81)</f>
        <v/>
      </c>
      <c r="C731" s="1" t="str">
        <f aca="false">IF(Suiza_DE_CN_ID!A81="","",Suiza_DE_CN_ID!C81)</f>
        <v/>
      </c>
      <c r="D731" s="1" t="str">
        <f aca="false">IF(Suiza_DE_CN_ID!A81="","",Suiza_DE_CN_ID!D81)</f>
        <v/>
      </c>
      <c r="E731" s="1" t="str">
        <f aca="false">IF(Suiza_DE_CN_ID!A81="","",Suiza_DE_CN_ID!E81)</f>
        <v/>
      </c>
      <c r="F731" s="1" t="str">
        <f aca="false">IF(Suiza_DE_CN_ID!A81="","",Suiza_DE_CN_ID!G81)</f>
        <v/>
      </c>
      <c r="I731" s="1" t="str">
        <f aca="false">IF(Suiza_DE_CN_ID!A81="","",Suiza_DE_CN_ID!H81)</f>
        <v/>
      </c>
      <c r="J731" s="1" t="str">
        <f aca="false">IF(Suiza_DE_CN_ID!A81="","",Suiza_DE_CN_ID!I81)</f>
        <v/>
      </c>
      <c r="K731" s="1" t="str">
        <f aca="false">IF(Suiza_DE_CN_ID!A81="","",UPPER(Suiza_DE_CN_ID!J81))</f>
        <v/>
      </c>
      <c r="L731" s="1" t="str">
        <f aca="false">IF(Suiza_DE_CN_ID!A81="","",IFERROR(INDEX(Gamma_Catalogo!$D$3:$D$1451,MATCH(Suiza_DE_CN_ID!D81,Gamma_Catalogo!$A$3:$A$1451,0)),"Revisar Ip Code"))</f>
        <v/>
      </c>
      <c r="M731" s="1" t="str">
        <f aca="false">IF(Suiza_DE_CN_ID!A81="","",IFERROR(INDEX(Gamma_Catalogo!$C$3:$C$1451,MATCH(Suiza_DE_CN_ID!D81,Gamma_Catalogo!$A$3:$A$1451,0)),"Revisar Ip Code"))</f>
        <v/>
      </c>
      <c r="N731" s="1" t="str">
        <f aca="false">IF(Suiza_DE_CN_ID!A81="","",IFERROR(INDEX(Gamma_Catalogo!$E$3:$E$1451,MATCH(Suiza_DE_CN_ID!D81,Gamma_Catalogo!$A$3:$A$1451,0)),"Revisar Ip Code"))</f>
        <v/>
      </c>
      <c r="O731" s="1" t="str">
        <f aca="false">IF(Suiza_DE_CN_ID!A81="","","Suiza")</f>
        <v/>
      </c>
    </row>
    <row r="732" customFormat="false" ht="15" hidden="false" customHeight="true" outlineLevel="0" collapsed="false">
      <c r="A732" s="1" t="str">
        <f aca="false">IF(Suiza_DE_CN_ID!A82="","",IFERROR(INDEX(Mercados!$C$2:$C$32,MATCH(Suiza_DE_CN_ID!B82,Mercados!$A$2:$A$32,0)),"Revisar Tscode"))</f>
        <v/>
      </c>
      <c r="B732" s="1" t="str">
        <f aca="false">IF(Suiza_DE_CN_ID!A82="","",Suiza_DE_CN_ID!A82)</f>
        <v/>
      </c>
      <c r="C732" s="1" t="str">
        <f aca="false">IF(Suiza_DE_CN_ID!A82="","",Suiza_DE_CN_ID!C82)</f>
        <v/>
      </c>
      <c r="D732" s="1" t="str">
        <f aca="false">IF(Suiza_DE_CN_ID!A82="","",Suiza_DE_CN_ID!D82)</f>
        <v/>
      </c>
      <c r="E732" s="1" t="str">
        <f aca="false">IF(Suiza_DE_CN_ID!A82="","",Suiza_DE_CN_ID!E82)</f>
        <v/>
      </c>
      <c r="F732" s="1" t="str">
        <f aca="false">IF(Suiza_DE_CN_ID!A82="","",Suiza_DE_CN_ID!G82)</f>
        <v/>
      </c>
      <c r="I732" s="1" t="str">
        <f aca="false">IF(Suiza_DE_CN_ID!A82="","",Suiza_DE_CN_ID!H82)</f>
        <v/>
      </c>
      <c r="J732" s="1" t="str">
        <f aca="false">IF(Suiza_DE_CN_ID!A82="","",Suiza_DE_CN_ID!I82)</f>
        <v/>
      </c>
      <c r="K732" s="1" t="str">
        <f aca="false">IF(Suiza_DE_CN_ID!A82="","",UPPER(Suiza_DE_CN_ID!J82))</f>
        <v/>
      </c>
      <c r="L732" s="1" t="str">
        <f aca="false">IF(Suiza_DE_CN_ID!A82="","",IFERROR(INDEX(Gamma_Catalogo!$D$3:$D$1451,MATCH(Suiza_DE_CN_ID!D82,Gamma_Catalogo!$A$3:$A$1451,0)),"Revisar Ip Code"))</f>
        <v/>
      </c>
      <c r="M732" s="1" t="str">
        <f aca="false">IF(Suiza_DE_CN_ID!A82="","",IFERROR(INDEX(Gamma_Catalogo!$C$3:$C$1451,MATCH(Suiza_DE_CN_ID!D82,Gamma_Catalogo!$A$3:$A$1451,0)),"Revisar Ip Code"))</f>
        <v/>
      </c>
      <c r="N732" s="1" t="str">
        <f aca="false">IF(Suiza_DE_CN_ID!A82="","",IFERROR(INDEX(Gamma_Catalogo!$E$3:$E$1451,MATCH(Suiza_DE_CN_ID!D82,Gamma_Catalogo!$A$3:$A$1451,0)),"Revisar Ip Code"))</f>
        <v/>
      </c>
      <c r="O732" s="1" t="str">
        <f aca="false">IF(Suiza_DE_CN_ID!A82="","","Suiza")</f>
        <v/>
      </c>
    </row>
    <row r="733" customFormat="false" ht="15" hidden="false" customHeight="true" outlineLevel="0" collapsed="false">
      <c r="A733" s="1" t="str">
        <f aca="false">IF(Suiza_DE_CN_ID!A83="","",IFERROR(INDEX(Mercados!$C$2:$C$32,MATCH(Suiza_DE_CN_ID!B83,Mercados!$A$2:$A$32,0)),"Revisar Tscode"))</f>
        <v/>
      </c>
      <c r="B733" s="1" t="str">
        <f aca="false">IF(Suiza_DE_CN_ID!A83="","",Suiza_DE_CN_ID!A83)</f>
        <v/>
      </c>
      <c r="C733" s="1" t="str">
        <f aca="false">IF(Suiza_DE_CN_ID!A83="","",Suiza_DE_CN_ID!C83)</f>
        <v/>
      </c>
      <c r="D733" s="1" t="str">
        <f aca="false">IF(Suiza_DE_CN_ID!A83="","",Suiza_DE_CN_ID!D83)</f>
        <v/>
      </c>
      <c r="E733" s="1" t="str">
        <f aca="false">IF(Suiza_DE_CN_ID!A83="","",Suiza_DE_CN_ID!E83)</f>
        <v/>
      </c>
      <c r="F733" s="1" t="str">
        <f aca="false">IF(Suiza_DE_CN_ID!A83="","",Suiza_DE_CN_ID!G83)</f>
        <v/>
      </c>
      <c r="I733" s="1" t="str">
        <f aca="false">IF(Suiza_DE_CN_ID!A83="","",Suiza_DE_CN_ID!H83)</f>
        <v/>
      </c>
      <c r="J733" s="1" t="str">
        <f aca="false">IF(Suiza_DE_CN_ID!A83="","",Suiza_DE_CN_ID!I83)</f>
        <v/>
      </c>
      <c r="K733" s="1" t="str">
        <f aca="false">IF(Suiza_DE_CN_ID!A83="","",UPPER(Suiza_DE_CN_ID!J83))</f>
        <v/>
      </c>
      <c r="L733" s="1" t="str">
        <f aca="false">IF(Suiza_DE_CN_ID!A83="","",IFERROR(INDEX(Gamma_Catalogo!$D$3:$D$1451,MATCH(Suiza_DE_CN_ID!D83,Gamma_Catalogo!$A$3:$A$1451,0)),"Revisar Ip Code"))</f>
        <v/>
      </c>
      <c r="M733" s="1" t="str">
        <f aca="false">IF(Suiza_DE_CN_ID!A83="","",IFERROR(INDEX(Gamma_Catalogo!$C$3:$C$1451,MATCH(Suiza_DE_CN_ID!D83,Gamma_Catalogo!$A$3:$A$1451,0)),"Revisar Ip Code"))</f>
        <v/>
      </c>
      <c r="N733" s="1" t="str">
        <f aca="false">IF(Suiza_DE_CN_ID!A83="","",IFERROR(INDEX(Gamma_Catalogo!$E$3:$E$1451,MATCH(Suiza_DE_CN_ID!D83,Gamma_Catalogo!$A$3:$A$1451,0)),"Revisar Ip Code"))</f>
        <v/>
      </c>
      <c r="O733" s="1" t="str">
        <f aca="false">IF(Suiza_DE_CN_ID!A83="","","Suiza")</f>
        <v/>
      </c>
    </row>
    <row r="734" customFormat="false" ht="15" hidden="false" customHeight="true" outlineLevel="0" collapsed="false">
      <c r="A734" s="1" t="str">
        <f aca="false">IF(Suiza_DE_CN_ID!A84="","",IFERROR(INDEX(Mercados!$C$2:$C$32,MATCH(Suiza_DE_CN_ID!B84,Mercados!$A$2:$A$32,0)),"Revisar Tscode"))</f>
        <v/>
      </c>
      <c r="B734" s="1" t="str">
        <f aca="false">IF(Suiza_DE_CN_ID!A84="","",Suiza_DE_CN_ID!A84)</f>
        <v/>
      </c>
      <c r="C734" s="1" t="str">
        <f aca="false">IF(Suiza_DE_CN_ID!A84="","",Suiza_DE_CN_ID!C84)</f>
        <v/>
      </c>
      <c r="D734" s="1" t="str">
        <f aca="false">IF(Suiza_DE_CN_ID!A84="","",Suiza_DE_CN_ID!D84)</f>
        <v/>
      </c>
      <c r="E734" s="1" t="str">
        <f aca="false">IF(Suiza_DE_CN_ID!A84="","",Suiza_DE_CN_ID!E84)</f>
        <v/>
      </c>
      <c r="F734" s="1" t="str">
        <f aca="false">IF(Suiza_DE_CN_ID!A84="","",Suiza_DE_CN_ID!G84)</f>
        <v/>
      </c>
      <c r="I734" s="1" t="str">
        <f aca="false">IF(Suiza_DE_CN_ID!A84="","",Suiza_DE_CN_ID!H84)</f>
        <v/>
      </c>
      <c r="J734" s="1" t="str">
        <f aca="false">IF(Suiza_DE_CN_ID!A84="","",Suiza_DE_CN_ID!I84)</f>
        <v/>
      </c>
      <c r="K734" s="1" t="str">
        <f aca="false">IF(Suiza_DE_CN_ID!A84="","",UPPER(Suiza_DE_CN_ID!J84))</f>
        <v/>
      </c>
      <c r="L734" s="1" t="str">
        <f aca="false">IF(Suiza_DE_CN_ID!A84="","",IFERROR(INDEX(Gamma_Catalogo!$D$3:$D$1451,MATCH(Suiza_DE_CN_ID!D84,Gamma_Catalogo!$A$3:$A$1451,0)),"Revisar Ip Code"))</f>
        <v/>
      </c>
      <c r="M734" s="1" t="str">
        <f aca="false">IF(Suiza_DE_CN_ID!A84="","",IFERROR(INDEX(Gamma_Catalogo!$C$3:$C$1451,MATCH(Suiza_DE_CN_ID!D84,Gamma_Catalogo!$A$3:$A$1451,0)),"Revisar Ip Code"))</f>
        <v/>
      </c>
      <c r="N734" s="1" t="str">
        <f aca="false">IF(Suiza_DE_CN_ID!A84="","",IFERROR(INDEX(Gamma_Catalogo!$E$3:$E$1451,MATCH(Suiza_DE_CN_ID!D84,Gamma_Catalogo!$A$3:$A$1451,0)),"Revisar Ip Code"))</f>
        <v/>
      </c>
      <c r="O734" s="1" t="str">
        <f aca="false">IF(Suiza_DE_CN_ID!A84="","","Suiza")</f>
        <v/>
      </c>
    </row>
    <row r="735" customFormat="false" ht="15" hidden="false" customHeight="true" outlineLevel="0" collapsed="false">
      <c r="A735" s="1" t="str">
        <f aca="false">IF(Suiza_DE_CN_ID!A85="","",IFERROR(INDEX(Mercados!$C$2:$C$32,MATCH(Suiza_DE_CN_ID!B85,Mercados!$A$2:$A$32,0)),"Revisar Tscode"))</f>
        <v/>
      </c>
      <c r="B735" s="1" t="str">
        <f aca="false">IF(Suiza_DE_CN_ID!A85="","",Suiza_DE_CN_ID!A85)</f>
        <v/>
      </c>
      <c r="C735" s="1" t="str">
        <f aca="false">IF(Suiza_DE_CN_ID!A85="","",Suiza_DE_CN_ID!C85)</f>
        <v/>
      </c>
      <c r="D735" s="1" t="str">
        <f aca="false">IF(Suiza_DE_CN_ID!A85="","",Suiza_DE_CN_ID!D85)</f>
        <v/>
      </c>
      <c r="E735" s="1" t="str">
        <f aca="false">IF(Suiza_DE_CN_ID!A85="","",Suiza_DE_CN_ID!E85)</f>
        <v/>
      </c>
      <c r="F735" s="1" t="str">
        <f aca="false">IF(Suiza_DE_CN_ID!A85="","",Suiza_DE_CN_ID!G85)</f>
        <v/>
      </c>
      <c r="I735" s="1" t="str">
        <f aca="false">IF(Suiza_DE_CN_ID!A85="","",Suiza_DE_CN_ID!H85)</f>
        <v/>
      </c>
      <c r="J735" s="1" t="str">
        <f aca="false">IF(Suiza_DE_CN_ID!A85="","",Suiza_DE_CN_ID!I85)</f>
        <v/>
      </c>
      <c r="K735" s="1" t="str">
        <f aca="false">IF(Suiza_DE_CN_ID!A85="","",UPPER(Suiza_DE_CN_ID!J85))</f>
        <v/>
      </c>
      <c r="L735" s="1" t="str">
        <f aca="false">IF(Suiza_DE_CN_ID!A85="","",IFERROR(INDEX(Gamma_Catalogo!$D$3:$D$1451,MATCH(Suiza_DE_CN_ID!D85,Gamma_Catalogo!$A$3:$A$1451,0)),"Revisar Ip Code"))</f>
        <v/>
      </c>
      <c r="M735" s="1" t="str">
        <f aca="false">IF(Suiza_DE_CN_ID!A85="","",IFERROR(INDEX(Gamma_Catalogo!$C$3:$C$1451,MATCH(Suiza_DE_CN_ID!D85,Gamma_Catalogo!$A$3:$A$1451,0)),"Revisar Ip Code"))</f>
        <v/>
      </c>
      <c r="N735" s="1" t="str">
        <f aca="false">IF(Suiza_DE_CN_ID!A85="","",IFERROR(INDEX(Gamma_Catalogo!$E$3:$E$1451,MATCH(Suiza_DE_CN_ID!D85,Gamma_Catalogo!$A$3:$A$1451,0)),"Revisar Ip Code"))</f>
        <v/>
      </c>
      <c r="O735" s="1" t="str">
        <f aca="false">IF(Suiza_DE_CN_ID!A85="","","Suiza")</f>
        <v/>
      </c>
    </row>
    <row r="736" customFormat="false" ht="15" hidden="false" customHeight="true" outlineLevel="0" collapsed="false">
      <c r="A736" s="1" t="str">
        <f aca="false">IF(Suiza_DE_CN_ID!A86="","",IFERROR(INDEX(Mercados!$C$2:$C$32,MATCH(Suiza_DE_CN_ID!B86,Mercados!$A$2:$A$32,0)),"Revisar Tscode"))</f>
        <v/>
      </c>
      <c r="B736" s="1" t="str">
        <f aca="false">IF(Suiza_DE_CN_ID!A86="","",Suiza_DE_CN_ID!A86)</f>
        <v/>
      </c>
      <c r="C736" s="1" t="str">
        <f aca="false">IF(Suiza_DE_CN_ID!A86="","",Suiza_DE_CN_ID!C86)</f>
        <v/>
      </c>
      <c r="D736" s="1" t="str">
        <f aca="false">IF(Suiza_DE_CN_ID!A86="","",Suiza_DE_CN_ID!D86)</f>
        <v/>
      </c>
      <c r="E736" s="1" t="str">
        <f aca="false">IF(Suiza_DE_CN_ID!A86="","",Suiza_DE_CN_ID!E86)</f>
        <v/>
      </c>
      <c r="F736" s="1" t="str">
        <f aca="false">IF(Suiza_DE_CN_ID!A86="","",Suiza_DE_CN_ID!G86)</f>
        <v/>
      </c>
      <c r="I736" s="1" t="str">
        <f aca="false">IF(Suiza_DE_CN_ID!A86="","",Suiza_DE_CN_ID!H86)</f>
        <v/>
      </c>
      <c r="J736" s="1" t="str">
        <f aca="false">IF(Suiza_DE_CN_ID!A86="","",Suiza_DE_CN_ID!I86)</f>
        <v/>
      </c>
      <c r="K736" s="1" t="str">
        <f aca="false">IF(Suiza_DE_CN_ID!A86="","",UPPER(Suiza_DE_CN_ID!J86))</f>
        <v/>
      </c>
      <c r="L736" s="1" t="str">
        <f aca="false">IF(Suiza_DE_CN_ID!A86="","",IFERROR(INDEX(Gamma_Catalogo!$D$3:$D$1451,MATCH(Suiza_DE_CN_ID!D86,Gamma_Catalogo!$A$3:$A$1451,0)),"Revisar Ip Code"))</f>
        <v/>
      </c>
      <c r="M736" s="1" t="str">
        <f aca="false">IF(Suiza_DE_CN_ID!A86="","",IFERROR(INDEX(Gamma_Catalogo!$C$3:$C$1451,MATCH(Suiza_DE_CN_ID!D86,Gamma_Catalogo!$A$3:$A$1451,0)),"Revisar Ip Code"))</f>
        <v/>
      </c>
      <c r="N736" s="1" t="str">
        <f aca="false">IF(Suiza_DE_CN_ID!A86="","",IFERROR(INDEX(Gamma_Catalogo!$E$3:$E$1451,MATCH(Suiza_DE_CN_ID!D86,Gamma_Catalogo!$A$3:$A$1451,0)),"Revisar Ip Code"))</f>
        <v/>
      </c>
      <c r="O736" s="1" t="str">
        <f aca="false">IF(Suiza_DE_CN_ID!A86="","","Suiza")</f>
        <v/>
      </c>
    </row>
    <row r="737" customFormat="false" ht="15" hidden="false" customHeight="true" outlineLevel="0" collapsed="false">
      <c r="A737" s="1" t="str">
        <f aca="false">IF(Suiza_DE_CN_ID!A87="","",IFERROR(INDEX(Mercados!$C$2:$C$32,MATCH(Suiza_DE_CN_ID!B87,Mercados!$A$2:$A$32,0)),"Revisar Tscode"))</f>
        <v/>
      </c>
      <c r="B737" s="1" t="str">
        <f aca="false">IF(Suiza_DE_CN_ID!A87="","",Suiza_DE_CN_ID!A87)</f>
        <v/>
      </c>
      <c r="C737" s="1" t="str">
        <f aca="false">IF(Suiza_DE_CN_ID!A87="","",Suiza_DE_CN_ID!C87)</f>
        <v/>
      </c>
      <c r="D737" s="1" t="str">
        <f aca="false">IF(Suiza_DE_CN_ID!A87="","",Suiza_DE_CN_ID!D87)</f>
        <v/>
      </c>
      <c r="E737" s="1" t="str">
        <f aca="false">IF(Suiza_DE_CN_ID!A87="","",Suiza_DE_CN_ID!E87)</f>
        <v/>
      </c>
      <c r="F737" s="1" t="str">
        <f aca="false">IF(Suiza_DE_CN_ID!A87="","",Suiza_DE_CN_ID!G87)</f>
        <v/>
      </c>
      <c r="I737" s="1" t="str">
        <f aca="false">IF(Suiza_DE_CN_ID!A87="","",Suiza_DE_CN_ID!H87)</f>
        <v/>
      </c>
      <c r="J737" s="1" t="str">
        <f aca="false">IF(Suiza_DE_CN_ID!A87="","",Suiza_DE_CN_ID!I87)</f>
        <v/>
      </c>
      <c r="K737" s="1" t="str">
        <f aca="false">IF(Suiza_DE_CN_ID!A87="","",UPPER(Suiza_DE_CN_ID!J87))</f>
        <v/>
      </c>
      <c r="L737" s="1" t="str">
        <f aca="false">IF(Suiza_DE_CN_ID!A87="","",IFERROR(INDEX(Gamma_Catalogo!$D$3:$D$1451,MATCH(Suiza_DE_CN_ID!D87,Gamma_Catalogo!$A$3:$A$1451,0)),"Revisar Ip Code"))</f>
        <v/>
      </c>
      <c r="M737" s="1" t="str">
        <f aca="false">IF(Suiza_DE_CN_ID!A87="","",IFERROR(INDEX(Gamma_Catalogo!$C$3:$C$1451,MATCH(Suiza_DE_CN_ID!D87,Gamma_Catalogo!$A$3:$A$1451,0)),"Revisar Ip Code"))</f>
        <v/>
      </c>
      <c r="N737" s="1" t="str">
        <f aca="false">IF(Suiza_DE_CN_ID!A87="","",IFERROR(INDEX(Gamma_Catalogo!$E$3:$E$1451,MATCH(Suiza_DE_CN_ID!D87,Gamma_Catalogo!$A$3:$A$1451,0)),"Revisar Ip Code"))</f>
        <v/>
      </c>
      <c r="O737" s="1" t="str">
        <f aca="false">IF(Suiza_DE_CN_ID!A87="","","Suiza")</f>
        <v/>
      </c>
    </row>
    <row r="738" customFormat="false" ht="15" hidden="false" customHeight="true" outlineLevel="0" collapsed="false">
      <c r="A738" s="1" t="str">
        <f aca="false">IF(Suiza_DE_CN_ID!A88="","",IFERROR(INDEX(Mercados!$C$2:$C$32,MATCH(Suiza_DE_CN_ID!B88,Mercados!$A$2:$A$32,0)),"Revisar Tscode"))</f>
        <v/>
      </c>
      <c r="B738" s="1" t="str">
        <f aca="false">IF(Suiza_DE_CN_ID!A88="","",Suiza_DE_CN_ID!A88)</f>
        <v/>
      </c>
      <c r="C738" s="1" t="str">
        <f aca="false">IF(Suiza_DE_CN_ID!A88="","",Suiza_DE_CN_ID!C88)</f>
        <v/>
      </c>
      <c r="D738" s="1" t="str">
        <f aca="false">IF(Suiza_DE_CN_ID!A88="","",Suiza_DE_CN_ID!D88)</f>
        <v/>
      </c>
      <c r="E738" s="1" t="str">
        <f aca="false">IF(Suiza_DE_CN_ID!A88="","",Suiza_DE_CN_ID!E88)</f>
        <v/>
      </c>
      <c r="F738" s="1" t="str">
        <f aca="false">IF(Suiza_DE_CN_ID!A88="","",Suiza_DE_CN_ID!G88)</f>
        <v/>
      </c>
      <c r="I738" s="1" t="str">
        <f aca="false">IF(Suiza_DE_CN_ID!A88="","",Suiza_DE_CN_ID!H88)</f>
        <v/>
      </c>
      <c r="J738" s="1" t="str">
        <f aca="false">IF(Suiza_DE_CN_ID!A88="","",Suiza_DE_CN_ID!I88)</f>
        <v/>
      </c>
      <c r="K738" s="1" t="str">
        <f aca="false">IF(Suiza_DE_CN_ID!A88="","",UPPER(Suiza_DE_CN_ID!J88))</f>
        <v/>
      </c>
      <c r="L738" s="1" t="str">
        <f aca="false">IF(Suiza_DE_CN_ID!A88="","",IFERROR(INDEX(Gamma_Catalogo!$D$3:$D$1451,MATCH(Suiza_DE_CN_ID!D88,Gamma_Catalogo!$A$3:$A$1451,0)),"Revisar Ip Code"))</f>
        <v/>
      </c>
      <c r="M738" s="1" t="str">
        <f aca="false">IF(Suiza_DE_CN_ID!A88="","",IFERROR(INDEX(Gamma_Catalogo!$C$3:$C$1451,MATCH(Suiza_DE_CN_ID!D88,Gamma_Catalogo!$A$3:$A$1451,0)),"Revisar Ip Code"))</f>
        <v/>
      </c>
      <c r="N738" s="1" t="str">
        <f aca="false">IF(Suiza_DE_CN_ID!A88="","",IFERROR(INDEX(Gamma_Catalogo!$E$3:$E$1451,MATCH(Suiza_DE_CN_ID!D88,Gamma_Catalogo!$A$3:$A$1451,0)),"Revisar Ip Code"))</f>
        <v/>
      </c>
      <c r="O738" s="1" t="str">
        <f aca="false">IF(Suiza_DE_CN_ID!A88="","","Suiza")</f>
        <v/>
      </c>
    </row>
    <row r="739" customFormat="false" ht="15" hidden="false" customHeight="true" outlineLevel="0" collapsed="false">
      <c r="A739" s="1" t="str">
        <f aca="false">IF(Suiza_DE_CN_ID!A89="","",IFERROR(INDEX(Mercados!$C$2:$C$32,MATCH(Suiza_DE_CN_ID!B89,Mercados!$A$2:$A$32,0)),"Revisar Tscode"))</f>
        <v/>
      </c>
      <c r="B739" s="1" t="str">
        <f aca="false">IF(Suiza_DE_CN_ID!A89="","",Suiza_DE_CN_ID!A89)</f>
        <v/>
      </c>
      <c r="C739" s="1" t="str">
        <f aca="false">IF(Suiza_DE_CN_ID!A89="","",Suiza_DE_CN_ID!C89)</f>
        <v/>
      </c>
      <c r="D739" s="1" t="str">
        <f aca="false">IF(Suiza_DE_CN_ID!A89="","",Suiza_DE_CN_ID!D89)</f>
        <v/>
      </c>
      <c r="E739" s="1" t="str">
        <f aca="false">IF(Suiza_DE_CN_ID!A89="","",Suiza_DE_CN_ID!E89)</f>
        <v/>
      </c>
      <c r="F739" s="1" t="str">
        <f aca="false">IF(Suiza_DE_CN_ID!A89="","",Suiza_DE_CN_ID!G89)</f>
        <v/>
      </c>
      <c r="I739" s="1" t="str">
        <f aca="false">IF(Suiza_DE_CN_ID!A89="","",Suiza_DE_CN_ID!H89)</f>
        <v/>
      </c>
      <c r="J739" s="1" t="str">
        <f aca="false">IF(Suiza_DE_CN_ID!A89="","",Suiza_DE_CN_ID!I89)</f>
        <v/>
      </c>
      <c r="K739" s="1" t="str">
        <f aca="false">IF(Suiza_DE_CN_ID!A89="","",UPPER(Suiza_DE_CN_ID!J89))</f>
        <v/>
      </c>
      <c r="L739" s="1" t="str">
        <f aca="false">IF(Suiza_DE_CN_ID!A89="","",IFERROR(INDEX(Gamma_Catalogo!$D$3:$D$1451,MATCH(Suiza_DE_CN_ID!D89,Gamma_Catalogo!$A$3:$A$1451,0)),"Revisar Ip Code"))</f>
        <v/>
      </c>
      <c r="M739" s="1" t="str">
        <f aca="false">IF(Suiza_DE_CN_ID!A89="","",IFERROR(INDEX(Gamma_Catalogo!$C$3:$C$1451,MATCH(Suiza_DE_CN_ID!D89,Gamma_Catalogo!$A$3:$A$1451,0)),"Revisar Ip Code"))</f>
        <v/>
      </c>
      <c r="N739" s="1" t="str">
        <f aca="false">IF(Suiza_DE_CN_ID!A89="","",IFERROR(INDEX(Gamma_Catalogo!$E$3:$E$1451,MATCH(Suiza_DE_CN_ID!D89,Gamma_Catalogo!$A$3:$A$1451,0)),"Revisar Ip Code"))</f>
        <v/>
      </c>
      <c r="O739" s="1" t="str">
        <f aca="false">IF(Suiza_DE_CN_ID!A89="","","Suiza")</f>
        <v/>
      </c>
    </row>
    <row r="740" customFormat="false" ht="15" hidden="false" customHeight="true" outlineLevel="0" collapsed="false">
      <c r="A740" s="1" t="str">
        <f aca="false">IF(Suiza_DE_CN_ID!A90="","",IFERROR(INDEX(Mercados!$C$2:$C$32,MATCH(Suiza_DE_CN_ID!B90,Mercados!$A$2:$A$32,0)),"Revisar Tscode"))</f>
        <v/>
      </c>
      <c r="B740" s="1" t="str">
        <f aca="false">IF(Suiza_DE_CN_ID!A90="","",Suiza_DE_CN_ID!A90)</f>
        <v/>
      </c>
      <c r="C740" s="1" t="str">
        <f aca="false">IF(Suiza_DE_CN_ID!A90="","",Suiza_DE_CN_ID!C90)</f>
        <v/>
      </c>
      <c r="D740" s="1" t="str">
        <f aca="false">IF(Suiza_DE_CN_ID!A90="","",Suiza_DE_CN_ID!D90)</f>
        <v/>
      </c>
      <c r="E740" s="1" t="str">
        <f aca="false">IF(Suiza_DE_CN_ID!A90="","",Suiza_DE_CN_ID!E90)</f>
        <v/>
      </c>
      <c r="F740" s="1" t="str">
        <f aca="false">IF(Suiza_DE_CN_ID!A90="","",Suiza_DE_CN_ID!G90)</f>
        <v/>
      </c>
      <c r="I740" s="1" t="str">
        <f aca="false">IF(Suiza_DE_CN_ID!A90="","",Suiza_DE_CN_ID!H90)</f>
        <v/>
      </c>
      <c r="J740" s="1" t="str">
        <f aca="false">IF(Suiza_DE_CN_ID!A90="","",Suiza_DE_CN_ID!I90)</f>
        <v/>
      </c>
      <c r="K740" s="1" t="str">
        <f aca="false">IF(Suiza_DE_CN_ID!A90="","",UPPER(Suiza_DE_CN_ID!J90))</f>
        <v/>
      </c>
      <c r="L740" s="1" t="str">
        <f aca="false">IF(Suiza_DE_CN_ID!A90="","",IFERROR(INDEX(Gamma_Catalogo!$D$3:$D$1451,MATCH(Suiza_DE_CN_ID!D90,Gamma_Catalogo!$A$3:$A$1451,0)),"Revisar Ip Code"))</f>
        <v/>
      </c>
      <c r="M740" s="1" t="str">
        <f aca="false">IF(Suiza_DE_CN_ID!A90="","",IFERROR(INDEX(Gamma_Catalogo!$C$3:$C$1451,MATCH(Suiza_DE_CN_ID!D90,Gamma_Catalogo!$A$3:$A$1451,0)),"Revisar Ip Code"))</f>
        <v/>
      </c>
      <c r="N740" s="1" t="str">
        <f aca="false">IF(Suiza_DE_CN_ID!A90="","",IFERROR(INDEX(Gamma_Catalogo!$E$3:$E$1451,MATCH(Suiza_DE_CN_ID!D90,Gamma_Catalogo!$A$3:$A$1451,0)),"Revisar Ip Code"))</f>
        <v/>
      </c>
      <c r="O740" s="1" t="str">
        <f aca="false">IF(Suiza_DE_CN_ID!A90="","","Suiza")</f>
        <v/>
      </c>
    </row>
    <row r="741" customFormat="false" ht="15" hidden="false" customHeight="true" outlineLevel="0" collapsed="false">
      <c r="A741" s="1" t="str">
        <f aca="false">IF(Suiza_DE_CN_ID!A91="","",IFERROR(INDEX(Mercados!$C$2:$C$32,MATCH(Suiza_DE_CN_ID!B91,Mercados!$A$2:$A$32,0)),"Revisar Tscode"))</f>
        <v/>
      </c>
      <c r="B741" s="1" t="str">
        <f aca="false">IF(Suiza_DE_CN_ID!A91="","",Suiza_DE_CN_ID!A91)</f>
        <v/>
      </c>
      <c r="C741" s="1" t="str">
        <f aca="false">IF(Suiza_DE_CN_ID!A91="","",Suiza_DE_CN_ID!C91)</f>
        <v/>
      </c>
      <c r="D741" s="1" t="str">
        <f aca="false">IF(Suiza_DE_CN_ID!A91="","",Suiza_DE_CN_ID!D91)</f>
        <v/>
      </c>
      <c r="E741" s="1" t="str">
        <f aca="false">IF(Suiza_DE_CN_ID!A91="","",Suiza_DE_CN_ID!E91)</f>
        <v/>
      </c>
      <c r="F741" s="1" t="str">
        <f aca="false">IF(Suiza_DE_CN_ID!A91="","",Suiza_DE_CN_ID!G91)</f>
        <v/>
      </c>
      <c r="I741" s="1" t="str">
        <f aca="false">IF(Suiza_DE_CN_ID!A91="","",Suiza_DE_CN_ID!H91)</f>
        <v/>
      </c>
      <c r="J741" s="1" t="str">
        <f aca="false">IF(Suiza_DE_CN_ID!A91="","",Suiza_DE_CN_ID!I91)</f>
        <v/>
      </c>
      <c r="K741" s="1" t="str">
        <f aca="false">IF(Suiza_DE_CN_ID!A91="","",UPPER(Suiza_DE_CN_ID!J91))</f>
        <v/>
      </c>
      <c r="L741" s="1" t="str">
        <f aca="false">IF(Suiza_DE_CN_ID!A91="","",IFERROR(INDEX(Gamma_Catalogo!$D$3:$D$1451,MATCH(Suiza_DE_CN_ID!D91,Gamma_Catalogo!$A$3:$A$1451,0)),"Revisar Ip Code"))</f>
        <v/>
      </c>
      <c r="M741" s="1" t="str">
        <f aca="false">IF(Suiza_DE_CN_ID!A91="","",IFERROR(INDEX(Gamma_Catalogo!$C$3:$C$1451,MATCH(Suiza_DE_CN_ID!D91,Gamma_Catalogo!$A$3:$A$1451,0)),"Revisar Ip Code"))</f>
        <v/>
      </c>
      <c r="N741" s="1" t="str">
        <f aca="false">IF(Suiza_DE_CN_ID!A91="","",IFERROR(INDEX(Gamma_Catalogo!$E$3:$E$1451,MATCH(Suiza_DE_CN_ID!D91,Gamma_Catalogo!$A$3:$A$1451,0)),"Revisar Ip Code"))</f>
        <v/>
      </c>
      <c r="O741" s="1" t="str">
        <f aca="false">IF(Suiza_DE_CN_ID!A91="","","Suiza")</f>
        <v/>
      </c>
    </row>
    <row r="742" customFormat="false" ht="15" hidden="false" customHeight="true" outlineLevel="0" collapsed="false">
      <c r="A742" s="1" t="str">
        <f aca="false">IF(Suiza_DE_CN_ID!A92="","",IFERROR(INDEX(Mercados!$C$2:$C$32,MATCH(Suiza_DE_CN_ID!B92,Mercados!$A$2:$A$32,0)),"Revisar Tscode"))</f>
        <v/>
      </c>
      <c r="B742" s="1" t="str">
        <f aca="false">IF(Suiza_DE_CN_ID!A92="","",Suiza_DE_CN_ID!A92)</f>
        <v/>
      </c>
      <c r="C742" s="1" t="str">
        <f aca="false">IF(Suiza_DE_CN_ID!A92="","",Suiza_DE_CN_ID!C92)</f>
        <v/>
      </c>
      <c r="D742" s="1" t="str">
        <f aca="false">IF(Suiza_DE_CN_ID!A92="","",Suiza_DE_CN_ID!D92)</f>
        <v/>
      </c>
      <c r="E742" s="1" t="str">
        <f aca="false">IF(Suiza_DE_CN_ID!A92="","",Suiza_DE_CN_ID!E92)</f>
        <v/>
      </c>
      <c r="F742" s="1" t="str">
        <f aca="false">IF(Suiza_DE_CN_ID!A92="","",Suiza_DE_CN_ID!G92)</f>
        <v/>
      </c>
      <c r="I742" s="1" t="str">
        <f aca="false">IF(Suiza_DE_CN_ID!A92="","",Suiza_DE_CN_ID!H92)</f>
        <v/>
      </c>
      <c r="J742" s="1" t="str">
        <f aca="false">IF(Suiza_DE_CN_ID!A92="","",Suiza_DE_CN_ID!I92)</f>
        <v/>
      </c>
      <c r="K742" s="1" t="str">
        <f aca="false">IF(Suiza_DE_CN_ID!A92="","",UPPER(Suiza_DE_CN_ID!J92))</f>
        <v/>
      </c>
      <c r="L742" s="1" t="str">
        <f aca="false">IF(Suiza_DE_CN_ID!A92="","",IFERROR(INDEX(Gamma_Catalogo!$D$3:$D$1451,MATCH(Suiza_DE_CN_ID!D92,Gamma_Catalogo!$A$3:$A$1451,0)),"Revisar Ip Code"))</f>
        <v/>
      </c>
      <c r="M742" s="1" t="str">
        <f aca="false">IF(Suiza_DE_CN_ID!A92="","",IFERROR(INDEX(Gamma_Catalogo!$C$3:$C$1451,MATCH(Suiza_DE_CN_ID!D92,Gamma_Catalogo!$A$3:$A$1451,0)),"Revisar Ip Code"))</f>
        <v/>
      </c>
      <c r="N742" s="1" t="str">
        <f aca="false">IF(Suiza_DE_CN_ID!A92="","",IFERROR(INDEX(Gamma_Catalogo!$E$3:$E$1451,MATCH(Suiza_DE_CN_ID!D92,Gamma_Catalogo!$A$3:$A$1451,0)),"Revisar Ip Code"))</f>
        <v/>
      </c>
      <c r="O742" s="1" t="str">
        <f aca="false">IF(Suiza_DE_CN_ID!A92="","","Suiza")</f>
        <v/>
      </c>
    </row>
    <row r="743" customFormat="false" ht="15" hidden="false" customHeight="true" outlineLevel="0" collapsed="false">
      <c r="A743" s="1" t="str">
        <f aca="false">IF(Suiza_DE_CN_ID!A93="","",IFERROR(INDEX(Mercados!$C$2:$C$32,MATCH(Suiza_DE_CN_ID!B93,Mercados!$A$2:$A$32,0)),"Revisar Tscode"))</f>
        <v/>
      </c>
      <c r="B743" s="1" t="str">
        <f aca="false">IF(Suiza_DE_CN_ID!A93="","",Suiza_DE_CN_ID!A93)</f>
        <v/>
      </c>
      <c r="C743" s="1" t="str">
        <f aca="false">IF(Suiza_DE_CN_ID!A93="","",Suiza_DE_CN_ID!C93)</f>
        <v/>
      </c>
      <c r="D743" s="1" t="str">
        <f aca="false">IF(Suiza_DE_CN_ID!A93="","",Suiza_DE_CN_ID!D93)</f>
        <v/>
      </c>
      <c r="E743" s="1" t="str">
        <f aca="false">IF(Suiza_DE_CN_ID!A93="","",Suiza_DE_CN_ID!E93)</f>
        <v/>
      </c>
      <c r="F743" s="1" t="str">
        <f aca="false">IF(Suiza_DE_CN_ID!A93="","",Suiza_DE_CN_ID!G93)</f>
        <v/>
      </c>
      <c r="I743" s="1" t="str">
        <f aca="false">IF(Suiza_DE_CN_ID!A93="","",Suiza_DE_CN_ID!H93)</f>
        <v/>
      </c>
      <c r="J743" s="1" t="str">
        <f aca="false">IF(Suiza_DE_CN_ID!A93="","",Suiza_DE_CN_ID!I93)</f>
        <v/>
      </c>
      <c r="K743" s="1" t="str">
        <f aca="false">IF(Suiza_DE_CN_ID!A93="","",UPPER(Suiza_DE_CN_ID!J93))</f>
        <v/>
      </c>
      <c r="L743" s="1" t="str">
        <f aca="false">IF(Suiza_DE_CN_ID!A93="","",IFERROR(INDEX(Gamma_Catalogo!$D$3:$D$1451,MATCH(Suiza_DE_CN_ID!D93,Gamma_Catalogo!$A$3:$A$1451,0)),"Revisar Ip Code"))</f>
        <v/>
      </c>
      <c r="M743" s="1" t="str">
        <f aca="false">IF(Suiza_DE_CN_ID!A93="","",IFERROR(INDEX(Gamma_Catalogo!$C$3:$C$1451,MATCH(Suiza_DE_CN_ID!D93,Gamma_Catalogo!$A$3:$A$1451,0)),"Revisar Ip Code"))</f>
        <v/>
      </c>
      <c r="N743" s="1" t="str">
        <f aca="false">IF(Suiza_DE_CN_ID!A93="","",IFERROR(INDEX(Gamma_Catalogo!$E$3:$E$1451,MATCH(Suiza_DE_CN_ID!D93,Gamma_Catalogo!$A$3:$A$1451,0)),"Revisar Ip Code"))</f>
        <v/>
      </c>
      <c r="O743" s="1" t="str">
        <f aca="false">IF(Suiza_DE_CN_ID!A93="","","Suiza")</f>
        <v/>
      </c>
    </row>
    <row r="744" customFormat="false" ht="15" hidden="false" customHeight="true" outlineLevel="0" collapsed="false">
      <c r="A744" s="1" t="str">
        <f aca="false">IF(Suiza_DE_CN_ID!A94="","",IFERROR(INDEX(Mercados!$C$2:$C$32,MATCH(Suiza_DE_CN_ID!B94,Mercados!$A$2:$A$32,0)),"Revisar Tscode"))</f>
        <v/>
      </c>
      <c r="B744" s="1" t="str">
        <f aca="false">IF(Suiza_DE_CN_ID!A94="","",Suiza_DE_CN_ID!A94)</f>
        <v/>
      </c>
      <c r="C744" s="1" t="str">
        <f aca="false">IF(Suiza_DE_CN_ID!A94="","",Suiza_DE_CN_ID!C94)</f>
        <v/>
      </c>
      <c r="D744" s="1" t="str">
        <f aca="false">IF(Suiza_DE_CN_ID!A94="","",Suiza_DE_CN_ID!D94)</f>
        <v/>
      </c>
      <c r="E744" s="1" t="str">
        <f aca="false">IF(Suiza_DE_CN_ID!A94="","",Suiza_DE_CN_ID!E94)</f>
        <v/>
      </c>
      <c r="F744" s="1" t="str">
        <f aca="false">IF(Suiza_DE_CN_ID!A94="","",Suiza_DE_CN_ID!G94)</f>
        <v/>
      </c>
      <c r="I744" s="1" t="str">
        <f aca="false">IF(Suiza_DE_CN_ID!A94="","",Suiza_DE_CN_ID!H94)</f>
        <v/>
      </c>
      <c r="J744" s="1" t="str">
        <f aca="false">IF(Suiza_DE_CN_ID!A94="","",Suiza_DE_CN_ID!I94)</f>
        <v/>
      </c>
      <c r="K744" s="1" t="str">
        <f aca="false">IF(Suiza_DE_CN_ID!A94="","",UPPER(Suiza_DE_CN_ID!J94))</f>
        <v/>
      </c>
      <c r="L744" s="1" t="str">
        <f aca="false">IF(Suiza_DE_CN_ID!A94="","",IFERROR(INDEX(Gamma_Catalogo!$D$3:$D$1451,MATCH(Suiza_DE_CN_ID!D94,Gamma_Catalogo!$A$3:$A$1451,0)),"Revisar Ip Code"))</f>
        <v/>
      </c>
      <c r="M744" s="1" t="str">
        <f aca="false">IF(Suiza_DE_CN_ID!A94="","",IFERROR(INDEX(Gamma_Catalogo!$C$3:$C$1451,MATCH(Suiza_DE_CN_ID!D94,Gamma_Catalogo!$A$3:$A$1451,0)),"Revisar Ip Code"))</f>
        <v/>
      </c>
      <c r="N744" s="1" t="str">
        <f aca="false">IF(Suiza_DE_CN_ID!A94="","",IFERROR(INDEX(Gamma_Catalogo!$E$3:$E$1451,MATCH(Suiza_DE_CN_ID!D94,Gamma_Catalogo!$A$3:$A$1451,0)),"Revisar Ip Code"))</f>
        <v/>
      </c>
      <c r="O744" s="1" t="str">
        <f aca="false">IF(Suiza_DE_CN_ID!A94="","","Suiza")</f>
        <v/>
      </c>
    </row>
    <row r="745" customFormat="false" ht="15" hidden="false" customHeight="true" outlineLevel="0" collapsed="false">
      <c r="A745" s="1" t="str">
        <f aca="false">IF(Suiza_DE_CN_ID!A95="","",IFERROR(INDEX(Mercados!$C$2:$C$32,MATCH(Suiza_DE_CN_ID!B95,Mercados!$A$2:$A$32,0)),"Revisar Tscode"))</f>
        <v/>
      </c>
      <c r="B745" s="1" t="str">
        <f aca="false">IF(Suiza_DE_CN_ID!A95="","",Suiza_DE_CN_ID!A95)</f>
        <v/>
      </c>
      <c r="C745" s="1" t="str">
        <f aca="false">IF(Suiza_DE_CN_ID!A95="","",Suiza_DE_CN_ID!C95)</f>
        <v/>
      </c>
      <c r="D745" s="1" t="str">
        <f aca="false">IF(Suiza_DE_CN_ID!A95="","",Suiza_DE_CN_ID!D95)</f>
        <v/>
      </c>
      <c r="E745" s="1" t="str">
        <f aca="false">IF(Suiza_DE_CN_ID!A95="","",Suiza_DE_CN_ID!E95)</f>
        <v/>
      </c>
      <c r="F745" s="1" t="str">
        <f aca="false">IF(Suiza_DE_CN_ID!A95="","",Suiza_DE_CN_ID!G95)</f>
        <v/>
      </c>
      <c r="I745" s="1" t="str">
        <f aca="false">IF(Suiza_DE_CN_ID!A95="","",Suiza_DE_CN_ID!H95)</f>
        <v/>
      </c>
      <c r="J745" s="1" t="str">
        <f aca="false">IF(Suiza_DE_CN_ID!A95="","",Suiza_DE_CN_ID!I95)</f>
        <v/>
      </c>
      <c r="K745" s="1" t="str">
        <f aca="false">IF(Suiza_DE_CN_ID!A95="","",UPPER(Suiza_DE_CN_ID!J95))</f>
        <v/>
      </c>
      <c r="L745" s="1" t="str">
        <f aca="false">IF(Suiza_DE_CN_ID!A95="","",IFERROR(INDEX(Gamma_Catalogo!$D$3:$D$1451,MATCH(Suiza_DE_CN_ID!D95,Gamma_Catalogo!$A$3:$A$1451,0)),"Revisar Ip Code"))</f>
        <v/>
      </c>
      <c r="M745" s="1" t="str">
        <f aca="false">IF(Suiza_DE_CN_ID!A95="","",IFERROR(INDEX(Gamma_Catalogo!$C$3:$C$1451,MATCH(Suiza_DE_CN_ID!D95,Gamma_Catalogo!$A$3:$A$1451,0)),"Revisar Ip Code"))</f>
        <v/>
      </c>
      <c r="N745" s="1" t="str">
        <f aca="false">IF(Suiza_DE_CN_ID!A95="","",IFERROR(INDEX(Gamma_Catalogo!$E$3:$E$1451,MATCH(Suiza_DE_CN_ID!D95,Gamma_Catalogo!$A$3:$A$1451,0)),"Revisar Ip Code"))</f>
        <v/>
      </c>
      <c r="O745" s="1" t="str">
        <f aca="false">IF(Suiza_DE_CN_ID!A95="","","Suiza")</f>
        <v/>
      </c>
    </row>
    <row r="746" customFormat="false" ht="15" hidden="false" customHeight="true" outlineLevel="0" collapsed="false">
      <c r="A746" s="1" t="str">
        <f aca="false">IF(Suiza_DE_CN_ID!A96="","",IFERROR(INDEX(Mercados!$C$2:$C$32,MATCH(Suiza_DE_CN_ID!B96,Mercados!$A$2:$A$32,0)),"Revisar Tscode"))</f>
        <v/>
      </c>
      <c r="B746" s="1" t="str">
        <f aca="false">IF(Suiza_DE_CN_ID!A96="","",Suiza_DE_CN_ID!A96)</f>
        <v/>
      </c>
      <c r="C746" s="1" t="str">
        <f aca="false">IF(Suiza_DE_CN_ID!A96="","",Suiza_DE_CN_ID!C96)</f>
        <v/>
      </c>
      <c r="D746" s="1" t="str">
        <f aca="false">IF(Suiza_DE_CN_ID!A96="","",Suiza_DE_CN_ID!D96)</f>
        <v/>
      </c>
      <c r="E746" s="1" t="str">
        <f aca="false">IF(Suiza_DE_CN_ID!A96="","",Suiza_DE_CN_ID!E96)</f>
        <v/>
      </c>
      <c r="F746" s="1" t="str">
        <f aca="false">IF(Suiza_DE_CN_ID!A96="","",Suiza_DE_CN_ID!G96)</f>
        <v/>
      </c>
      <c r="I746" s="1" t="str">
        <f aca="false">IF(Suiza_DE_CN_ID!A96="","",Suiza_DE_CN_ID!H96)</f>
        <v/>
      </c>
      <c r="J746" s="1" t="str">
        <f aca="false">IF(Suiza_DE_CN_ID!A96="","",Suiza_DE_CN_ID!I96)</f>
        <v/>
      </c>
      <c r="K746" s="1" t="str">
        <f aca="false">IF(Suiza_DE_CN_ID!A96="","",UPPER(Suiza_DE_CN_ID!J96))</f>
        <v/>
      </c>
      <c r="L746" s="1" t="str">
        <f aca="false">IF(Suiza_DE_CN_ID!A96="","",IFERROR(INDEX(Gamma_Catalogo!$D$3:$D$1451,MATCH(Suiza_DE_CN_ID!D96,Gamma_Catalogo!$A$3:$A$1451,0)),"Revisar Ip Code"))</f>
        <v/>
      </c>
      <c r="M746" s="1" t="str">
        <f aca="false">IF(Suiza_DE_CN_ID!A96="","",IFERROR(INDEX(Gamma_Catalogo!$C$3:$C$1451,MATCH(Suiza_DE_CN_ID!D96,Gamma_Catalogo!$A$3:$A$1451,0)),"Revisar Ip Code"))</f>
        <v/>
      </c>
      <c r="N746" s="1" t="str">
        <f aca="false">IF(Suiza_DE_CN_ID!A96="","",IFERROR(INDEX(Gamma_Catalogo!$E$3:$E$1451,MATCH(Suiza_DE_CN_ID!D96,Gamma_Catalogo!$A$3:$A$1451,0)),"Revisar Ip Code"))</f>
        <v/>
      </c>
      <c r="O746" s="1" t="str">
        <f aca="false">IF(Suiza_DE_CN_ID!A96="","","Suiza")</f>
        <v/>
      </c>
    </row>
    <row r="747" customFormat="false" ht="15" hidden="false" customHeight="true" outlineLevel="0" collapsed="false">
      <c r="A747" s="1" t="str">
        <f aca="false">IF(Suiza_DE_CN_ID!A97="","",IFERROR(INDEX(Mercados!$C$2:$C$32,MATCH(Suiza_DE_CN_ID!B97,Mercados!$A$2:$A$32,0)),"Revisar Tscode"))</f>
        <v/>
      </c>
      <c r="B747" s="1" t="str">
        <f aca="false">IF(Suiza_DE_CN_ID!A97="","",Suiza_DE_CN_ID!A97)</f>
        <v/>
      </c>
      <c r="C747" s="1" t="str">
        <f aca="false">IF(Suiza_DE_CN_ID!A97="","",Suiza_DE_CN_ID!C97)</f>
        <v/>
      </c>
      <c r="D747" s="1" t="str">
        <f aca="false">IF(Suiza_DE_CN_ID!A97="","",Suiza_DE_CN_ID!D97)</f>
        <v/>
      </c>
      <c r="E747" s="1" t="str">
        <f aca="false">IF(Suiza_DE_CN_ID!A97="","",Suiza_DE_CN_ID!E97)</f>
        <v/>
      </c>
      <c r="F747" s="1" t="str">
        <f aca="false">IF(Suiza_DE_CN_ID!A97="","",Suiza_DE_CN_ID!G97)</f>
        <v/>
      </c>
      <c r="I747" s="1" t="str">
        <f aca="false">IF(Suiza_DE_CN_ID!A97="","",Suiza_DE_CN_ID!H97)</f>
        <v/>
      </c>
      <c r="J747" s="1" t="str">
        <f aca="false">IF(Suiza_DE_CN_ID!A97="","",Suiza_DE_CN_ID!I97)</f>
        <v/>
      </c>
      <c r="K747" s="1" t="str">
        <f aca="false">IF(Suiza_DE_CN_ID!A97="","",UPPER(Suiza_DE_CN_ID!J97))</f>
        <v/>
      </c>
      <c r="L747" s="1" t="str">
        <f aca="false">IF(Suiza_DE_CN_ID!A97="","",IFERROR(INDEX(Gamma_Catalogo!$D$3:$D$1451,MATCH(Suiza_DE_CN_ID!D97,Gamma_Catalogo!$A$3:$A$1451,0)),"Revisar Ip Code"))</f>
        <v/>
      </c>
      <c r="M747" s="1" t="str">
        <f aca="false">IF(Suiza_DE_CN_ID!A97="","",IFERROR(INDEX(Gamma_Catalogo!$C$3:$C$1451,MATCH(Suiza_DE_CN_ID!D97,Gamma_Catalogo!$A$3:$A$1451,0)),"Revisar Ip Code"))</f>
        <v/>
      </c>
      <c r="N747" s="1" t="str">
        <f aca="false">IF(Suiza_DE_CN_ID!A97="","",IFERROR(INDEX(Gamma_Catalogo!$E$3:$E$1451,MATCH(Suiza_DE_CN_ID!D97,Gamma_Catalogo!$A$3:$A$1451,0)),"Revisar Ip Code"))</f>
        <v/>
      </c>
      <c r="O747" s="1" t="str">
        <f aca="false">IF(Suiza_DE_CN_ID!A97="","","Suiza")</f>
        <v/>
      </c>
    </row>
    <row r="748" customFormat="false" ht="15" hidden="false" customHeight="true" outlineLevel="0" collapsed="false">
      <c r="A748" s="1" t="str">
        <f aca="false">IF(Suiza_DE_CN_ID!A98="","",IFERROR(INDEX(Mercados!$C$2:$C$32,MATCH(Suiza_DE_CN_ID!B98,Mercados!$A$2:$A$32,0)),"Revisar Tscode"))</f>
        <v/>
      </c>
      <c r="B748" s="1" t="str">
        <f aca="false">IF(Suiza_DE_CN_ID!A98="","",Suiza_DE_CN_ID!A98)</f>
        <v/>
      </c>
      <c r="C748" s="1" t="str">
        <f aca="false">IF(Suiza_DE_CN_ID!A98="","",Suiza_DE_CN_ID!C98)</f>
        <v/>
      </c>
      <c r="D748" s="1" t="str">
        <f aca="false">IF(Suiza_DE_CN_ID!A98="","",Suiza_DE_CN_ID!D98)</f>
        <v/>
      </c>
      <c r="E748" s="1" t="str">
        <f aca="false">IF(Suiza_DE_CN_ID!A98="","",Suiza_DE_CN_ID!E98)</f>
        <v/>
      </c>
      <c r="F748" s="1" t="str">
        <f aca="false">IF(Suiza_DE_CN_ID!A98="","",Suiza_DE_CN_ID!G98)</f>
        <v/>
      </c>
      <c r="I748" s="1" t="str">
        <f aca="false">IF(Suiza_DE_CN_ID!A98="","",Suiza_DE_CN_ID!H98)</f>
        <v/>
      </c>
      <c r="J748" s="1" t="str">
        <f aca="false">IF(Suiza_DE_CN_ID!A98="","",Suiza_DE_CN_ID!I98)</f>
        <v/>
      </c>
      <c r="K748" s="1" t="str">
        <f aca="false">IF(Suiza_DE_CN_ID!A98="","",UPPER(Suiza_DE_CN_ID!J98))</f>
        <v/>
      </c>
      <c r="L748" s="1" t="str">
        <f aca="false">IF(Suiza_DE_CN_ID!A98="","",IFERROR(INDEX(Gamma_Catalogo!$D$3:$D$1451,MATCH(Suiza_DE_CN_ID!D98,Gamma_Catalogo!$A$3:$A$1451,0)),"Revisar Ip Code"))</f>
        <v/>
      </c>
      <c r="M748" s="1" t="str">
        <f aca="false">IF(Suiza_DE_CN_ID!A98="","",IFERROR(INDEX(Gamma_Catalogo!$C$3:$C$1451,MATCH(Suiza_DE_CN_ID!D98,Gamma_Catalogo!$A$3:$A$1451,0)),"Revisar Ip Code"))</f>
        <v/>
      </c>
      <c r="N748" s="1" t="str">
        <f aca="false">IF(Suiza_DE_CN_ID!A98="","",IFERROR(INDEX(Gamma_Catalogo!$E$3:$E$1451,MATCH(Suiza_DE_CN_ID!D98,Gamma_Catalogo!$A$3:$A$1451,0)),"Revisar Ip Code"))</f>
        <v/>
      </c>
      <c r="O748" s="1" t="str">
        <f aca="false">IF(Suiza_DE_CN_ID!A98="","","Suiza")</f>
        <v/>
      </c>
    </row>
    <row r="749" customFormat="false" ht="15" hidden="false" customHeight="true" outlineLevel="0" collapsed="false">
      <c r="A749" s="1" t="str">
        <f aca="false">IF(Suiza_DE_CN_ID!A99="","",IFERROR(INDEX(Mercados!$C$2:$C$32,MATCH(Suiza_DE_CN_ID!B99,Mercados!$A$2:$A$32,0)),"Revisar Tscode"))</f>
        <v/>
      </c>
      <c r="B749" s="1" t="str">
        <f aca="false">IF(Suiza_DE_CN_ID!A99="","",Suiza_DE_CN_ID!A99)</f>
        <v/>
      </c>
      <c r="C749" s="1" t="str">
        <f aca="false">IF(Suiza_DE_CN_ID!A99="","",Suiza_DE_CN_ID!C99)</f>
        <v/>
      </c>
      <c r="D749" s="1" t="str">
        <f aca="false">IF(Suiza_DE_CN_ID!A99="","",Suiza_DE_CN_ID!D99)</f>
        <v/>
      </c>
      <c r="E749" s="1" t="str">
        <f aca="false">IF(Suiza_DE_CN_ID!A99="","",Suiza_DE_CN_ID!E99)</f>
        <v/>
      </c>
      <c r="F749" s="1" t="str">
        <f aca="false">IF(Suiza_DE_CN_ID!A99="","",Suiza_DE_CN_ID!G99)</f>
        <v/>
      </c>
      <c r="I749" s="1" t="str">
        <f aca="false">IF(Suiza_DE_CN_ID!A99="","",Suiza_DE_CN_ID!H99)</f>
        <v/>
      </c>
      <c r="J749" s="1" t="str">
        <f aca="false">IF(Suiza_DE_CN_ID!A99="","",Suiza_DE_CN_ID!I99)</f>
        <v/>
      </c>
      <c r="K749" s="1" t="str">
        <f aca="false">IF(Suiza_DE_CN_ID!A99="","",UPPER(Suiza_DE_CN_ID!J99))</f>
        <v/>
      </c>
      <c r="L749" s="1" t="str">
        <f aca="false">IF(Suiza_DE_CN_ID!A99="","",IFERROR(INDEX(Gamma_Catalogo!$D$3:$D$1451,MATCH(Suiza_DE_CN_ID!D99,Gamma_Catalogo!$A$3:$A$1451,0)),"Revisar Ip Code"))</f>
        <v/>
      </c>
      <c r="M749" s="1" t="str">
        <f aca="false">IF(Suiza_DE_CN_ID!A99="","",IFERROR(INDEX(Gamma_Catalogo!$C$3:$C$1451,MATCH(Suiza_DE_CN_ID!D99,Gamma_Catalogo!$A$3:$A$1451,0)),"Revisar Ip Code"))</f>
        <v/>
      </c>
      <c r="N749" s="1" t="str">
        <f aca="false">IF(Suiza_DE_CN_ID!A99="","",IFERROR(INDEX(Gamma_Catalogo!$E$3:$E$1451,MATCH(Suiza_DE_CN_ID!D99,Gamma_Catalogo!$A$3:$A$1451,0)),"Revisar Ip Code"))</f>
        <v/>
      </c>
      <c r="O749" s="1" t="str">
        <f aca="false">IF(Suiza_DE_CN_ID!A99="","","Suiza")</f>
        <v/>
      </c>
    </row>
    <row r="750" customFormat="false" ht="15" hidden="false" customHeight="true" outlineLevel="0" collapsed="false">
      <c r="A750" s="1" t="str">
        <f aca="false">IF(Suiza_DE_CN_ID!A100="","",IFERROR(INDEX(Mercados!$C$2:$C$32,MATCH(Suiza_DE_CN_ID!B100,Mercados!$A$2:$A$32,0)),"Revisar Tscode"))</f>
        <v/>
      </c>
      <c r="B750" s="1" t="str">
        <f aca="false">IF(Suiza_DE_CN_ID!A100="","",Suiza_DE_CN_ID!A100)</f>
        <v/>
      </c>
      <c r="C750" s="1" t="str">
        <f aca="false">IF(Suiza_DE_CN_ID!A100="","",Suiza_DE_CN_ID!C100)</f>
        <v/>
      </c>
      <c r="D750" s="1" t="str">
        <f aca="false">IF(Suiza_DE_CN_ID!A100="","",Suiza_DE_CN_ID!D100)</f>
        <v/>
      </c>
      <c r="E750" s="1" t="str">
        <f aca="false">IF(Suiza_DE_CN_ID!A100="","",Suiza_DE_CN_ID!E100)</f>
        <v/>
      </c>
      <c r="F750" s="1" t="str">
        <f aca="false">IF(Suiza_DE_CN_ID!A100="","",Suiza_DE_CN_ID!G100)</f>
        <v/>
      </c>
      <c r="I750" s="1" t="str">
        <f aca="false">IF(Suiza_DE_CN_ID!A100="","",Suiza_DE_CN_ID!H100)</f>
        <v/>
      </c>
      <c r="J750" s="1" t="str">
        <f aca="false">IF(Suiza_DE_CN_ID!A100="","",Suiza_DE_CN_ID!I100)</f>
        <v/>
      </c>
      <c r="K750" s="1" t="str">
        <f aca="false">IF(Suiza_DE_CN_ID!A100="","",UPPER(Suiza_DE_CN_ID!J100))</f>
        <v/>
      </c>
      <c r="L750" s="1" t="str">
        <f aca="false">IF(Suiza_DE_CN_ID!A100="","",IFERROR(INDEX(Gamma_Catalogo!$D$3:$D$1451,MATCH(Suiza_DE_CN_ID!D100,Gamma_Catalogo!$A$3:$A$1451,0)),"Revisar Ip Code"))</f>
        <v/>
      </c>
      <c r="M750" s="1" t="str">
        <f aca="false">IF(Suiza_DE_CN_ID!A100="","",IFERROR(INDEX(Gamma_Catalogo!$C$3:$C$1451,MATCH(Suiza_DE_CN_ID!D100,Gamma_Catalogo!$A$3:$A$1451,0)),"Revisar Ip Code"))</f>
        <v/>
      </c>
      <c r="N750" s="1" t="str">
        <f aca="false">IF(Suiza_DE_CN_ID!A100="","",IFERROR(INDEX(Gamma_Catalogo!$E$3:$E$1451,MATCH(Suiza_DE_CN_ID!D100,Gamma_Catalogo!$A$3:$A$1451,0)),"Revisar Ip Code"))</f>
        <v/>
      </c>
      <c r="O750" s="1" t="str">
        <f aca="false">IF(Suiza_DE_CN_ID!A100="","","Suiza")</f>
        <v/>
      </c>
    </row>
    <row r="751" customFormat="false" ht="15" hidden="false" customHeight="true" outlineLevel="0" collapsed="false">
      <c r="A751" s="1" t="str">
        <f aca="false">IF(Suiza_DE_CN_ID!A101="","",IFERROR(INDEX(Mercados!$C$2:$C$32,MATCH(Suiza_DE_CN_ID!B101,Mercados!$A$2:$A$32,0)),"Revisar Tscode"))</f>
        <v/>
      </c>
      <c r="B751" s="1" t="str">
        <f aca="false">IF(Suiza_DE_CN_ID!A101="","",Suiza_DE_CN_ID!A101)</f>
        <v/>
      </c>
      <c r="C751" s="1" t="str">
        <f aca="false">IF(Suiza_DE_CN_ID!A101="","",Suiza_DE_CN_ID!C101)</f>
        <v/>
      </c>
      <c r="D751" s="1" t="str">
        <f aca="false">IF(Suiza_DE_CN_ID!A101="","",Suiza_DE_CN_ID!D101)</f>
        <v/>
      </c>
      <c r="E751" s="1" t="str">
        <f aca="false">IF(Suiza_DE_CN_ID!A101="","",Suiza_DE_CN_ID!E101)</f>
        <v/>
      </c>
      <c r="F751" s="1" t="str">
        <f aca="false">IF(Suiza_DE_CN_ID!A101="","",Suiza_DE_CN_ID!G101)</f>
        <v/>
      </c>
      <c r="I751" s="1" t="str">
        <f aca="false">IF(Suiza_DE_CN_ID!A101="","",Suiza_DE_CN_ID!H101)</f>
        <v/>
      </c>
      <c r="J751" s="1" t="str">
        <f aca="false">IF(Suiza_DE_CN_ID!A101="","",Suiza_DE_CN_ID!I101)</f>
        <v/>
      </c>
      <c r="K751" s="1" t="str">
        <f aca="false">IF(Suiza_DE_CN_ID!A101="","",UPPER(Suiza_DE_CN_ID!J101))</f>
        <v/>
      </c>
      <c r="L751" s="1" t="str">
        <f aca="false">IF(Suiza_DE_CN_ID!A101="","",IFERROR(INDEX(Gamma_Catalogo!$D$3:$D$1451,MATCH(Suiza_DE_CN_ID!D101,Gamma_Catalogo!$A$3:$A$1451,0)),"Revisar Ip Code"))</f>
        <v/>
      </c>
      <c r="M751" s="1" t="str">
        <f aca="false">IF(Suiza_DE_CN_ID!A101="","",IFERROR(INDEX(Gamma_Catalogo!$C$3:$C$1451,MATCH(Suiza_DE_CN_ID!D101,Gamma_Catalogo!$A$3:$A$1451,0)),"Revisar Ip Code"))</f>
        <v/>
      </c>
      <c r="N751" s="1" t="str">
        <f aca="false">IF(Suiza_DE_CN_ID!A101="","",IFERROR(INDEX(Gamma_Catalogo!$E$3:$E$1451,MATCH(Suiza_DE_CN_ID!D101,Gamma_Catalogo!$A$3:$A$1451,0)),"Revisar Ip Code"))</f>
        <v/>
      </c>
      <c r="O751" s="1" t="str">
        <f aca="false">IF(Suiza_DE_CN_ID!A101="","","Suiza")</f>
        <v/>
      </c>
    </row>
    <row r="752" customFormat="false" ht="15" hidden="false" customHeight="true" outlineLevel="0" collapsed="false">
      <c r="A752" s="1" t="str">
        <f aca="false">IF(Suiza_DE_CN_ID!A102="","",IFERROR(INDEX(Mercados!$C$2:$C$32,MATCH(Suiza_DE_CN_ID!B102,Mercados!$A$2:$A$32,0)),"Revisar Tscode"))</f>
        <v/>
      </c>
      <c r="B752" s="1" t="str">
        <f aca="false">IF(Suiza_DE_CN_ID!A102="","",Suiza_DE_CN_ID!A102)</f>
        <v/>
      </c>
      <c r="C752" s="1" t="str">
        <f aca="false">IF(Suiza_DE_CN_ID!A102="","",Suiza_DE_CN_ID!C102)</f>
        <v/>
      </c>
      <c r="D752" s="1" t="str">
        <f aca="false">IF(Suiza_DE_CN_ID!A102="","",Suiza_DE_CN_ID!D102)</f>
        <v/>
      </c>
      <c r="E752" s="1" t="str">
        <f aca="false">IF(Suiza_DE_CN_ID!A102="","",Suiza_DE_CN_ID!E102)</f>
        <v/>
      </c>
      <c r="F752" s="1" t="str">
        <f aca="false">IF(Suiza_DE_CN_ID!A102="","",Suiza_DE_CN_ID!G102)</f>
        <v/>
      </c>
      <c r="I752" s="1" t="str">
        <f aca="false">IF(Suiza_DE_CN_ID!A102="","",Suiza_DE_CN_ID!H102)</f>
        <v/>
      </c>
      <c r="J752" s="1" t="str">
        <f aca="false">IF(Suiza_DE_CN_ID!A102="","",Suiza_DE_CN_ID!I102)</f>
        <v/>
      </c>
      <c r="K752" s="1" t="str">
        <f aca="false">IF(Suiza_DE_CN_ID!A102="","",UPPER(Suiza_DE_CN_ID!J102))</f>
        <v/>
      </c>
      <c r="L752" s="1" t="str">
        <f aca="false">IF(Suiza_DE_CN_ID!A102="","",IFERROR(INDEX(Gamma_Catalogo!$D$3:$D$1451,MATCH(Suiza_DE_CN_ID!D102,Gamma_Catalogo!$A$3:$A$1451,0)),"Revisar Ip Code"))</f>
        <v/>
      </c>
      <c r="M752" s="1" t="str">
        <f aca="false">IF(Suiza_DE_CN_ID!A102="","",IFERROR(INDEX(Gamma_Catalogo!$C$3:$C$1451,MATCH(Suiza_DE_CN_ID!D102,Gamma_Catalogo!$A$3:$A$1451,0)),"Revisar Ip Code"))</f>
        <v/>
      </c>
      <c r="N752" s="1" t="str">
        <f aca="false">IF(Suiza_DE_CN_ID!A102="","",IFERROR(INDEX(Gamma_Catalogo!$E$3:$E$1451,MATCH(Suiza_DE_CN_ID!D102,Gamma_Catalogo!$A$3:$A$1451,0)),"Revisar Ip Code"))</f>
        <v/>
      </c>
      <c r="O752" s="1" t="str">
        <f aca="false">IF(Suiza_DE_CN_ID!A102="","","Suiza")</f>
        <v/>
      </c>
    </row>
    <row r="753" customFormat="false" ht="15" hidden="false" customHeight="true" outlineLevel="0" collapsed="false">
      <c r="A753" s="1" t="str">
        <f aca="false">IF(Suiza_DE_CN_ID!A103="","",IFERROR(INDEX(Mercados!$C$2:$C$32,MATCH(Suiza_DE_CN_ID!B103,Mercados!$A$2:$A$32,0)),"Revisar Tscode"))</f>
        <v/>
      </c>
      <c r="B753" s="1" t="str">
        <f aca="false">IF(Suiza_DE_CN_ID!A103="","",Suiza_DE_CN_ID!A103)</f>
        <v/>
      </c>
      <c r="C753" s="1" t="str">
        <f aca="false">IF(Suiza_DE_CN_ID!A103="","",Suiza_DE_CN_ID!C103)</f>
        <v/>
      </c>
      <c r="D753" s="1" t="str">
        <f aca="false">IF(Suiza_DE_CN_ID!A103="","",Suiza_DE_CN_ID!D103)</f>
        <v/>
      </c>
      <c r="E753" s="1" t="str">
        <f aca="false">IF(Suiza_DE_CN_ID!A103="","",Suiza_DE_CN_ID!E103)</f>
        <v/>
      </c>
      <c r="F753" s="1" t="str">
        <f aca="false">IF(Suiza_DE_CN_ID!A103="","",Suiza_DE_CN_ID!G103)</f>
        <v/>
      </c>
      <c r="I753" s="1" t="str">
        <f aca="false">IF(Suiza_DE_CN_ID!A103="","",Suiza_DE_CN_ID!H103)</f>
        <v/>
      </c>
      <c r="J753" s="1" t="str">
        <f aca="false">IF(Suiza_DE_CN_ID!A103="","",Suiza_DE_CN_ID!I103)</f>
        <v/>
      </c>
      <c r="K753" s="1" t="str">
        <f aca="false">IF(Suiza_DE_CN_ID!A103="","",UPPER(Suiza_DE_CN_ID!J103))</f>
        <v/>
      </c>
      <c r="L753" s="1" t="str">
        <f aca="false">IF(Suiza_DE_CN_ID!A103="","",IFERROR(INDEX(Gamma_Catalogo!$D$3:$D$1451,MATCH(Suiza_DE_CN_ID!D103,Gamma_Catalogo!$A$3:$A$1451,0)),"Revisar Ip Code"))</f>
        <v/>
      </c>
      <c r="M753" s="1" t="str">
        <f aca="false">IF(Suiza_DE_CN_ID!A103="","",IFERROR(INDEX(Gamma_Catalogo!$C$3:$C$1451,MATCH(Suiza_DE_CN_ID!D103,Gamma_Catalogo!$A$3:$A$1451,0)),"Revisar Ip Code"))</f>
        <v/>
      </c>
      <c r="N753" s="1" t="str">
        <f aca="false">IF(Suiza_DE_CN_ID!A103="","",IFERROR(INDEX(Gamma_Catalogo!$E$3:$E$1451,MATCH(Suiza_DE_CN_ID!D103,Gamma_Catalogo!$A$3:$A$1451,0)),"Revisar Ip Code"))</f>
        <v/>
      </c>
      <c r="O753" s="1" t="str">
        <f aca="false">IF(Suiza_DE_CN_ID!A103="","","Suiza")</f>
        <v/>
      </c>
    </row>
    <row r="754" customFormat="false" ht="15" hidden="false" customHeight="true" outlineLevel="0" collapsed="false">
      <c r="A754" s="1" t="str">
        <f aca="false">IF(Suiza_DE_CN_ID!A104="","",IFERROR(INDEX(Mercados!$C$2:$C$32,MATCH(Suiza_DE_CN_ID!B104,Mercados!$A$2:$A$32,0)),"Revisar Tscode"))</f>
        <v/>
      </c>
      <c r="B754" s="1" t="str">
        <f aca="false">IF(Suiza_DE_CN_ID!A104="","",Suiza_DE_CN_ID!A104)</f>
        <v/>
      </c>
      <c r="C754" s="1" t="str">
        <f aca="false">IF(Suiza_DE_CN_ID!A104="","",Suiza_DE_CN_ID!C104)</f>
        <v/>
      </c>
      <c r="D754" s="1" t="str">
        <f aca="false">IF(Suiza_DE_CN_ID!A104="","",Suiza_DE_CN_ID!D104)</f>
        <v/>
      </c>
      <c r="E754" s="1" t="str">
        <f aca="false">IF(Suiza_DE_CN_ID!A104="","",Suiza_DE_CN_ID!E104)</f>
        <v/>
      </c>
      <c r="F754" s="1" t="str">
        <f aca="false">IF(Suiza_DE_CN_ID!A104="","",Suiza_DE_CN_ID!G104)</f>
        <v/>
      </c>
      <c r="I754" s="1" t="str">
        <f aca="false">IF(Suiza_DE_CN_ID!A104="","",Suiza_DE_CN_ID!H104)</f>
        <v/>
      </c>
      <c r="J754" s="1" t="str">
        <f aca="false">IF(Suiza_DE_CN_ID!A104="","",Suiza_DE_CN_ID!I104)</f>
        <v/>
      </c>
      <c r="K754" s="1" t="str">
        <f aca="false">IF(Suiza_DE_CN_ID!A104="","",UPPER(Suiza_DE_CN_ID!J104))</f>
        <v/>
      </c>
      <c r="L754" s="1" t="str">
        <f aca="false">IF(Suiza_DE_CN_ID!A104="","",IFERROR(INDEX(Gamma_Catalogo!$D$3:$D$1451,MATCH(Suiza_DE_CN_ID!D104,Gamma_Catalogo!$A$3:$A$1451,0)),"Revisar Ip Code"))</f>
        <v/>
      </c>
      <c r="M754" s="1" t="str">
        <f aca="false">IF(Suiza_DE_CN_ID!A104="","",IFERROR(INDEX(Gamma_Catalogo!$C$3:$C$1451,MATCH(Suiza_DE_CN_ID!D104,Gamma_Catalogo!$A$3:$A$1451,0)),"Revisar Ip Code"))</f>
        <v/>
      </c>
      <c r="N754" s="1" t="str">
        <f aca="false">IF(Suiza_DE_CN_ID!A104="","",IFERROR(INDEX(Gamma_Catalogo!$E$3:$E$1451,MATCH(Suiza_DE_CN_ID!D104,Gamma_Catalogo!$A$3:$A$1451,0)),"Revisar Ip Code"))</f>
        <v/>
      </c>
      <c r="O754" s="1" t="str">
        <f aca="false">IF(Suiza_DE_CN_ID!A104="","","Suiza")</f>
        <v/>
      </c>
    </row>
    <row r="755" customFormat="false" ht="15" hidden="false" customHeight="true" outlineLevel="0" collapsed="false">
      <c r="A755" s="1" t="str">
        <f aca="false">IF(Suiza_DE_CN_ID!A105="","",IFERROR(INDEX(Mercados!$C$2:$C$32,MATCH(Suiza_DE_CN_ID!B105,Mercados!$A$2:$A$32,0)),"Revisar Tscode"))</f>
        <v/>
      </c>
      <c r="B755" s="1" t="str">
        <f aca="false">IF(Suiza_DE_CN_ID!A105="","",Suiza_DE_CN_ID!A105)</f>
        <v/>
      </c>
      <c r="C755" s="1" t="str">
        <f aca="false">IF(Suiza_DE_CN_ID!A105="","",Suiza_DE_CN_ID!C105)</f>
        <v/>
      </c>
      <c r="D755" s="1" t="str">
        <f aca="false">IF(Suiza_DE_CN_ID!A105="","",Suiza_DE_CN_ID!D105)</f>
        <v/>
      </c>
      <c r="E755" s="1" t="str">
        <f aca="false">IF(Suiza_DE_CN_ID!A105="","",Suiza_DE_CN_ID!E105)</f>
        <v/>
      </c>
      <c r="F755" s="1" t="str">
        <f aca="false">IF(Suiza_DE_CN_ID!A105="","",Suiza_DE_CN_ID!G105)</f>
        <v/>
      </c>
      <c r="I755" s="1" t="str">
        <f aca="false">IF(Suiza_DE_CN_ID!A105="","",Suiza_DE_CN_ID!H105)</f>
        <v/>
      </c>
      <c r="J755" s="1" t="str">
        <f aca="false">IF(Suiza_DE_CN_ID!A105="","",Suiza_DE_CN_ID!I105)</f>
        <v/>
      </c>
      <c r="K755" s="1" t="str">
        <f aca="false">IF(Suiza_DE_CN_ID!A105="","",UPPER(Suiza_DE_CN_ID!J105))</f>
        <v/>
      </c>
      <c r="L755" s="1" t="str">
        <f aca="false">IF(Suiza_DE_CN_ID!A105="","",IFERROR(INDEX(Gamma_Catalogo!$D$3:$D$1451,MATCH(Suiza_DE_CN_ID!D105,Gamma_Catalogo!$A$3:$A$1451,0)),"Revisar Ip Code"))</f>
        <v/>
      </c>
      <c r="M755" s="1" t="str">
        <f aca="false">IF(Suiza_DE_CN_ID!A105="","",IFERROR(INDEX(Gamma_Catalogo!$C$3:$C$1451,MATCH(Suiza_DE_CN_ID!D105,Gamma_Catalogo!$A$3:$A$1451,0)),"Revisar Ip Code"))</f>
        <v/>
      </c>
      <c r="N755" s="1" t="str">
        <f aca="false">IF(Suiza_DE_CN_ID!A105="","",IFERROR(INDEX(Gamma_Catalogo!$E$3:$E$1451,MATCH(Suiza_DE_CN_ID!D105,Gamma_Catalogo!$A$3:$A$1451,0)),"Revisar Ip Code"))</f>
        <v/>
      </c>
      <c r="O755" s="1" t="str">
        <f aca="false">IF(Suiza_DE_CN_ID!A105="","","Suiza")</f>
        <v/>
      </c>
    </row>
    <row r="756" customFormat="false" ht="15" hidden="false" customHeight="true" outlineLevel="0" collapsed="false">
      <c r="A756" s="1" t="str">
        <f aca="false">IF(Suiza_DE_CN_ID!A106="","",IFERROR(INDEX(Mercados!$C$2:$C$32,MATCH(Suiza_DE_CN_ID!B106,Mercados!$A$2:$A$32,0)),"Revisar Tscode"))</f>
        <v/>
      </c>
      <c r="B756" s="1" t="str">
        <f aca="false">IF(Suiza_DE_CN_ID!A106="","",Suiza_DE_CN_ID!A106)</f>
        <v/>
      </c>
      <c r="C756" s="1" t="str">
        <f aca="false">IF(Suiza_DE_CN_ID!A106="","",Suiza_DE_CN_ID!C106)</f>
        <v/>
      </c>
      <c r="D756" s="1" t="str">
        <f aca="false">IF(Suiza_DE_CN_ID!A106="","",Suiza_DE_CN_ID!D106)</f>
        <v/>
      </c>
      <c r="E756" s="1" t="str">
        <f aca="false">IF(Suiza_DE_CN_ID!A106="","",Suiza_DE_CN_ID!E106)</f>
        <v/>
      </c>
      <c r="F756" s="1" t="str">
        <f aca="false">IF(Suiza_DE_CN_ID!A106="","",Suiza_DE_CN_ID!G106)</f>
        <v/>
      </c>
      <c r="I756" s="1" t="str">
        <f aca="false">IF(Suiza_DE_CN_ID!A106="","",Suiza_DE_CN_ID!H106)</f>
        <v/>
      </c>
      <c r="J756" s="1" t="str">
        <f aca="false">IF(Suiza_DE_CN_ID!A106="","",Suiza_DE_CN_ID!I106)</f>
        <v/>
      </c>
      <c r="K756" s="1" t="str">
        <f aca="false">IF(Suiza_DE_CN_ID!A106="","",UPPER(Suiza_DE_CN_ID!J106))</f>
        <v/>
      </c>
      <c r="L756" s="1" t="str">
        <f aca="false">IF(Suiza_DE_CN_ID!A106="","",IFERROR(INDEX(Gamma_Catalogo!$D$3:$D$1451,MATCH(Suiza_DE_CN_ID!D106,Gamma_Catalogo!$A$3:$A$1451,0)),"Revisar Ip Code"))</f>
        <v/>
      </c>
      <c r="M756" s="1" t="str">
        <f aca="false">IF(Suiza_DE_CN_ID!A106="","",IFERROR(INDEX(Gamma_Catalogo!$C$3:$C$1451,MATCH(Suiza_DE_CN_ID!D106,Gamma_Catalogo!$A$3:$A$1451,0)),"Revisar Ip Code"))</f>
        <v/>
      </c>
      <c r="N756" s="1" t="str">
        <f aca="false">IF(Suiza_DE_CN_ID!A106="","",IFERROR(INDEX(Gamma_Catalogo!$E$3:$E$1451,MATCH(Suiza_DE_CN_ID!D106,Gamma_Catalogo!$A$3:$A$1451,0)),"Revisar Ip Code"))</f>
        <v/>
      </c>
      <c r="O756" s="1" t="str">
        <f aca="false">IF(Suiza_DE_CN_ID!A106="","","Suiza")</f>
        <v/>
      </c>
    </row>
    <row r="757" customFormat="false" ht="15" hidden="false" customHeight="true" outlineLevel="0" collapsed="false">
      <c r="A757" s="1" t="str">
        <f aca="false">IF(Suiza_DE_CN_ID!A107="","",IFERROR(INDEX(Mercados!$C$2:$C$32,MATCH(Suiza_DE_CN_ID!B107,Mercados!$A$2:$A$32,0)),"Revisar Tscode"))</f>
        <v/>
      </c>
      <c r="B757" s="1" t="str">
        <f aca="false">IF(Suiza_DE_CN_ID!A107="","",Suiza_DE_CN_ID!A107)</f>
        <v/>
      </c>
      <c r="C757" s="1" t="str">
        <f aca="false">IF(Suiza_DE_CN_ID!A107="","",Suiza_DE_CN_ID!C107)</f>
        <v/>
      </c>
      <c r="D757" s="1" t="str">
        <f aca="false">IF(Suiza_DE_CN_ID!A107="","",Suiza_DE_CN_ID!D107)</f>
        <v/>
      </c>
      <c r="E757" s="1" t="str">
        <f aca="false">IF(Suiza_DE_CN_ID!A107="","",Suiza_DE_CN_ID!E107)</f>
        <v/>
      </c>
      <c r="F757" s="1" t="str">
        <f aca="false">IF(Suiza_DE_CN_ID!A107="","",Suiza_DE_CN_ID!G107)</f>
        <v/>
      </c>
      <c r="I757" s="1" t="str">
        <f aca="false">IF(Suiza_DE_CN_ID!A107="","",Suiza_DE_CN_ID!H107)</f>
        <v/>
      </c>
      <c r="J757" s="1" t="str">
        <f aca="false">IF(Suiza_DE_CN_ID!A107="","",Suiza_DE_CN_ID!I107)</f>
        <v/>
      </c>
      <c r="K757" s="1" t="str">
        <f aca="false">IF(Suiza_DE_CN_ID!A107="","",UPPER(Suiza_DE_CN_ID!J107))</f>
        <v/>
      </c>
      <c r="L757" s="1" t="str">
        <f aca="false">IF(Suiza_DE_CN_ID!A107="","",IFERROR(INDEX(Gamma_Catalogo!$D$3:$D$1451,MATCH(Suiza_DE_CN_ID!D107,Gamma_Catalogo!$A$3:$A$1451,0)),"Revisar Ip Code"))</f>
        <v/>
      </c>
      <c r="M757" s="1" t="str">
        <f aca="false">IF(Suiza_DE_CN_ID!A107="","",IFERROR(INDEX(Gamma_Catalogo!$C$3:$C$1451,MATCH(Suiza_DE_CN_ID!D107,Gamma_Catalogo!$A$3:$A$1451,0)),"Revisar Ip Code"))</f>
        <v/>
      </c>
      <c r="N757" s="1" t="str">
        <f aca="false">IF(Suiza_DE_CN_ID!A107="","",IFERROR(INDEX(Gamma_Catalogo!$E$3:$E$1451,MATCH(Suiza_DE_CN_ID!D107,Gamma_Catalogo!$A$3:$A$1451,0)),"Revisar Ip Code"))</f>
        <v/>
      </c>
      <c r="O757" s="1" t="str">
        <f aca="false">IF(Suiza_DE_CN_ID!A107="","","Suiza")</f>
        <v/>
      </c>
    </row>
    <row r="758" customFormat="false" ht="15" hidden="false" customHeight="true" outlineLevel="0" collapsed="false">
      <c r="A758" s="1" t="str">
        <f aca="false">IF(Suiza_DE_CN_ID!A108="","",IFERROR(INDEX(Mercados!$C$2:$C$32,MATCH(Suiza_DE_CN_ID!B108,Mercados!$A$2:$A$32,0)),"Revisar Tscode"))</f>
        <v/>
      </c>
      <c r="B758" s="1" t="str">
        <f aca="false">IF(Suiza_DE_CN_ID!A108="","",Suiza_DE_CN_ID!A108)</f>
        <v/>
      </c>
      <c r="C758" s="1" t="str">
        <f aca="false">IF(Suiza_DE_CN_ID!A108="","",Suiza_DE_CN_ID!C108)</f>
        <v/>
      </c>
      <c r="D758" s="1" t="str">
        <f aca="false">IF(Suiza_DE_CN_ID!A108="","",Suiza_DE_CN_ID!D108)</f>
        <v/>
      </c>
      <c r="E758" s="1" t="str">
        <f aca="false">IF(Suiza_DE_CN_ID!A108="","",Suiza_DE_CN_ID!E108)</f>
        <v/>
      </c>
      <c r="F758" s="1" t="str">
        <f aca="false">IF(Suiza_DE_CN_ID!A108="","",Suiza_DE_CN_ID!G108)</f>
        <v/>
      </c>
      <c r="I758" s="1" t="str">
        <f aca="false">IF(Suiza_DE_CN_ID!A108="","",Suiza_DE_CN_ID!H108)</f>
        <v/>
      </c>
      <c r="J758" s="1" t="str">
        <f aca="false">IF(Suiza_DE_CN_ID!A108="","",Suiza_DE_CN_ID!I108)</f>
        <v/>
      </c>
      <c r="K758" s="1" t="str">
        <f aca="false">IF(Suiza_DE_CN_ID!A108="","",UPPER(Suiza_DE_CN_ID!J108))</f>
        <v/>
      </c>
      <c r="L758" s="1" t="str">
        <f aca="false">IF(Suiza_DE_CN_ID!A108="","",IFERROR(INDEX(Gamma_Catalogo!$D$3:$D$1451,MATCH(Suiza_DE_CN_ID!D108,Gamma_Catalogo!$A$3:$A$1451,0)),"Revisar Ip Code"))</f>
        <v/>
      </c>
      <c r="M758" s="1" t="str">
        <f aca="false">IF(Suiza_DE_CN_ID!A108="","",IFERROR(INDEX(Gamma_Catalogo!$C$3:$C$1451,MATCH(Suiza_DE_CN_ID!D108,Gamma_Catalogo!$A$3:$A$1451,0)),"Revisar Ip Code"))</f>
        <v/>
      </c>
      <c r="N758" s="1" t="str">
        <f aca="false">IF(Suiza_DE_CN_ID!A108="","",IFERROR(INDEX(Gamma_Catalogo!$E$3:$E$1451,MATCH(Suiza_DE_CN_ID!D108,Gamma_Catalogo!$A$3:$A$1451,0)),"Revisar Ip Code"))</f>
        <v/>
      </c>
      <c r="O758" s="1" t="str">
        <f aca="false">IF(Suiza_DE_CN_ID!A108="","","Suiza")</f>
        <v/>
      </c>
    </row>
    <row r="759" customFormat="false" ht="15" hidden="false" customHeight="true" outlineLevel="0" collapsed="false">
      <c r="A759" s="1" t="str">
        <f aca="false">IF(Suiza_DE_CN_ID!A109="","",IFERROR(INDEX(Mercados!$C$2:$C$32,MATCH(Suiza_DE_CN_ID!B109,Mercados!$A$2:$A$32,0)),"Revisar Tscode"))</f>
        <v/>
      </c>
      <c r="B759" s="1" t="str">
        <f aca="false">IF(Suiza_DE_CN_ID!A109="","",Suiza_DE_CN_ID!A109)</f>
        <v/>
      </c>
      <c r="C759" s="1" t="str">
        <f aca="false">IF(Suiza_DE_CN_ID!A109="","",Suiza_DE_CN_ID!C109)</f>
        <v/>
      </c>
      <c r="D759" s="1" t="str">
        <f aca="false">IF(Suiza_DE_CN_ID!A109="","",Suiza_DE_CN_ID!D109)</f>
        <v/>
      </c>
      <c r="E759" s="1" t="str">
        <f aca="false">IF(Suiza_DE_CN_ID!A109="","",Suiza_DE_CN_ID!E109)</f>
        <v/>
      </c>
      <c r="F759" s="1" t="str">
        <f aca="false">IF(Suiza_DE_CN_ID!A109="","",Suiza_DE_CN_ID!G109)</f>
        <v/>
      </c>
      <c r="I759" s="1" t="str">
        <f aca="false">IF(Suiza_DE_CN_ID!A109="","",Suiza_DE_CN_ID!H109)</f>
        <v/>
      </c>
      <c r="J759" s="1" t="str">
        <f aca="false">IF(Suiza_DE_CN_ID!A109="","",Suiza_DE_CN_ID!I109)</f>
        <v/>
      </c>
      <c r="K759" s="1" t="str">
        <f aca="false">IF(Suiza_DE_CN_ID!A109="","",UPPER(Suiza_DE_CN_ID!J109))</f>
        <v/>
      </c>
      <c r="L759" s="1" t="str">
        <f aca="false">IF(Suiza_DE_CN_ID!A109="","",IFERROR(INDEX(Gamma_Catalogo!$D$3:$D$1451,MATCH(Suiza_DE_CN_ID!D109,Gamma_Catalogo!$A$3:$A$1451,0)),"Revisar Ip Code"))</f>
        <v/>
      </c>
      <c r="M759" s="1" t="str">
        <f aca="false">IF(Suiza_DE_CN_ID!A109="","",IFERROR(INDEX(Gamma_Catalogo!$C$3:$C$1451,MATCH(Suiza_DE_CN_ID!D109,Gamma_Catalogo!$A$3:$A$1451,0)),"Revisar Ip Code"))</f>
        <v/>
      </c>
      <c r="N759" s="1" t="str">
        <f aca="false">IF(Suiza_DE_CN_ID!A109="","",IFERROR(INDEX(Gamma_Catalogo!$E$3:$E$1451,MATCH(Suiza_DE_CN_ID!D109,Gamma_Catalogo!$A$3:$A$1451,0)),"Revisar Ip Code"))</f>
        <v/>
      </c>
      <c r="O759" s="1" t="str">
        <f aca="false">IF(Suiza_DE_CN_ID!A109="","","Suiza")</f>
        <v/>
      </c>
    </row>
    <row r="760" customFormat="false" ht="15" hidden="false" customHeight="true" outlineLevel="0" collapsed="false">
      <c r="A760" s="1" t="str">
        <f aca="false">IF(Suiza_DE_CN_ID!A110="","",IFERROR(INDEX(Mercados!$C$2:$C$32,MATCH(Suiza_DE_CN_ID!B110,Mercados!$A$2:$A$32,0)),"Revisar Tscode"))</f>
        <v/>
      </c>
      <c r="B760" s="1" t="str">
        <f aca="false">IF(Suiza_DE_CN_ID!A110="","",Suiza_DE_CN_ID!A110)</f>
        <v/>
      </c>
      <c r="C760" s="1" t="str">
        <f aca="false">IF(Suiza_DE_CN_ID!A110="","",Suiza_DE_CN_ID!C110)</f>
        <v/>
      </c>
      <c r="D760" s="1" t="str">
        <f aca="false">IF(Suiza_DE_CN_ID!A110="","",Suiza_DE_CN_ID!D110)</f>
        <v/>
      </c>
      <c r="E760" s="1" t="str">
        <f aca="false">IF(Suiza_DE_CN_ID!A110="","",Suiza_DE_CN_ID!E110)</f>
        <v/>
      </c>
      <c r="F760" s="1" t="str">
        <f aca="false">IF(Suiza_DE_CN_ID!A110="","",Suiza_DE_CN_ID!G110)</f>
        <v/>
      </c>
      <c r="I760" s="1" t="str">
        <f aca="false">IF(Suiza_DE_CN_ID!A110="","",Suiza_DE_CN_ID!H110)</f>
        <v/>
      </c>
      <c r="J760" s="1" t="str">
        <f aca="false">IF(Suiza_DE_CN_ID!A110="","",Suiza_DE_CN_ID!I110)</f>
        <v/>
      </c>
      <c r="K760" s="1" t="str">
        <f aca="false">IF(Suiza_DE_CN_ID!A110="","",UPPER(Suiza_DE_CN_ID!J110))</f>
        <v/>
      </c>
      <c r="L760" s="1" t="str">
        <f aca="false">IF(Suiza_DE_CN_ID!A110="","",IFERROR(INDEX(Gamma_Catalogo!$D$3:$D$1451,MATCH(Suiza_DE_CN_ID!D110,Gamma_Catalogo!$A$3:$A$1451,0)),"Revisar Ip Code"))</f>
        <v/>
      </c>
      <c r="M760" s="1" t="str">
        <f aca="false">IF(Suiza_DE_CN_ID!A110="","",IFERROR(INDEX(Gamma_Catalogo!$C$3:$C$1451,MATCH(Suiza_DE_CN_ID!D110,Gamma_Catalogo!$A$3:$A$1451,0)),"Revisar Ip Code"))</f>
        <v/>
      </c>
      <c r="N760" s="1" t="str">
        <f aca="false">IF(Suiza_DE_CN_ID!A110="","",IFERROR(INDEX(Gamma_Catalogo!$E$3:$E$1451,MATCH(Suiza_DE_CN_ID!D110,Gamma_Catalogo!$A$3:$A$1451,0)),"Revisar Ip Code"))</f>
        <v/>
      </c>
      <c r="O760" s="1" t="str">
        <f aca="false">IF(Suiza_DE_CN_ID!A110="","","Suiza")</f>
        <v/>
      </c>
    </row>
    <row r="761" customFormat="false" ht="15" hidden="false" customHeight="true" outlineLevel="0" collapsed="false">
      <c r="A761" s="1" t="str">
        <f aca="false">IF(Suiza_DE_CN_ID!A111="","",IFERROR(INDEX(Mercados!$C$2:$C$32,MATCH(Suiza_DE_CN_ID!B111,Mercados!$A$2:$A$32,0)),"Revisar Tscode"))</f>
        <v/>
      </c>
      <c r="B761" s="1" t="str">
        <f aca="false">IF(Suiza_DE_CN_ID!A111="","",Suiza_DE_CN_ID!A111)</f>
        <v/>
      </c>
      <c r="C761" s="1" t="str">
        <f aca="false">IF(Suiza_DE_CN_ID!A111="","",Suiza_DE_CN_ID!C111)</f>
        <v/>
      </c>
      <c r="D761" s="1" t="str">
        <f aca="false">IF(Suiza_DE_CN_ID!A111="","",Suiza_DE_CN_ID!D111)</f>
        <v/>
      </c>
      <c r="E761" s="1" t="str">
        <f aca="false">IF(Suiza_DE_CN_ID!A111="","",Suiza_DE_CN_ID!E111)</f>
        <v/>
      </c>
      <c r="F761" s="1" t="str">
        <f aca="false">IF(Suiza_DE_CN_ID!A111="","",Suiza_DE_CN_ID!G111)</f>
        <v/>
      </c>
      <c r="I761" s="1" t="str">
        <f aca="false">IF(Suiza_DE_CN_ID!A111="","",Suiza_DE_CN_ID!H111)</f>
        <v/>
      </c>
      <c r="J761" s="1" t="str">
        <f aca="false">IF(Suiza_DE_CN_ID!A111="","",Suiza_DE_CN_ID!I111)</f>
        <v/>
      </c>
      <c r="K761" s="1" t="str">
        <f aca="false">IF(Suiza_DE_CN_ID!A111="","",UPPER(Suiza_DE_CN_ID!J111))</f>
        <v/>
      </c>
      <c r="L761" s="1" t="str">
        <f aca="false">IF(Suiza_DE_CN_ID!A111="","",IFERROR(INDEX(Gamma_Catalogo!$D$3:$D$1451,MATCH(Suiza_DE_CN_ID!D111,Gamma_Catalogo!$A$3:$A$1451,0)),"Revisar Ip Code"))</f>
        <v/>
      </c>
      <c r="M761" s="1" t="str">
        <f aca="false">IF(Suiza_DE_CN_ID!A111="","",IFERROR(INDEX(Gamma_Catalogo!$C$3:$C$1451,MATCH(Suiza_DE_CN_ID!D111,Gamma_Catalogo!$A$3:$A$1451,0)),"Revisar Ip Code"))</f>
        <v/>
      </c>
      <c r="N761" s="1" t="str">
        <f aca="false">IF(Suiza_DE_CN_ID!A111="","",IFERROR(INDEX(Gamma_Catalogo!$E$3:$E$1451,MATCH(Suiza_DE_CN_ID!D111,Gamma_Catalogo!$A$3:$A$1451,0)),"Revisar Ip Code"))</f>
        <v/>
      </c>
      <c r="O761" s="1" t="str">
        <f aca="false">IF(Suiza_DE_CN_ID!A111="","","Suiza")</f>
        <v/>
      </c>
    </row>
    <row r="762" customFormat="false" ht="15" hidden="false" customHeight="true" outlineLevel="0" collapsed="false">
      <c r="A762" s="1" t="str">
        <f aca="false">IF(Suiza_DE_CN_ID!A112="","",IFERROR(INDEX(Mercados!$C$2:$C$32,MATCH(Suiza_DE_CN_ID!B112,Mercados!$A$2:$A$32,0)),"Revisar Tscode"))</f>
        <v/>
      </c>
      <c r="B762" s="1" t="str">
        <f aca="false">IF(Suiza_DE_CN_ID!A112="","",Suiza_DE_CN_ID!A112)</f>
        <v/>
      </c>
      <c r="C762" s="1" t="str">
        <f aca="false">IF(Suiza_DE_CN_ID!A112="","",Suiza_DE_CN_ID!C112)</f>
        <v/>
      </c>
      <c r="D762" s="1" t="str">
        <f aca="false">IF(Suiza_DE_CN_ID!A112="","",Suiza_DE_CN_ID!D112)</f>
        <v/>
      </c>
      <c r="E762" s="1" t="str">
        <f aca="false">IF(Suiza_DE_CN_ID!A112="","",Suiza_DE_CN_ID!E112)</f>
        <v/>
      </c>
      <c r="F762" s="1" t="str">
        <f aca="false">IF(Suiza_DE_CN_ID!A112="","",Suiza_DE_CN_ID!G112)</f>
        <v/>
      </c>
      <c r="I762" s="1" t="str">
        <f aca="false">IF(Suiza_DE_CN_ID!A112="","",Suiza_DE_CN_ID!H112)</f>
        <v/>
      </c>
      <c r="J762" s="1" t="str">
        <f aca="false">IF(Suiza_DE_CN_ID!A112="","",Suiza_DE_CN_ID!I112)</f>
        <v/>
      </c>
      <c r="K762" s="1" t="str">
        <f aca="false">IF(Suiza_DE_CN_ID!A112="","",UPPER(Suiza_DE_CN_ID!J112))</f>
        <v/>
      </c>
      <c r="L762" s="1" t="str">
        <f aca="false">IF(Suiza_DE_CN_ID!A112="","",IFERROR(INDEX(Gamma_Catalogo!$D$3:$D$1451,MATCH(Suiza_DE_CN_ID!D112,Gamma_Catalogo!$A$3:$A$1451,0)),"Revisar Ip Code"))</f>
        <v/>
      </c>
      <c r="M762" s="1" t="str">
        <f aca="false">IF(Suiza_DE_CN_ID!A112="","",IFERROR(INDEX(Gamma_Catalogo!$C$3:$C$1451,MATCH(Suiza_DE_CN_ID!D112,Gamma_Catalogo!$A$3:$A$1451,0)),"Revisar Ip Code"))</f>
        <v/>
      </c>
      <c r="N762" s="1" t="str">
        <f aca="false">IF(Suiza_DE_CN_ID!A112="","",IFERROR(INDEX(Gamma_Catalogo!$E$3:$E$1451,MATCH(Suiza_DE_CN_ID!D112,Gamma_Catalogo!$A$3:$A$1451,0)),"Revisar Ip Code"))</f>
        <v/>
      </c>
      <c r="O762" s="1" t="str">
        <f aca="false">IF(Suiza_DE_CN_ID!A112="","","Suiza")</f>
        <v/>
      </c>
    </row>
    <row r="763" customFormat="false" ht="15" hidden="false" customHeight="true" outlineLevel="0" collapsed="false">
      <c r="A763" s="1" t="str">
        <f aca="false">IF(Suiza_DE_CN_ID!A113="","",IFERROR(INDEX(Mercados!$C$2:$C$32,MATCH(Suiza_DE_CN_ID!B113,Mercados!$A$2:$A$32,0)),"Revisar Tscode"))</f>
        <v/>
      </c>
      <c r="B763" s="1" t="str">
        <f aca="false">IF(Suiza_DE_CN_ID!A113="","",Suiza_DE_CN_ID!A113)</f>
        <v/>
      </c>
      <c r="C763" s="1" t="str">
        <f aca="false">IF(Suiza_DE_CN_ID!A113="","",Suiza_DE_CN_ID!C113)</f>
        <v/>
      </c>
      <c r="D763" s="1" t="str">
        <f aca="false">IF(Suiza_DE_CN_ID!A113="","",Suiza_DE_CN_ID!D113)</f>
        <v/>
      </c>
      <c r="E763" s="1" t="str">
        <f aca="false">IF(Suiza_DE_CN_ID!A113="","",Suiza_DE_CN_ID!E113)</f>
        <v/>
      </c>
      <c r="F763" s="1" t="str">
        <f aca="false">IF(Suiza_DE_CN_ID!A113="","",Suiza_DE_CN_ID!G113)</f>
        <v/>
      </c>
      <c r="I763" s="1" t="str">
        <f aca="false">IF(Suiza_DE_CN_ID!A113="","",Suiza_DE_CN_ID!H113)</f>
        <v/>
      </c>
      <c r="J763" s="1" t="str">
        <f aca="false">IF(Suiza_DE_CN_ID!A113="","",Suiza_DE_CN_ID!I113)</f>
        <v/>
      </c>
      <c r="K763" s="1" t="str">
        <f aca="false">IF(Suiza_DE_CN_ID!A113="","",UPPER(Suiza_DE_CN_ID!J113))</f>
        <v/>
      </c>
      <c r="L763" s="1" t="str">
        <f aca="false">IF(Suiza_DE_CN_ID!A113="","",IFERROR(INDEX(Gamma_Catalogo!$D$3:$D$1451,MATCH(Suiza_DE_CN_ID!D113,Gamma_Catalogo!$A$3:$A$1451,0)),"Revisar Ip Code"))</f>
        <v/>
      </c>
      <c r="M763" s="1" t="str">
        <f aca="false">IF(Suiza_DE_CN_ID!A113="","",IFERROR(INDEX(Gamma_Catalogo!$C$3:$C$1451,MATCH(Suiza_DE_CN_ID!D113,Gamma_Catalogo!$A$3:$A$1451,0)),"Revisar Ip Code"))</f>
        <v/>
      </c>
      <c r="N763" s="1" t="str">
        <f aca="false">IF(Suiza_DE_CN_ID!A113="","",IFERROR(INDEX(Gamma_Catalogo!$E$3:$E$1451,MATCH(Suiza_DE_CN_ID!D113,Gamma_Catalogo!$A$3:$A$1451,0)),"Revisar Ip Code"))</f>
        <v/>
      </c>
      <c r="O763" s="1" t="str">
        <f aca="false">IF(Suiza_DE_CN_ID!A113="","","Suiza")</f>
        <v/>
      </c>
    </row>
    <row r="764" customFormat="false" ht="15" hidden="false" customHeight="true" outlineLevel="0" collapsed="false">
      <c r="A764" s="1" t="str">
        <f aca="false">IF(Suiza_DE_CN_ID!A114="","",IFERROR(INDEX(Mercados!$C$2:$C$32,MATCH(Suiza_DE_CN_ID!B114,Mercados!$A$2:$A$32,0)),"Revisar Tscode"))</f>
        <v/>
      </c>
      <c r="B764" s="1" t="str">
        <f aca="false">IF(Suiza_DE_CN_ID!A114="","",Suiza_DE_CN_ID!A114)</f>
        <v/>
      </c>
      <c r="C764" s="1" t="str">
        <f aca="false">IF(Suiza_DE_CN_ID!A114="","",Suiza_DE_CN_ID!C114)</f>
        <v/>
      </c>
      <c r="D764" s="1" t="str">
        <f aca="false">IF(Suiza_DE_CN_ID!A114="","",Suiza_DE_CN_ID!D114)</f>
        <v/>
      </c>
      <c r="E764" s="1" t="str">
        <f aca="false">IF(Suiza_DE_CN_ID!A114="","",Suiza_DE_CN_ID!E114)</f>
        <v/>
      </c>
      <c r="F764" s="1" t="str">
        <f aca="false">IF(Suiza_DE_CN_ID!A114="","",Suiza_DE_CN_ID!G114)</f>
        <v/>
      </c>
      <c r="I764" s="1" t="str">
        <f aca="false">IF(Suiza_DE_CN_ID!A114="","",Suiza_DE_CN_ID!H114)</f>
        <v/>
      </c>
      <c r="J764" s="1" t="str">
        <f aca="false">IF(Suiza_DE_CN_ID!A114="","",Suiza_DE_CN_ID!I114)</f>
        <v/>
      </c>
      <c r="K764" s="1" t="str">
        <f aca="false">IF(Suiza_DE_CN_ID!A114="","",UPPER(Suiza_DE_CN_ID!J114))</f>
        <v/>
      </c>
      <c r="L764" s="1" t="str">
        <f aca="false">IF(Suiza_DE_CN_ID!A114="","",IFERROR(INDEX(Gamma_Catalogo!$D$3:$D$1451,MATCH(Suiza_DE_CN_ID!D114,Gamma_Catalogo!$A$3:$A$1451,0)),"Revisar Ip Code"))</f>
        <v/>
      </c>
      <c r="M764" s="1" t="str">
        <f aca="false">IF(Suiza_DE_CN_ID!A114="","",IFERROR(INDEX(Gamma_Catalogo!$C$3:$C$1451,MATCH(Suiza_DE_CN_ID!D114,Gamma_Catalogo!$A$3:$A$1451,0)),"Revisar Ip Code"))</f>
        <v/>
      </c>
      <c r="N764" s="1" t="str">
        <f aca="false">IF(Suiza_DE_CN_ID!A114="","",IFERROR(INDEX(Gamma_Catalogo!$E$3:$E$1451,MATCH(Suiza_DE_CN_ID!D114,Gamma_Catalogo!$A$3:$A$1451,0)),"Revisar Ip Code"))</f>
        <v/>
      </c>
      <c r="O764" s="1" t="str">
        <f aca="false">IF(Suiza_DE_CN_ID!A114="","","Suiza")</f>
        <v/>
      </c>
    </row>
    <row r="765" customFormat="false" ht="15" hidden="false" customHeight="true" outlineLevel="0" collapsed="false">
      <c r="A765" s="1" t="str">
        <f aca="false">IF(Suiza_DE_CN_ID!A115="","",IFERROR(INDEX(Mercados!$C$2:$C$32,MATCH(Suiza_DE_CN_ID!B115,Mercados!$A$2:$A$32,0)),"Revisar Tscode"))</f>
        <v/>
      </c>
      <c r="B765" s="1" t="str">
        <f aca="false">IF(Suiza_DE_CN_ID!A115="","",Suiza_DE_CN_ID!A115)</f>
        <v/>
      </c>
      <c r="C765" s="1" t="str">
        <f aca="false">IF(Suiza_DE_CN_ID!A115="","",Suiza_DE_CN_ID!C115)</f>
        <v/>
      </c>
      <c r="D765" s="1" t="str">
        <f aca="false">IF(Suiza_DE_CN_ID!A115="","",Suiza_DE_CN_ID!D115)</f>
        <v/>
      </c>
      <c r="E765" s="1" t="str">
        <f aca="false">IF(Suiza_DE_CN_ID!A115="","",Suiza_DE_CN_ID!E115)</f>
        <v/>
      </c>
      <c r="F765" s="1" t="str">
        <f aca="false">IF(Suiza_DE_CN_ID!A115="","",Suiza_DE_CN_ID!G115)</f>
        <v/>
      </c>
      <c r="I765" s="1" t="str">
        <f aca="false">IF(Suiza_DE_CN_ID!A115="","",Suiza_DE_CN_ID!H115)</f>
        <v/>
      </c>
      <c r="J765" s="1" t="str">
        <f aca="false">IF(Suiza_DE_CN_ID!A115="","",Suiza_DE_CN_ID!I115)</f>
        <v/>
      </c>
      <c r="K765" s="1" t="str">
        <f aca="false">IF(Suiza_DE_CN_ID!A115="","",UPPER(Suiza_DE_CN_ID!J115))</f>
        <v/>
      </c>
      <c r="L765" s="1" t="str">
        <f aca="false">IF(Suiza_DE_CN_ID!A115="","",IFERROR(INDEX(Gamma_Catalogo!$D$3:$D$1451,MATCH(Suiza_DE_CN_ID!D115,Gamma_Catalogo!$A$3:$A$1451,0)),"Revisar Ip Code"))</f>
        <v/>
      </c>
      <c r="M765" s="1" t="str">
        <f aca="false">IF(Suiza_DE_CN_ID!A115="","",IFERROR(INDEX(Gamma_Catalogo!$C$3:$C$1451,MATCH(Suiza_DE_CN_ID!D115,Gamma_Catalogo!$A$3:$A$1451,0)),"Revisar Ip Code"))</f>
        <v/>
      </c>
      <c r="N765" s="1" t="str">
        <f aca="false">IF(Suiza_DE_CN_ID!A115="","",IFERROR(INDEX(Gamma_Catalogo!$E$3:$E$1451,MATCH(Suiza_DE_CN_ID!D115,Gamma_Catalogo!$A$3:$A$1451,0)),"Revisar Ip Code"))</f>
        <v/>
      </c>
      <c r="O765" s="1" t="str">
        <f aca="false">IF(Suiza_DE_CN_ID!A115="","","Suiza")</f>
        <v/>
      </c>
    </row>
    <row r="766" customFormat="false" ht="15" hidden="false" customHeight="true" outlineLevel="0" collapsed="false">
      <c r="A766" s="1" t="str">
        <f aca="false">IF(Suiza_DE_CN_ID!A116="","",IFERROR(INDEX(Mercados!$C$2:$C$32,MATCH(Suiza_DE_CN_ID!B116,Mercados!$A$2:$A$32,0)),"Revisar Tscode"))</f>
        <v/>
      </c>
      <c r="B766" s="1" t="str">
        <f aca="false">IF(Suiza_DE_CN_ID!A116="","",Suiza_DE_CN_ID!A116)</f>
        <v/>
      </c>
      <c r="C766" s="1" t="str">
        <f aca="false">IF(Suiza_DE_CN_ID!A116="","",Suiza_DE_CN_ID!C116)</f>
        <v/>
      </c>
      <c r="D766" s="1" t="str">
        <f aca="false">IF(Suiza_DE_CN_ID!A116="","",Suiza_DE_CN_ID!D116)</f>
        <v/>
      </c>
      <c r="E766" s="1" t="str">
        <f aca="false">IF(Suiza_DE_CN_ID!A116="","",Suiza_DE_CN_ID!E116)</f>
        <v/>
      </c>
      <c r="F766" s="1" t="str">
        <f aca="false">IF(Suiza_DE_CN_ID!A116="","",Suiza_DE_CN_ID!G116)</f>
        <v/>
      </c>
      <c r="I766" s="1" t="str">
        <f aca="false">IF(Suiza_DE_CN_ID!A116="","",Suiza_DE_CN_ID!H116)</f>
        <v/>
      </c>
      <c r="J766" s="1" t="str">
        <f aca="false">IF(Suiza_DE_CN_ID!A116="","",Suiza_DE_CN_ID!I116)</f>
        <v/>
      </c>
      <c r="K766" s="1" t="str">
        <f aca="false">IF(Suiza_DE_CN_ID!A116="","",UPPER(Suiza_DE_CN_ID!J116))</f>
        <v/>
      </c>
      <c r="L766" s="1" t="str">
        <f aca="false">IF(Suiza_DE_CN_ID!A116="","",IFERROR(INDEX(Gamma_Catalogo!$D$3:$D$1451,MATCH(Suiza_DE_CN_ID!D116,Gamma_Catalogo!$A$3:$A$1451,0)),"Revisar Ip Code"))</f>
        <v/>
      </c>
      <c r="M766" s="1" t="str">
        <f aca="false">IF(Suiza_DE_CN_ID!A116="","",IFERROR(INDEX(Gamma_Catalogo!$C$3:$C$1451,MATCH(Suiza_DE_CN_ID!D116,Gamma_Catalogo!$A$3:$A$1451,0)),"Revisar Ip Code"))</f>
        <v/>
      </c>
      <c r="N766" s="1" t="str">
        <f aca="false">IF(Suiza_DE_CN_ID!A116="","",IFERROR(INDEX(Gamma_Catalogo!$E$3:$E$1451,MATCH(Suiza_DE_CN_ID!D116,Gamma_Catalogo!$A$3:$A$1451,0)),"Revisar Ip Code"))</f>
        <v/>
      </c>
      <c r="O766" s="1" t="str">
        <f aca="false">IF(Suiza_DE_CN_ID!A116="","","Suiza")</f>
        <v/>
      </c>
    </row>
    <row r="767" customFormat="false" ht="15" hidden="false" customHeight="true" outlineLevel="0" collapsed="false">
      <c r="A767" s="1" t="str">
        <f aca="false">IF(Suiza_DE_CN_ID!A117="","",IFERROR(INDEX(Mercados!$C$2:$C$32,MATCH(Suiza_DE_CN_ID!B117,Mercados!$A$2:$A$32,0)),"Revisar Tscode"))</f>
        <v/>
      </c>
      <c r="B767" s="1" t="str">
        <f aca="false">IF(Suiza_DE_CN_ID!A117="","",Suiza_DE_CN_ID!A117)</f>
        <v/>
      </c>
      <c r="C767" s="1" t="str">
        <f aca="false">IF(Suiza_DE_CN_ID!A117="","",Suiza_DE_CN_ID!C117)</f>
        <v/>
      </c>
      <c r="D767" s="1" t="str">
        <f aca="false">IF(Suiza_DE_CN_ID!A117="","",Suiza_DE_CN_ID!D117)</f>
        <v/>
      </c>
      <c r="E767" s="1" t="str">
        <f aca="false">IF(Suiza_DE_CN_ID!A117="","",Suiza_DE_CN_ID!E117)</f>
        <v/>
      </c>
      <c r="F767" s="1" t="str">
        <f aca="false">IF(Suiza_DE_CN_ID!A117="","",Suiza_DE_CN_ID!G117)</f>
        <v/>
      </c>
      <c r="I767" s="1" t="str">
        <f aca="false">IF(Suiza_DE_CN_ID!A117="","",Suiza_DE_CN_ID!H117)</f>
        <v/>
      </c>
      <c r="J767" s="1" t="str">
        <f aca="false">IF(Suiza_DE_CN_ID!A117="","",Suiza_DE_CN_ID!I117)</f>
        <v/>
      </c>
      <c r="K767" s="1" t="str">
        <f aca="false">IF(Suiza_DE_CN_ID!A117="","",UPPER(Suiza_DE_CN_ID!J117))</f>
        <v/>
      </c>
      <c r="L767" s="1" t="str">
        <f aca="false">IF(Suiza_DE_CN_ID!A117="","",IFERROR(INDEX(Gamma_Catalogo!$D$3:$D$1451,MATCH(Suiza_DE_CN_ID!D117,Gamma_Catalogo!$A$3:$A$1451,0)),"Revisar Ip Code"))</f>
        <v/>
      </c>
      <c r="M767" s="1" t="str">
        <f aca="false">IF(Suiza_DE_CN_ID!A117="","",IFERROR(INDEX(Gamma_Catalogo!$C$3:$C$1451,MATCH(Suiza_DE_CN_ID!D117,Gamma_Catalogo!$A$3:$A$1451,0)),"Revisar Ip Code"))</f>
        <v/>
      </c>
      <c r="N767" s="1" t="str">
        <f aca="false">IF(Suiza_DE_CN_ID!A117="","",IFERROR(INDEX(Gamma_Catalogo!$E$3:$E$1451,MATCH(Suiza_DE_CN_ID!D117,Gamma_Catalogo!$A$3:$A$1451,0)),"Revisar Ip Code"))</f>
        <v/>
      </c>
      <c r="O767" s="1" t="str">
        <f aca="false">IF(Suiza_DE_CN_ID!A117="","","Suiza")</f>
        <v/>
      </c>
    </row>
    <row r="768" customFormat="false" ht="15" hidden="false" customHeight="true" outlineLevel="0" collapsed="false">
      <c r="A768" s="1" t="str">
        <f aca="false">IF(Suiza_DE_CN_ID!A118="","",IFERROR(INDEX(Mercados!$C$2:$C$32,MATCH(Suiza_DE_CN_ID!B118,Mercados!$A$2:$A$32,0)),"Revisar Tscode"))</f>
        <v/>
      </c>
      <c r="B768" s="1" t="str">
        <f aca="false">IF(Suiza_DE_CN_ID!A118="","",Suiza_DE_CN_ID!A118)</f>
        <v/>
      </c>
      <c r="C768" s="1" t="str">
        <f aca="false">IF(Suiza_DE_CN_ID!A118="","",Suiza_DE_CN_ID!C118)</f>
        <v/>
      </c>
      <c r="D768" s="1" t="str">
        <f aca="false">IF(Suiza_DE_CN_ID!A118="","",Suiza_DE_CN_ID!D118)</f>
        <v/>
      </c>
      <c r="E768" s="1" t="str">
        <f aca="false">IF(Suiza_DE_CN_ID!A118="","",Suiza_DE_CN_ID!E118)</f>
        <v/>
      </c>
      <c r="F768" s="1" t="str">
        <f aca="false">IF(Suiza_DE_CN_ID!A118="","",Suiza_DE_CN_ID!G118)</f>
        <v/>
      </c>
      <c r="I768" s="1" t="str">
        <f aca="false">IF(Suiza_DE_CN_ID!A118="","",Suiza_DE_CN_ID!H118)</f>
        <v/>
      </c>
      <c r="J768" s="1" t="str">
        <f aca="false">IF(Suiza_DE_CN_ID!A118="","",Suiza_DE_CN_ID!I118)</f>
        <v/>
      </c>
      <c r="K768" s="1" t="str">
        <f aca="false">IF(Suiza_DE_CN_ID!A118="","",UPPER(Suiza_DE_CN_ID!J118))</f>
        <v/>
      </c>
      <c r="L768" s="1" t="str">
        <f aca="false">IF(Suiza_DE_CN_ID!A118="","",IFERROR(INDEX(Gamma_Catalogo!$D$3:$D$1451,MATCH(Suiza_DE_CN_ID!D118,Gamma_Catalogo!$A$3:$A$1451,0)),"Revisar Ip Code"))</f>
        <v/>
      </c>
      <c r="M768" s="1" t="str">
        <f aca="false">IF(Suiza_DE_CN_ID!A118="","",IFERROR(INDEX(Gamma_Catalogo!$C$3:$C$1451,MATCH(Suiza_DE_CN_ID!D118,Gamma_Catalogo!$A$3:$A$1451,0)),"Revisar Ip Code"))</f>
        <v/>
      </c>
      <c r="N768" s="1" t="str">
        <f aca="false">IF(Suiza_DE_CN_ID!A118="","",IFERROR(INDEX(Gamma_Catalogo!$E$3:$E$1451,MATCH(Suiza_DE_CN_ID!D118,Gamma_Catalogo!$A$3:$A$1451,0)),"Revisar Ip Code"))</f>
        <v/>
      </c>
      <c r="O768" s="1" t="str">
        <f aca="false">IF(Suiza_DE_CN_ID!A118="","","Suiza")</f>
        <v/>
      </c>
    </row>
    <row r="769" customFormat="false" ht="15" hidden="false" customHeight="true" outlineLevel="0" collapsed="false">
      <c r="A769" s="1" t="str">
        <f aca="false">IF(Suiza_DE_CN_ID!A119="","",IFERROR(INDEX(Mercados!$C$2:$C$32,MATCH(Suiza_DE_CN_ID!B119,Mercados!$A$2:$A$32,0)),"Revisar Tscode"))</f>
        <v/>
      </c>
      <c r="B769" s="1" t="str">
        <f aca="false">IF(Suiza_DE_CN_ID!A119="","",Suiza_DE_CN_ID!A119)</f>
        <v/>
      </c>
      <c r="C769" s="1" t="str">
        <f aca="false">IF(Suiza_DE_CN_ID!A119="","",Suiza_DE_CN_ID!C119)</f>
        <v/>
      </c>
      <c r="D769" s="1" t="str">
        <f aca="false">IF(Suiza_DE_CN_ID!A119="","",Suiza_DE_CN_ID!D119)</f>
        <v/>
      </c>
      <c r="E769" s="1" t="str">
        <f aca="false">IF(Suiza_DE_CN_ID!A119="","",Suiza_DE_CN_ID!E119)</f>
        <v/>
      </c>
      <c r="F769" s="1" t="str">
        <f aca="false">IF(Suiza_DE_CN_ID!A119="","",Suiza_DE_CN_ID!G119)</f>
        <v/>
      </c>
      <c r="I769" s="1" t="str">
        <f aca="false">IF(Suiza_DE_CN_ID!A119="","",Suiza_DE_CN_ID!H119)</f>
        <v/>
      </c>
      <c r="J769" s="1" t="str">
        <f aca="false">IF(Suiza_DE_CN_ID!A119="","",Suiza_DE_CN_ID!I119)</f>
        <v/>
      </c>
      <c r="K769" s="1" t="str">
        <f aca="false">IF(Suiza_DE_CN_ID!A119="","",UPPER(Suiza_DE_CN_ID!J119))</f>
        <v/>
      </c>
      <c r="L769" s="1" t="str">
        <f aca="false">IF(Suiza_DE_CN_ID!A119="","",IFERROR(INDEX(Gamma_Catalogo!$D$3:$D$1451,MATCH(Suiza_DE_CN_ID!D119,Gamma_Catalogo!$A$3:$A$1451,0)),"Revisar Ip Code"))</f>
        <v/>
      </c>
      <c r="M769" s="1" t="str">
        <f aca="false">IF(Suiza_DE_CN_ID!A119="","",IFERROR(INDEX(Gamma_Catalogo!$C$3:$C$1451,MATCH(Suiza_DE_CN_ID!D119,Gamma_Catalogo!$A$3:$A$1451,0)),"Revisar Ip Code"))</f>
        <v/>
      </c>
      <c r="N769" s="1" t="str">
        <f aca="false">IF(Suiza_DE_CN_ID!A119="","",IFERROR(INDEX(Gamma_Catalogo!$E$3:$E$1451,MATCH(Suiza_DE_CN_ID!D119,Gamma_Catalogo!$A$3:$A$1451,0)),"Revisar Ip Code"))</f>
        <v/>
      </c>
      <c r="O769" s="1" t="str">
        <f aca="false">IF(Suiza_DE_CN_ID!A119="","","Suiza")</f>
        <v/>
      </c>
    </row>
    <row r="770" customFormat="false" ht="15" hidden="false" customHeight="true" outlineLevel="0" collapsed="false">
      <c r="A770" s="1" t="str">
        <f aca="false">IF(Suiza_DE_CN_ID!A120="","",IFERROR(INDEX(Mercados!$C$2:$C$32,MATCH(Suiza_DE_CN_ID!B120,Mercados!$A$2:$A$32,0)),"Revisar Tscode"))</f>
        <v/>
      </c>
      <c r="B770" s="1" t="str">
        <f aca="false">IF(Suiza_DE_CN_ID!A120="","",Suiza_DE_CN_ID!A120)</f>
        <v/>
      </c>
      <c r="C770" s="1" t="str">
        <f aca="false">IF(Suiza_DE_CN_ID!A120="","",Suiza_DE_CN_ID!C120)</f>
        <v/>
      </c>
      <c r="D770" s="1" t="str">
        <f aca="false">IF(Suiza_DE_CN_ID!A120="","",Suiza_DE_CN_ID!D120)</f>
        <v/>
      </c>
      <c r="E770" s="1" t="str">
        <f aca="false">IF(Suiza_DE_CN_ID!A120="","",Suiza_DE_CN_ID!E120)</f>
        <v/>
      </c>
      <c r="F770" s="1" t="str">
        <f aca="false">IF(Suiza_DE_CN_ID!A120="","",Suiza_DE_CN_ID!G120)</f>
        <v/>
      </c>
      <c r="I770" s="1" t="str">
        <f aca="false">IF(Suiza_DE_CN_ID!A120="","",Suiza_DE_CN_ID!H120)</f>
        <v/>
      </c>
      <c r="J770" s="1" t="str">
        <f aca="false">IF(Suiza_DE_CN_ID!A120="","",Suiza_DE_CN_ID!I120)</f>
        <v/>
      </c>
      <c r="K770" s="1" t="str">
        <f aca="false">IF(Suiza_DE_CN_ID!A120="","",UPPER(Suiza_DE_CN_ID!J120))</f>
        <v/>
      </c>
      <c r="L770" s="1" t="str">
        <f aca="false">IF(Suiza_DE_CN_ID!A120="","",IFERROR(INDEX(Gamma_Catalogo!$D$3:$D$1451,MATCH(Suiza_DE_CN_ID!D120,Gamma_Catalogo!$A$3:$A$1451,0)),"Revisar Ip Code"))</f>
        <v/>
      </c>
      <c r="M770" s="1" t="str">
        <f aca="false">IF(Suiza_DE_CN_ID!A120="","",IFERROR(INDEX(Gamma_Catalogo!$C$3:$C$1451,MATCH(Suiza_DE_CN_ID!D120,Gamma_Catalogo!$A$3:$A$1451,0)),"Revisar Ip Code"))</f>
        <v/>
      </c>
      <c r="N770" s="1" t="str">
        <f aca="false">IF(Suiza_DE_CN_ID!A120="","",IFERROR(INDEX(Gamma_Catalogo!$E$3:$E$1451,MATCH(Suiza_DE_CN_ID!D120,Gamma_Catalogo!$A$3:$A$1451,0)),"Revisar Ip Code"))</f>
        <v/>
      </c>
      <c r="O770" s="1" t="str">
        <f aca="false">IF(Suiza_DE_CN_ID!A120="","","Suiza")</f>
        <v/>
      </c>
    </row>
    <row r="771" customFormat="false" ht="15" hidden="false" customHeight="true" outlineLevel="0" collapsed="false">
      <c r="A771" s="1" t="str">
        <f aca="false">IF(Suiza_DE_CN_ID!A121="","",IFERROR(INDEX(Mercados!$C$2:$C$32,MATCH(Suiza_DE_CN_ID!B121,Mercados!$A$2:$A$32,0)),"Revisar Tscode"))</f>
        <v/>
      </c>
      <c r="B771" s="1" t="str">
        <f aca="false">IF(Suiza_DE_CN_ID!A121="","",Suiza_DE_CN_ID!A121)</f>
        <v/>
      </c>
      <c r="C771" s="1" t="str">
        <f aca="false">IF(Suiza_DE_CN_ID!A121="","",Suiza_DE_CN_ID!C121)</f>
        <v/>
      </c>
      <c r="D771" s="1" t="str">
        <f aca="false">IF(Suiza_DE_CN_ID!A121="","",Suiza_DE_CN_ID!D121)</f>
        <v/>
      </c>
      <c r="E771" s="1" t="str">
        <f aca="false">IF(Suiza_DE_CN_ID!A121="","",Suiza_DE_CN_ID!E121)</f>
        <v/>
      </c>
      <c r="F771" s="1" t="str">
        <f aca="false">IF(Suiza_DE_CN_ID!A121="","",Suiza_DE_CN_ID!G121)</f>
        <v/>
      </c>
      <c r="I771" s="1" t="str">
        <f aca="false">IF(Suiza_DE_CN_ID!A121="","",Suiza_DE_CN_ID!H121)</f>
        <v/>
      </c>
      <c r="J771" s="1" t="str">
        <f aca="false">IF(Suiza_DE_CN_ID!A121="","",Suiza_DE_CN_ID!I121)</f>
        <v/>
      </c>
      <c r="K771" s="1" t="str">
        <f aca="false">IF(Suiza_DE_CN_ID!A121="","",UPPER(Suiza_DE_CN_ID!J121))</f>
        <v/>
      </c>
      <c r="L771" s="1" t="str">
        <f aca="false">IF(Suiza_DE_CN_ID!A121="","",IFERROR(INDEX(Gamma_Catalogo!$D$3:$D$1451,MATCH(Suiza_DE_CN_ID!D121,Gamma_Catalogo!$A$3:$A$1451,0)),"Revisar Ip Code"))</f>
        <v/>
      </c>
      <c r="M771" s="1" t="str">
        <f aca="false">IF(Suiza_DE_CN_ID!A121="","",IFERROR(INDEX(Gamma_Catalogo!$C$3:$C$1451,MATCH(Suiza_DE_CN_ID!D121,Gamma_Catalogo!$A$3:$A$1451,0)),"Revisar Ip Code"))</f>
        <v/>
      </c>
      <c r="N771" s="1" t="str">
        <f aca="false">IF(Suiza_DE_CN_ID!A121="","",IFERROR(INDEX(Gamma_Catalogo!$E$3:$E$1451,MATCH(Suiza_DE_CN_ID!D121,Gamma_Catalogo!$A$3:$A$1451,0)),"Revisar Ip Code"))</f>
        <v/>
      </c>
      <c r="O771" s="1" t="str">
        <f aca="false">IF(Suiza_DE_CN_ID!A121="","","Suiza")</f>
        <v/>
      </c>
    </row>
    <row r="772" customFormat="false" ht="15" hidden="false" customHeight="true" outlineLevel="0" collapsed="false">
      <c r="A772" s="1" t="str">
        <f aca="false">IF(Suiza_DE_CN_ID!A122="","",IFERROR(INDEX(Mercados!$C$2:$C$32,MATCH(Suiza_DE_CN_ID!B122,Mercados!$A$2:$A$32,0)),"Revisar Tscode"))</f>
        <v/>
      </c>
      <c r="B772" s="1" t="str">
        <f aca="false">IF(Suiza_DE_CN_ID!A122="","",Suiza_DE_CN_ID!A122)</f>
        <v/>
      </c>
      <c r="C772" s="1" t="str">
        <f aca="false">IF(Suiza_DE_CN_ID!A122="","",Suiza_DE_CN_ID!C122)</f>
        <v/>
      </c>
      <c r="D772" s="1" t="str">
        <f aca="false">IF(Suiza_DE_CN_ID!A122="","",Suiza_DE_CN_ID!D122)</f>
        <v/>
      </c>
      <c r="E772" s="1" t="str">
        <f aca="false">IF(Suiza_DE_CN_ID!A122="","",Suiza_DE_CN_ID!E122)</f>
        <v/>
      </c>
      <c r="F772" s="1" t="str">
        <f aca="false">IF(Suiza_DE_CN_ID!A122="","",Suiza_DE_CN_ID!G122)</f>
        <v/>
      </c>
      <c r="I772" s="1" t="str">
        <f aca="false">IF(Suiza_DE_CN_ID!A122="","",Suiza_DE_CN_ID!H122)</f>
        <v/>
      </c>
      <c r="J772" s="1" t="str">
        <f aca="false">IF(Suiza_DE_CN_ID!A122="","",Suiza_DE_CN_ID!I122)</f>
        <v/>
      </c>
      <c r="K772" s="1" t="str">
        <f aca="false">IF(Suiza_DE_CN_ID!A122="","",UPPER(Suiza_DE_CN_ID!J122))</f>
        <v/>
      </c>
      <c r="L772" s="1" t="str">
        <f aca="false">IF(Suiza_DE_CN_ID!A122="","",IFERROR(INDEX(Gamma_Catalogo!$D$3:$D$1451,MATCH(Suiza_DE_CN_ID!D122,Gamma_Catalogo!$A$3:$A$1451,0)),"Revisar Ip Code"))</f>
        <v/>
      </c>
      <c r="M772" s="1" t="str">
        <f aca="false">IF(Suiza_DE_CN_ID!A122="","",IFERROR(INDEX(Gamma_Catalogo!$C$3:$C$1451,MATCH(Suiza_DE_CN_ID!D122,Gamma_Catalogo!$A$3:$A$1451,0)),"Revisar Ip Code"))</f>
        <v/>
      </c>
      <c r="N772" s="1" t="str">
        <f aca="false">IF(Suiza_DE_CN_ID!A122="","",IFERROR(INDEX(Gamma_Catalogo!$E$3:$E$1451,MATCH(Suiza_DE_CN_ID!D122,Gamma_Catalogo!$A$3:$A$1451,0)),"Revisar Ip Code"))</f>
        <v/>
      </c>
      <c r="O772" s="1" t="str">
        <f aca="false">IF(Suiza_DE_CN_ID!A122="","","Suiza")</f>
        <v/>
      </c>
    </row>
    <row r="773" customFormat="false" ht="15" hidden="false" customHeight="true" outlineLevel="0" collapsed="false">
      <c r="A773" s="1" t="str">
        <f aca="false">IF(Suiza_DE_CN_ID!A123="","",IFERROR(INDEX(Mercados!$C$2:$C$32,MATCH(Suiza_DE_CN_ID!B123,Mercados!$A$2:$A$32,0)),"Revisar Tscode"))</f>
        <v/>
      </c>
      <c r="B773" s="1" t="str">
        <f aca="false">IF(Suiza_DE_CN_ID!A123="","",Suiza_DE_CN_ID!A123)</f>
        <v/>
      </c>
      <c r="C773" s="1" t="str">
        <f aca="false">IF(Suiza_DE_CN_ID!A123="","",Suiza_DE_CN_ID!C123)</f>
        <v/>
      </c>
      <c r="D773" s="1" t="str">
        <f aca="false">IF(Suiza_DE_CN_ID!A123="","",Suiza_DE_CN_ID!D123)</f>
        <v/>
      </c>
      <c r="E773" s="1" t="str">
        <f aca="false">IF(Suiza_DE_CN_ID!A123="","",Suiza_DE_CN_ID!E123)</f>
        <v/>
      </c>
      <c r="F773" s="1" t="str">
        <f aca="false">IF(Suiza_DE_CN_ID!A123="","",Suiza_DE_CN_ID!G123)</f>
        <v/>
      </c>
      <c r="I773" s="1" t="str">
        <f aca="false">IF(Suiza_DE_CN_ID!A123="","",Suiza_DE_CN_ID!H123)</f>
        <v/>
      </c>
      <c r="J773" s="1" t="str">
        <f aca="false">IF(Suiza_DE_CN_ID!A123="","",Suiza_DE_CN_ID!I123)</f>
        <v/>
      </c>
      <c r="K773" s="1" t="str">
        <f aca="false">IF(Suiza_DE_CN_ID!A123="","",UPPER(Suiza_DE_CN_ID!J123))</f>
        <v/>
      </c>
      <c r="L773" s="1" t="str">
        <f aca="false">IF(Suiza_DE_CN_ID!A123="","",IFERROR(INDEX(Gamma_Catalogo!$D$3:$D$1451,MATCH(Suiza_DE_CN_ID!D123,Gamma_Catalogo!$A$3:$A$1451,0)),"Revisar Ip Code"))</f>
        <v/>
      </c>
      <c r="M773" s="1" t="str">
        <f aca="false">IF(Suiza_DE_CN_ID!A123="","",IFERROR(INDEX(Gamma_Catalogo!$C$3:$C$1451,MATCH(Suiza_DE_CN_ID!D123,Gamma_Catalogo!$A$3:$A$1451,0)),"Revisar Ip Code"))</f>
        <v/>
      </c>
      <c r="N773" s="1" t="str">
        <f aca="false">IF(Suiza_DE_CN_ID!A123="","",IFERROR(INDEX(Gamma_Catalogo!$E$3:$E$1451,MATCH(Suiza_DE_CN_ID!D123,Gamma_Catalogo!$A$3:$A$1451,0)),"Revisar Ip Code"))</f>
        <v/>
      </c>
      <c r="O773" s="1" t="str">
        <f aca="false">IF(Suiza_DE_CN_ID!A123="","","Suiza")</f>
        <v/>
      </c>
    </row>
    <row r="774" customFormat="false" ht="15" hidden="false" customHeight="true" outlineLevel="0" collapsed="false">
      <c r="A774" s="1" t="str">
        <f aca="false">IF(Suiza_DE_CN_ID!A124="","",IFERROR(INDEX(Mercados!$C$2:$C$32,MATCH(Suiza_DE_CN_ID!B124,Mercados!$A$2:$A$32,0)),"Revisar Tscode"))</f>
        <v/>
      </c>
      <c r="B774" s="1" t="str">
        <f aca="false">IF(Suiza_DE_CN_ID!A124="","",Suiza_DE_CN_ID!A124)</f>
        <v/>
      </c>
      <c r="C774" s="1" t="str">
        <f aca="false">IF(Suiza_DE_CN_ID!A124="","",Suiza_DE_CN_ID!C124)</f>
        <v/>
      </c>
      <c r="D774" s="1" t="str">
        <f aca="false">IF(Suiza_DE_CN_ID!A124="","",Suiza_DE_CN_ID!D124)</f>
        <v/>
      </c>
      <c r="E774" s="1" t="str">
        <f aca="false">IF(Suiza_DE_CN_ID!A124="","",Suiza_DE_CN_ID!E124)</f>
        <v/>
      </c>
      <c r="F774" s="1" t="str">
        <f aca="false">IF(Suiza_DE_CN_ID!A124="","",Suiza_DE_CN_ID!G124)</f>
        <v/>
      </c>
      <c r="I774" s="1" t="str">
        <f aca="false">IF(Suiza_DE_CN_ID!A124="","",Suiza_DE_CN_ID!H124)</f>
        <v/>
      </c>
      <c r="J774" s="1" t="str">
        <f aca="false">IF(Suiza_DE_CN_ID!A124="","",Suiza_DE_CN_ID!I124)</f>
        <v/>
      </c>
      <c r="K774" s="1" t="str">
        <f aca="false">IF(Suiza_DE_CN_ID!A124="","",UPPER(Suiza_DE_CN_ID!J124))</f>
        <v/>
      </c>
      <c r="L774" s="1" t="str">
        <f aca="false">IF(Suiza_DE_CN_ID!A124="","",IFERROR(INDEX(Gamma_Catalogo!$D$3:$D$1451,MATCH(Suiza_DE_CN_ID!D124,Gamma_Catalogo!$A$3:$A$1451,0)),"Revisar Ip Code"))</f>
        <v/>
      </c>
      <c r="M774" s="1" t="str">
        <f aca="false">IF(Suiza_DE_CN_ID!A124="","",IFERROR(INDEX(Gamma_Catalogo!$C$3:$C$1451,MATCH(Suiza_DE_CN_ID!D124,Gamma_Catalogo!$A$3:$A$1451,0)),"Revisar Ip Code"))</f>
        <v/>
      </c>
      <c r="N774" s="1" t="str">
        <f aca="false">IF(Suiza_DE_CN_ID!A124="","",IFERROR(INDEX(Gamma_Catalogo!$E$3:$E$1451,MATCH(Suiza_DE_CN_ID!D124,Gamma_Catalogo!$A$3:$A$1451,0)),"Revisar Ip Code"))</f>
        <v/>
      </c>
      <c r="O774" s="1" t="str">
        <f aca="false">IF(Suiza_DE_CN_ID!A124="","","Suiza")</f>
        <v/>
      </c>
    </row>
    <row r="775" customFormat="false" ht="15" hidden="false" customHeight="true" outlineLevel="0" collapsed="false">
      <c r="A775" s="1" t="str">
        <f aca="false">IF(Suiza_DE_CN_ID!A125="","",IFERROR(INDEX(Mercados!$C$2:$C$32,MATCH(Suiza_DE_CN_ID!B125,Mercados!$A$2:$A$32,0)),"Revisar Tscode"))</f>
        <v/>
      </c>
      <c r="B775" s="1" t="str">
        <f aca="false">IF(Suiza_DE_CN_ID!A125="","",Suiza_DE_CN_ID!A125)</f>
        <v/>
      </c>
      <c r="C775" s="1" t="str">
        <f aca="false">IF(Suiza_DE_CN_ID!A125="","",Suiza_DE_CN_ID!C125)</f>
        <v/>
      </c>
      <c r="D775" s="1" t="str">
        <f aca="false">IF(Suiza_DE_CN_ID!A125="","",Suiza_DE_CN_ID!D125)</f>
        <v/>
      </c>
      <c r="E775" s="1" t="str">
        <f aca="false">IF(Suiza_DE_CN_ID!A125="","",Suiza_DE_CN_ID!E125)</f>
        <v/>
      </c>
      <c r="F775" s="1" t="str">
        <f aca="false">IF(Suiza_DE_CN_ID!A125="","",Suiza_DE_CN_ID!G125)</f>
        <v/>
      </c>
      <c r="I775" s="1" t="str">
        <f aca="false">IF(Suiza_DE_CN_ID!A125="","",Suiza_DE_CN_ID!H125)</f>
        <v/>
      </c>
      <c r="J775" s="1" t="str">
        <f aca="false">IF(Suiza_DE_CN_ID!A125="","",Suiza_DE_CN_ID!I125)</f>
        <v/>
      </c>
      <c r="K775" s="1" t="str">
        <f aca="false">IF(Suiza_DE_CN_ID!A125="","",UPPER(Suiza_DE_CN_ID!J125))</f>
        <v/>
      </c>
      <c r="L775" s="1" t="str">
        <f aca="false">IF(Suiza_DE_CN_ID!A125="","",IFERROR(INDEX(Gamma_Catalogo!$D$3:$D$1451,MATCH(Suiza_DE_CN_ID!D125,Gamma_Catalogo!$A$3:$A$1451,0)),"Revisar Ip Code"))</f>
        <v/>
      </c>
      <c r="M775" s="1" t="str">
        <f aca="false">IF(Suiza_DE_CN_ID!A125="","",IFERROR(INDEX(Gamma_Catalogo!$C$3:$C$1451,MATCH(Suiza_DE_CN_ID!D125,Gamma_Catalogo!$A$3:$A$1451,0)),"Revisar Ip Code"))</f>
        <v/>
      </c>
      <c r="N775" s="1" t="str">
        <f aca="false">IF(Suiza_DE_CN_ID!A125="","",IFERROR(INDEX(Gamma_Catalogo!$E$3:$E$1451,MATCH(Suiza_DE_CN_ID!D125,Gamma_Catalogo!$A$3:$A$1451,0)),"Revisar Ip Code"))</f>
        <v/>
      </c>
      <c r="O775" s="1" t="str">
        <f aca="false">IF(Suiza_DE_CN_ID!A125="","","Suiza")</f>
        <v/>
      </c>
    </row>
    <row r="776" customFormat="false" ht="15" hidden="false" customHeight="true" outlineLevel="0" collapsed="false">
      <c r="A776" s="1" t="str">
        <f aca="false">IF(Suiza_DE_CN_ID!A126="","",IFERROR(INDEX(Mercados!$C$2:$C$32,MATCH(Suiza_DE_CN_ID!B126,Mercados!$A$2:$A$32,0)),"Revisar Tscode"))</f>
        <v/>
      </c>
      <c r="B776" s="1" t="str">
        <f aca="false">IF(Suiza_DE_CN_ID!A126="","",Suiza_DE_CN_ID!A126)</f>
        <v/>
      </c>
      <c r="C776" s="1" t="str">
        <f aca="false">IF(Suiza_DE_CN_ID!A126="","",Suiza_DE_CN_ID!C126)</f>
        <v/>
      </c>
      <c r="D776" s="1" t="str">
        <f aca="false">IF(Suiza_DE_CN_ID!A126="","",Suiza_DE_CN_ID!D126)</f>
        <v/>
      </c>
      <c r="E776" s="1" t="str">
        <f aca="false">IF(Suiza_DE_CN_ID!A126="","",Suiza_DE_CN_ID!E126)</f>
        <v/>
      </c>
      <c r="F776" s="1" t="str">
        <f aca="false">IF(Suiza_DE_CN_ID!A126="","",Suiza_DE_CN_ID!G126)</f>
        <v/>
      </c>
      <c r="I776" s="1" t="str">
        <f aca="false">IF(Suiza_DE_CN_ID!A126="","",Suiza_DE_CN_ID!H126)</f>
        <v/>
      </c>
      <c r="J776" s="1" t="str">
        <f aca="false">IF(Suiza_DE_CN_ID!A126="","",Suiza_DE_CN_ID!I126)</f>
        <v/>
      </c>
      <c r="K776" s="1" t="str">
        <f aca="false">IF(Suiza_DE_CN_ID!A126="","",UPPER(Suiza_DE_CN_ID!J126))</f>
        <v/>
      </c>
      <c r="L776" s="1" t="str">
        <f aca="false">IF(Suiza_DE_CN_ID!A126="","",IFERROR(INDEX(Gamma_Catalogo!$D$3:$D$1451,MATCH(Suiza_DE_CN_ID!D126,Gamma_Catalogo!$A$3:$A$1451,0)),"Revisar Ip Code"))</f>
        <v/>
      </c>
      <c r="M776" s="1" t="str">
        <f aca="false">IF(Suiza_DE_CN_ID!A126="","",IFERROR(INDEX(Gamma_Catalogo!$C$3:$C$1451,MATCH(Suiza_DE_CN_ID!D126,Gamma_Catalogo!$A$3:$A$1451,0)),"Revisar Ip Code"))</f>
        <v/>
      </c>
      <c r="N776" s="1" t="str">
        <f aca="false">IF(Suiza_DE_CN_ID!A126="","",IFERROR(INDEX(Gamma_Catalogo!$E$3:$E$1451,MATCH(Suiza_DE_CN_ID!D126,Gamma_Catalogo!$A$3:$A$1451,0)),"Revisar Ip Code"))</f>
        <v/>
      </c>
      <c r="O776" s="1" t="str">
        <f aca="false">IF(Suiza_DE_CN_ID!A126="","","Suiza")</f>
        <v/>
      </c>
    </row>
    <row r="777" customFormat="false" ht="15" hidden="false" customHeight="true" outlineLevel="0" collapsed="false">
      <c r="A777" s="1" t="str">
        <f aca="false">IF(Suiza_DE_CN_ID!A127="","",IFERROR(INDEX(Mercados!$C$2:$C$32,MATCH(Suiza_DE_CN_ID!B127,Mercados!$A$2:$A$32,0)),"Revisar Tscode"))</f>
        <v/>
      </c>
      <c r="B777" s="1" t="str">
        <f aca="false">IF(Suiza_DE_CN_ID!A127="","",Suiza_DE_CN_ID!A127)</f>
        <v/>
      </c>
      <c r="C777" s="1" t="str">
        <f aca="false">IF(Suiza_DE_CN_ID!A127="","",Suiza_DE_CN_ID!C127)</f>
        <v/>
      </c>
      <c r="D777" s="1" t="str">
        <f aca="false">IF(Suiza_DE_CN_ID!A127="","",Suiza_DE_CN_ID!D127)</f>
        <v/>
      </c>
      <c r="E777" s="1" t="str">
        <f aca="false">IF(Suiza_DE_CN_ID!A127="","",Suiza_DE_CN_ID!E127)</f>
        <v/>
      </c>
      <c r="F777" s="1" t="str">
        <f aca="false">IF(Suiza_DE_CN_ID!A127="","",Suiza_DE_CN_ID!G127)</f>
        <v/>
      </c>
      <c r="I777" s="1" t="str">
        <f aca="false">IF(Suiza_DE_CN_ID!A127="","",Suiza_DE_CN_ID!H127)</f>
        <v/>
      </c>
      <c r="J777" s="1" t="str">
        <f aca="false">IF(Suiza_DE_CN_ID!A127="","",Suiza_DE_CN_ID!I127)</f>
        <v/>
      </c>
      <c r="K777" s="1" t="str">
        <f aca="false">IF(Suiza_DE_CN_ID!A127="","",UPPER(Suiza_DE_CN_ID!J127))</f>
        <v/>
      </c>
      <c r="L777" s="1" t="str">
        <f aca="false">IF(Suiza_DE_CN_ID!A127="","",IFERROR(INDEX(Gamma_Catalogo!$D$3:$D$1451,MATCH(Suiza_DE_CN_ID!D127,Gamma_Catalogo!$A$3:$A$1451,0)),"Revisar Ip Code"))</f>
        <v/>
      </c>
      <c r="M777" s="1" t="str">
        <f aca="false">IF(Suiza_DE_CN_ID!A127="","",IFERROR(INDEX(Gamma_Catalogo!$C$3:$C$1451,MATCH(Suiza_DE_CN_ID!D127,Gamma_Catalogo!$A$3:$A$1451,0)),"Revisar Ip Code"))</f>
        <v/>
      </c>
      <c r="N777" s="1" t="str">
        <f aca="false">IF(Suiza_DE_CN_ID!A127="","",IFERROR(INDEX(Gamma_Catalogo!$E$3:$E$1451,MATCH(Suiza_DE_CN_ID!D127,Gamma_Catalogo!$A$3:$A$1451,0)),"Revisar Ip Code"))</f>
        <v/>
      </c>
      <c r="O777" s="1" t="str">
        <f aca="false">IF(Suiza_DE_CN_ID!A127="","","Suiza")</f>
        <v/>
      </c>
    </row>
    <row r="778" customFormat="false" ht="15" hidden="false" customHeight="true" outlineLevel="0" collapsed="false">
      <c r="A778" s="1" t="str">
        <f aca="false">IF(Suiza_DE_CN_ID!A128="","",IFERROR(INDEX(Mercados!$C$2:$C$32,MATCH(Suiza_DE_CN_ID!B128,Mercados!$A$2:$A$32,0)),"Revisar Tscode"))</f>
        <v/>
      </c>
      <c r="B778" s="1" t="str">
        <f aca="false">IF(Suiza_DE_CN_ID!A128="","",Suiza_DE_CN_ID!A128)</f>
        <v/>
      </c>
      <c r="C778" s="1" t="str">
        <f aca="false">IF(Suiza_DE_CN_ID!A128="","",Suiza_DE_CN_ID!C128)</f>
        <v/>
      </c>
      <c r="D778" s="1" t="str">
        <f aca="false">IF(Suiza_DE_CN_ID!A128="","",Suiza_DE_CN_ID!D128)</f>
        <v/>
      </c>
      <c r="E778" s="1" t="str">
        <f aca="false">IF(Suiza_DE_CN_ID!A128="","",Suiza_DE_CN_ID!E128)</f>
        <v/>
      </c>
      <c r="F778" s="1" t="str">
        <f aca="false">IF(Suiza_DE_CN_ID!A128="","",Suiza_DE_CN_ID!G128)</f>
        <v/>
      </c>
      <c r="I778" s="1" t="str">
        <f aca="false">IF(Suiza_DE_CN_ID!A128="","",Suiza_DE_CN_ID!H128)</f>
        <v/>
      </c>
      <c r="J778" s="1" t="str">
        <f aca="false">IF(Suiza_DE_CN_ID!A128="","",Suiza_DE_CN_ID!I128)</f>
        <v/>
      </c>
      <c r="K778" s="1" t="str">
        <f aca="false">IF(Suiza_DE_CN_ID!A128="","",UPPER(Suiza_DE_CN_ID!J128))</f>
        <v/>
      </c>
      <c r="L778" s="1" t="str">
        <f aca="false">IF(Suiza_DE_CN_ID!A128="","",IFERROR(INDEX(Gamma_Catalogo!$D$3:$D$1451,MATCH(Suiza_DE_CN_ID!D128,Gamma_Catalogo!$A$3:$A$1451,0)),"Revisar Ip Code"))</f>
        <v/>
      </c>
      <c r="M778" s="1" t="str">
        <f aca="false">IF(Suiza_DE_CN_ID!A128="","",IFERROR(INDEX(Gamma_Catalogo!$C$3:$C$1451,MATCH(Suiza_DE_CN_ID!D128,Gamma_Catalogo!$A$3:$A$1451,0)),"Revisar Ip Code"))</f>
        <v/>
      </c>
      <c r="N778" s="1" t="str">
        <f aca="false">IF(Suiza_DE_CN_ID!A128="","",IFERROR(INDEX(Gamma_Catalogo!$E$3:$E$1451,MATCH(Suiza_DE_CN_ID!D128,Gamma_Catalogo!$A$3:$A$1451,0)),"Revisar Ip Code"))</f>
        <v/>
      </c>
      <c r="O778" s="1" t="str">
        <f aca="false">IF(Suiza_DE_CN_ID!A128="","","Suiza")</f>
        <v/>
      </c>
    </row>
    <row r="779" customFormat="false" ht="15" hidden="false" customHeight="true" outlineLevel="0" collapsed="false">
      <c r="A779" s="1" t="str">
        <f aca="false">IF(Suiza_DE_CN_ID!A129="","",IFERROR(INDEX(Mercados!$C$2:$C$32,MATCH(Suiza_DE_CN_ID!B129,Mercados!$A$2:$A$32,0)),"Revisar Tscode"))</f>
        <v/>
      </c>
      <c r="B779" s="1" t="str">
        <f aca="false">IF(Suiza_DE_CN_ID!A129="","",Suiza_DE_CN_ID!A129)</f>
        <v/>
      </c>
      <c r="C779" s="1" t="str">
        <f aca="false">IF(Suiza_DE_CN_ID!A129="","",Suiza_DE_CN_ID!C129)</f>
        <v/>
      </c>
      <c r="D779" s="1" t="str">
        <f aca="false">IF(Suiza_DE_CN_ID!A129="","",Suiza_DE_CN_ID!D129)</f>
        <v/>
      </c>
      <c r="E779" s="1" t="str">
        <f aca="false">IF(Suiza_DE_CN_ID!A129="","",Suiza_DE_CN_ID!E129)</f>
        <v/>
      </c>
      <c r="F779" s="1" t="str">
        <f aca="false">IF(Suiza_DE_CN_ID!A129="","",Suiza_DE_CN_ID!G129)</f>
        <v/>
      </c>
      <c r="I779" s="1" t="str">
        <f aca="false">IF(Suiza_DE_CN_ID!A129="","",Suiza_DE_CN_ID!H129)</f>
        <v/>
      </c>
      <c r="J779" s="1" t="str">
        <f aca="false">IF(Suiza_DE_CN_ID!A129="","",Suiza_DE_CN_ID!I129)</f>
        <v/>
      </c>
      <c r="K779" s="1" t="str">
        <f aca="false">IF(Suiza_DE_CN_ID!A129="","",UPPER(Suiza_DE_CN_ID!J129))</f>
        <v/>
      </c>
      <c r="L779" s="1" t="str">
        <f aca="false">IF(Suiza_DE_CN_ID!A129="","",IFERROR(INDEX(Gamma_Catalogo!$D$3:$D$1451,MATCH(Suiza_DE_CN_ID!D129,Gamma_Catalogo!$A$3:$A$1451,0)),"Revisar Ip Code"))</f>
        <v/>
      </c>
      <c r="M779" s="1" t="str">
        <f aca="false">IF(Suiza_DE_CN_ID!A129="","",IFERROR(INDEX(Gamma_Catalogo!$C$3:$C$1451,MATCH(Suiza_DE_CN_ID!D129,Gamma_Catalogo!$A$3:$A$1451,0)),"Revisar Ip Code"))</f>
        <v/>
      </c>
      <c r="N779" s="1" t="str">
        <f aca="false">IF(Suiza_DE_CN_ID!A129="","",IFERROR(INDEX(Gamma_Catalogo!$E$3:$E$1451,MATCH(Suiza_DE_CN_ID!D129,Gamma_Catalogo!$A$3:$A$1451,0)),"Revisar Ip Code"))</f>
        <v/>
      </c>
      <c r="O779" s="1" t="str">
        <f aca="false">IF(Suiza_DE_CN_ID!A129="","","Suiza")</f>
        <v/>
      </c>
    </row>
    <row r="780" customFormat="false" ht="15" hidden="false" customHeight="true" outlineLevel="0" collapsed="false">
      <c r="A780" s="1" t="str">
        <f aca="false">IF(Suiza_DE_CN_ID!A130="","",IFERROR(INDEX(Mercados!$C$2:$C$32,MATCH(Suiza_DE_CN_ID!B130,Mercados!$A$2:$A$32,0)),"Revisar Tscode"))</f>
        <v/>
      </c>
      <c r="B780" s="1" t="str">
        <f aca="false">IF(Suiza_DE_CN_ID!A130="","",Suiza_DE_CN_ID!A130)</f>
        <v/>
      </c>
      <c r="C780" s="1" t="str">
        <f aca="false">IF(Suiza_DE_CN_ID!A130="","",Suiza_DE_CN_ID!C130)</f>
        <v/>
      </c>
      <c r="D780" s="1" t="str">
        <f aca="false">IF(Suiza_DE_CN_ID!A130="","",Suiza_DE_CN_ID!D130)</f>
        <v/>
      </c>
      <c r="E780" s="1" t="str">
        <f aca="false">IF(Suiza_DE_CN_ID!A130="","",Suiza_DE_CN_ID!E130)</f>
        <v/>
      </c>
      <c r="F780" s="1" t="str">
        <f aca="false">IF(Suiza_DE_CN_ID!A130="","",Suiza_DE_CN_ID!G130)</f>
        <v/>
      </c>
      <c r="I780" s="1" t="str">
        <f aca="false">IF(Suiza_DE_CN_ID!A130="","",Suiza_DE_CN_ID!H130)</f>
        <v/>
      </c>
      <c r="J780" s="1" t="str">
        <f aca="false">IF(Suiza_DE_CN_ID!A130="","",Suiza_DE_CN_ID!I130)</f>
        <v/>
      </c>
      <c r="K780" s="1" t="str">
        <f aca="false">IF(Suiza_DE_CN_ID!A130="","",UPPER(Suiza_DE_CN_ID!J130))</f>
        <v/>
      </c>
      <c r="L780" s="1" t="str">
        <f aca="false">IF(Suiza_DE_CN_ID!A130="","",IFERROR(INDEX(Gamma_Catalogo!$D$3:$D$1451,MATCH(Suiza_DE_CN_ID!D130,Gamma_Catalogo!$A$3:$A$1451,0)),"Revisar Ip Code"))</f>
        <v/>
      </c>
      <c r="M780" s="1" t="str">
        <f aca="false">IF(Suiza_DE_CN_ID!A130="","",IFERROR(INDEX(Gamma_Catalogo!$C$3:$C$1451,MATCH(Suiza_DE_CN_ID!D130,Gamma_Catalogo!$A$3:$A$1451,0)),"Revisar Ip Code"))</f>
        <v/>
      </c>
      <c r="N780" s="1" t="str">
        <f aca="false">IF(Suiza_DE_CN_ID!A130="","",IFERROR(INDEX(Gamma_Catalogo!$E$3:$E$1451,MATCH(Suiza_DE_CN_ID!D130,Gamma_Catalogo!$A$3:$A$1451,0)),"Revisar Ip Code"))</f>
        <v/>
      </c>
      <c r="O780" s="1" t="str">
        <f aca="false">IF(Suiza_DE_CN_ID!A130="","","Suiza")</f>
        <v/>
      </c>
    </row>
    <row r="781" customFormat="false" ht="15" hidden="false" customHeight="true" outlineLevel="0" collapsed="false">
      <c r="A781" s="1" t="str">
        <f aca="false">IF(Suiza_DE_CN_ID!A131="","",IFERROR(INDEX(Mercados!$C$2:$C$32,MATCH(Suiza_DE_CN_ID!B131,Mercados!$A$2:$A$32,0)),"Revisar Tscode"))</f>
        <v/>
      </c>
      <c r="B781" s="1" t="str">
        <f aca="false">IF(Suiza_DE_CN_ID!A131="","",Suiza_DE_CN_ID!A131)</f>
        <v/>
      </c>
      <c r="C781" s="1" t="str">
        <f aca="false">IF(Suiza_DE_CN_ID!A131="","",Suiza_DE_CN_ID!C131)</f>
        <v/>
      </c>
      <c r="D781" s="1" t="str">
        <f aca="false">IF(Suiza_DE_CN_ID!A131="","",Suiza_DE_CN_ID!D131)</f>
        <v/>
      </c>
      <c r="E781" s="1" t="str">
        <f aca="false">IF(Suiza_DE_CN_ID!A131="","",Suiza_DE_CN_ID!E131)</f>
        <v/>
      </c>
      <c r="F781" s="1" t="str">
        <f aca="false">IF(Suiza_DE_CN_ID!A131="","",Suiza_DE_CN_ID!G131)</f>
        <v/>
      </c>
      <c r="I781" s="1" t="str">
        <f aca="false">IF(Suiza_DE_CN_ID!A131="","",Suiza_DE_CN_ID!H131)</f>
        <v/>
      </c>
      <c r="J781" s="1" t="str">
        <f aca="false">IF(Suiza_DE_CN_ID!A131="","",Suiza_DE_CN_ID!I131)</f>
        <v/>
      </c>
      <c r="K781" s="1" t="str">
        <f aca="false">IF(Suiza_DE_CN_ID!A131="","",UPPER(Suiza_DE_CN_ID!J131))</f>
        <v/>
      </c>
      <c r="L781" s="1" t="str">
        <f aca="false">IF(Suiza_DE_CN_ID!A131="","",IFERROR(INDEX(Gamma_Catalogo!$D$3:$D$1451,MATCH(Suiza_DE_CN_ID!D131,Gamma_Catalogo!$A$3:$A$1451,0)),"Revisar Ip Code"))</f>
        <v/>
      </c>
      <c r="M781" s="1" t="str">
        <f aca="false">IF(Suiza_DE_CN_ID!A131="","",IFERROR(INDEX(Gamma_Catalogo!$C$3:$C$1451,MATCH(Suiza_DE_CN_ID!D131,Gamma_Catalogo!$A$3:$A$1451,0)),"Revisar Ip Code"))</f>
        <v/>
      </c>
      <c r="N781" s="1" t="str">
        <f aca="false">IF(Suiza_DE_CN_ID!A131="","",IFERROR(INDEX(Gamma_Catalogo!$E$3:$E$1451,MATCH(Suiza_DE_CN_ID!D131,Gamma_Catalogo!$A$3:$A$1451,0)),"Revisar Ip Code"))</f>
        <v/>
      </c>
      <c r="O781" s="1" t="str">
        <f aca="false">IF(Suiza_DE_CN_ID!A131="","","Suiza")</f>
        <v/>
      </c>
    </row>
    <row r="782" customFormat="false" ht="15" hidden="false" customHeight="true" outlineLevel="0" collapsed="false">
      <c r="A782" s="1" t="str">
        <f aca="false">IF(Suiza_DE_CN_ID!A132="","",IFERROR(INDEX(Mercados!$C$2:$C$32,MATCH(Suiza_DE_CN_ID!B132,Mercados!$A$2:$A$32,0)),"Revisar Tscode"))</f>
        <v/>
      </c>
      <c r="B782" s="1" t="str">
        <f aca="false">IF(Suiza_DE_CN_ID!A132="","",Suiza_DE_CN_ID!A132)</f>
        <v/>
      </c>
      <c r="C782" s="1" t="str">
        <f aca="false">IF(Suiza_DE_CN_ID!A132="","",Suiza_DE_CN_ID!C132)</f>
        <v/>
      </c>
      <c r="D782" s="1" t="str">
        <f aca="false">IF(Suiza_DE_CN_ID!A132="","",Suiza_DE_CN_ID!D132)</f>
        <v/>
      </c>
      <c r="E782" s="1" t="str">
        <f aca="false">IF(Suiza_DE_CN_ID!A132="","",Suiza_DE_CN_ID!E132)</f>
        <v/>
      </c>
      <c r="F782" s="1" t="str">
        <f aca="false">IF(Suiza_DE_CN_ID!A132="","",Suiza_DE_CN_ID!G132)</f>
        <v/>
      </c>
      <c r="I782" s="1" t="str">
        <f aca="false">IF(Suiza_DE_CN_ID!A132="","",Suiza_DE_CN_ID!H132)</f>
        <v/>
      </c>
      <c r="J782" s="1" t="str">
        <f aca="false">IF(Suiza_DE_CN_ID!A132="","",Suiza_DE_CN_ID!I132)</f>
        <v/>
      </c>
      <c r="K782" s="1" t="str">
        <f aca="false">IF(Suiza_DE_CN_ID!A132="","",UPPER(Suiza_DE_CN_ID!J132))</f>
        <v/>
      </c>
      <c r="L782" s="1" t="str">
        <f aca="false">IF(Suiza_DE_CN_ID!A132="","",IFERROR(INDEX(Gamma_Catalogo!$D$3:$D$1451,MATCH(Suiza_DE_CN_ID!D132,Gamma_Catalogo!$A$3:$A$1451,0)),"Revisar Ip Code"))</f>
        <v/>
      </c>
      <c r="M782" s="1" t="str">
        <f aca="false">IF(Suiza_DE_CN_ID!A132="","",IFERROR(INDEX(Gamma_Catalogo!$C$3:$C$1451,MATCH(Suiza_DE_CN_ID!D132,Gamma_Catalogo!$A$3:$A$1451,0)),"Revisar Ip Code"))</f>
        <v/>
      </c>
      <c r="N782" s="1" t="str">
        <f aca="false">IF(Suiza_DE_CN_ID!A132="","",IFERROR(INDEX(Gamma_Catalogo!$E$3:$E$1451,MATCH(Suiza_DE_CN_ID!D132,Gamma_Catalogo!$A$3:$A$1451,0)),"Revisar Ip Code"))</f>
        <v/>
      </c>
      <c r="O782" s="1" t="str">
        <f aca="false">IF(Suiza_DE_CN_ID!A132="","","Suiza")</f>
        <v/>
      </c>
    </row>
    <row r="783" customFormat="false" ht="15" hidden="false" customHeight="true" outlineLevel="0" collapsed="false">
      <c r="A783" s="1" t="str">
        <f aca="false">IF(Suiza_DE_CN_ID!A133="","",IFERROR(INDEX(Mercados!$C$2:$C$32,MATCH(Suiza_DE_CN_ID!B133,Mercados!$A$2:$A$32,0)),"Revisar Tscode"))</f>
        <v/>
      </c>
      <c r="B783" s="1" t="str">
        <f aca="false">IF(Suiza_DE_CN_ID!A133="","",Suiza_DE_CN_ID!A133)</f>
        <v/>
      </c>
      <c r="C783" s="1" t="str">
        <f aca="false">IF(Suiza_DE_CN_ID!A133="","",Suiza_DE_CN_ID!C133)</f>
        <v/>
      </c>
      <c r="D783" s="1" t="str">
        <f aca="false">IF(Suiza_DE_CN_ID!A133="","",Suiza_DE_CN_ID!D133)</f>
        <v/>
      </c>
      <c r="E783" s="1" t="str">
        <f aca="false">IF(Suiza_DE_CN_ID!A133="","",Suiza_DE_CN_ID!E133)</f>
        <v/>
      </c>
      <c r="F783" s="1" t="str">
        <f aca="false">IF(Suiza_DE_CN_ID!A133="","",Suiza_DE_CN_ID!G133)</f>
        <v/>
      </c>
      <c r="I783" s="1" t="str">
        <f aca="false">IF(Suiza_DE_CN_ID!A133="","",Suiza_DE_CN_ID!H133)</f>
        <v/>
      </c>
      <c r="J783" s="1" t="str">
        <f aca="false">IF(Suiza_DE_CN_ID!A133="","",Suiza_DE_CN_ID!I133)</f>
        <v/>
      </c>
      <c r="K783" s="1" t="str">
        <f aca="false">IF(Suiza_DE_CN_ID!A133="","",UPPER(Suiza_DE_CN_ID!J133))</f>
        <v/>
      </c>
      <c r="L783" s="1" t="str">
        <f aca="false">IF(Suiza_DE_CN_ID!A133="","",IFERROR(INDEX(Gamma_Catalogo!$D$3:$D$1451,MATCH(Suiza_DE_CN_ID!D133,Gamma_Catalogo!$A$3:$A$1451,0)),"Revisar Ip Code"))</f>
        <v/>
      </c>
      <c r="M783" s="1" t="str">
        <f aca="false">IF(Suiza_DE_CN_ID!A133="","",IFERROR(INDEX(Gamma_Catalogo!$C$3:$C$1451,MATCH(Suiza_DE_CN_ID!D133,Gamma_Catalogo!$A$3:$A$1451,0)),"Revisar Ip Code"))</f>
        <v/>
      </c>
      <c r="N783" s="1" t="str">
        <f aca="false">IF(Suiza_DE_CN_ID!A133="","",IFERROR(INDEX(Gamma_Catalogo!$E$3:$E$1451,MATCH(Suiza_DE_CN_ID!D133,Gamma_Catalogo!$A$3:$A$1451,0)),"Revisar Ip Code"))</f>
        <v/>
      </c>
      <c r="O783" s="1" t="str">
        <f aca="false">IF(Suiza_DE_CN_ID!A133="","","Suiza")</f>
        <v/>
      </c>
    </row>
    <row r="784" customFormat="false" ht="15" hidden="false" customHeight="true" outlineLevel="0" collapsed="false">
      <c r="A784" s="1" t="str">
        <f aca="false">IF(Suiza_DE_CN_ID!A134="","",IFERROR(INDEX(Mercados!$C$2:$C$32,MATCH(Suiza_DE_CN_ID!B134,Mercados!$A$2:$A$32,0)),"Revisar Tscode"))</f>
        <v/>
      </c>
      <c r="B784" s="1" t="str">
        <f aca="false">IF(Suiza_DE_CN_ID!A134="","",Suiza_DE_CN_ID!A134)</f>
        <v/>
      </c>
      <c r="C784" s="1" t="str">
        <f aca="false">IF(Suiza_DE_CN_ID!A134="","",Suiza_DE_CN_ID!C134)</f>
        <v/>
      </c>
      <c r="D784" s="1" t="str">
        <f aca="false">IF(Suiza_DE_CN_ID!A134="","",Suiza_DE_CN_ID!D134)</f>
        <v/>
      </c>
      <c r="E784" s="1" t="str">
        <f aca="false">IF(Suiza_DE_CN_ID!A134="","",Suiza_DE_CN_ID!E134)</f>
        <v/>
      </c>
      <c r="F784" s="1" t="str">
        <f aca="false">IF(Suiza_DE_CN_ID!A134="","",Suiza_DE_CN_ID!G134)</f>
        <v/>
      </c>
      <c r="I784" s="1" t="str">
        <f aca="false">IF(Suiza_DE_CN_ID!A134="","",Suiza_DE_CN_ID!H134)</f>
        <v/>
      </c>
      <c r="J784" s="1" t="str">
        <f aca="false">IF(Suiza_DE_CN_ID!A134="","",Suiza_DE_CN_ID!I134)</f>
        <v/>
      </c>
      <c r="K784" s="1" t="str">
        <f aca="false">IF(Suiza_DE_CN_ID!A134="","",UPPER(Suiza_DE_CN_ID!J134))</f>
        <v/>
      </c>
      <c r="L784" s="1" t="str">
        <f aca="false">IF(Suiza_DE_CN_ID!A134="","",IFERROR(INDEX(Gamma_Catalogo!$D$3:$D$1451,MATCH(Suiza_DE_CN_ID!D134,Gamma_Catalogo!$A$3:$A$1451,0)),"Revisar Ip Code"))</f>
        <v/>
      </c>
      <c r="M784" s="1" t="str">
        <f aca="false">IF(Suiza_DE_CN_ID!A134="","",IFERROR(INDEX(Gamma_Catalogo!$C$3:$C$1451,MATCH(Suiza_DE_CN_ID!D134,Gamma_Catalogo!$A$3:$A$1451,0)),"Revisar Ip Code"))</f>
        <v/>
      </c>
      <c r="N784" s="1" t="str">
        <f aca="false">IF(Suiza_DE_CN_ID!A134="","",IFERROR(INDEX(Gamma_Catalogo!$E$3:$E$1451,MATCH(Suiza_DE_CN_ID!D134,Gamma_Catalogo!$A$3:$A$1451,0)),"Revisar Ip Code"))</f>
        <v/>
      </c>
      <c r="O784" s="1" t="str">
        <f aca="false">IF(Suiza_DE_CN_ID!A134="","","Suiza")</f>
        <v/>
      </c>
    </row>
    <row r="785" customFormat="false" ht="15" hidden="false" customHeight="true" outlineLevel="0" collapsed="false">
      <c r="A785" s="1" t="str">
        <f aca="false">IF(Suiza_DE_CN_ID!A135="","",IFERROR(INDEX(Mercados!$C$2:$C$32,MATCH(Suiza_DE_CN_ID!B135,Mercados!$A$2:$A$32,0)),"Revisar Tscode"))</f>
        <v/>
      </c>
      <c r="B785" s="1" t="str">
        <f aca="false">IF(Suiza_DE_CN_ID!A135="","",Suiza_DE_CN_ID!A135)</f>
        <v/>
      </c>
      <c r="C785" s="1" t="str">
        <f aca="false">IF(Suiza_DE_CN_ID!A135="","",Suiza_DE_CN_ID!C135)</f>
        <v/>
      </c>
      <c r="D785" s="1" t="str">
        <f aca="false">IF(Suiza_DE_CN_ID!A135="","",Suiza_DE_CN_ID!D135)</f>
        <v/>
      </c>
      <c r="E785" s="1" t="str">
        <f aca="false">IF(Suiza_DE_CN_ID!A135="","",Suiza_DE_CN_ID!E135)</f>
        <v/>
      </c>
      <c r="F785" s="1" t="str">
        <f aca="false">IF(Suiza_DE_CN_ID!A135="","",Suiza_DE_CN_ID!G135)</f>
        <v/>
      </c>
      <c r="I785" s="1" t="str">
        <f aca="false">IF(Suiza_DE_CN_ID!A135="","",Suiza_DE_CN_ID!H135)</f>
        <v/>
      </c>
      <c r="J785" s="1" t="str">
        <f aca="false">IF(Suiza_DE_CN_ID!A135="","",Suiza_DE_CN_ID!I135)</f>
        <v/>
      </c>
      <c r="K785" s="1" t="str">
        <f aca="false">IF(Suiza_DE_CN_ID!A135="","",UPPER(Suiza_DE_CN_ID!J135))</f>
        <v/>
      </c>
      <c r="L785" s="1" t="str">
        <f aca="false">IF(Suiza_DE_CN_ID!A135="","",IFERROR(INDEX(Gamma_Catalogo!$D$3:$D$1451,MATCH(Suiza_DE_CN_ID!D135,Gamma_Catalogo!$A$3:$A$1451,0)),"Revisar Ip Code"))</f>
        <v/>
      </c>
      <c r="M785" s="1" t="str">
        <f aca="false">IF(Suiza_DE_CN_ID!A135="","",IFERROR(INDEX(Gamma_Catalogo!$C$3:$C$1451,MATCH(Suiza_DE_CN_ID!D135,Gamma_Catalogo!$A$3:$A$1451,0)),"Revisar Ip Code"))</f>
        <v/>
      </c>
      <c r="N785" s="1" t="str">
        <f aca="false">IF(Suiza_DE_CN_ID!A135="","",IFERROR(INDEX(Gamma_Catalogo!$E$3:$E$1451,MATCH(Suiza_DE_CN_ID!D135,Gamma_Catalogo!$A$3:$A$1451,0)),"Revisar Ip Code"))</f>
        <v/>
      </c>
      <c r="O785" s="1" t="str">
        <f aca="false">IF(Suiza_DE_CN_ID!A135="","","Suiza")</f>
        <v/>
      </c>
    </row>
    <row r="786" customFormat="false" ht="15" hidden="false" customHeight="true" outlineLevel="0" collapsed="false">
      <c r="A786" s="1" t="str">
        <f aca="false">IF(Suiza_DE_CN_ID!A136="","",IFERROR(INDEX(Mercados!$C$2:$C$32,MATCH(Suiza_DE_CN_ID!B136,Mercados!$A$2:$A$32,0)),"Revisar Tscode"))</f>
        <v/>
      </c>
      <c r="B786" s="1" t="str">
        <f aca="false">IF(Suiza_DE_CN_ID!A136="","",Suiza_DE_CN_ID!A136)</f>
        <v/>
      </c>
      <c r="C786" s="1" t="str">
        <f aca="false">IF(Suiza_DE_CN_ID!A136="","",Suiza_DE_CN_ID!C136)</f>
        <v/>
      </c>
      <c r="D786" s="1" t="str">
        <f aca="false">IF(Suiza_DE_CN_ID!A136="","",Suiza_DE_CN_ID!D136)</f>
        <v/>
      </c>
      <c r="E786" s="1" t="str">
        <f aca="false">IF(Suiza_DE_CN_ID!A136="","",Suiza_DE_CN_ID!E136)</f>
        <v/>
      </c>
      <c r="F786" s="1" t="str">
        <f aca="false">IF(Suiza_DE_CN_ID!A136="","",Suiza_DE_CN_ID!G136)</f>
        <v/>
      </c>
      <c r="I786" s="1" t="str">
        <f aca="false">IF(Suiza_DE_CN_ID!A136="","",Suiza_DE_CN_ID!H136)</f>
        <v/>
      </c>
      <c r="J786" s="1" t="str">
        <f aca="false">IF(Suiza_DE_CN_ID!A136="","",Suiza_DE_CN_ID!I136)</f>
        <v/>
      </c>
      <c r="K786" s="1" t="str">
        <f aca="false">IF(Suiza_DE_CN_ID!A136="","",UPPER(Suiza_DE_CN_ID!J136))</f>
        <v/>
      </c>
      <c r="L786" s="1" t="str">
        <f aca="false">IF(Suiza_DE_CN_ID!A136="","",IFERROR(INDEX(Gamma_Catalogo!$D$3:$D$1451,MATCH(Suiza_DE_CN_ID!D136,Gamma_Catalogo!$A$3:$A$1451,0)),"Revisar Ip Code"))</f>
        <v/>
      </c>
      <c r="M786" s="1" t="str">
        <f aca="false">IF(Suiza_DE_CN_ID!A136="","",IFERROR(INDEX(Gamma_Catalogo!$C$3:$C$1451,MATCH(Suiza_DE_CN_ID!D136,Gamma_Catalogo!$A$3:$A$1451,0)),"Revisar Ip Code"))</f>
        <v/>
      </c>
      <c r="N786" s="1" t="str">
        <f aca="false">IF(Suiza_DE_CN_ID!A136="","",IFERROR(INDEX(Gamma_Catalogo!$E$3:$E$1451,MATCH(Suiza_DE_CN_ID!D136,Gamma_Catalogo!$A$3:$A$1451,0)),"Revisar Ip Code"))</f>
        <v/>
      </c>
      <c r="O786" s="1" t="str">
        <f aca="false">IF(Suiza_DE_CN_ID!A136="","","Suiza")</f>
        <v/>
      </c>
    </row>
    <row r="787" customFormat="false" ht="15" hidden="false" customHeight="true" outlineLevel="0" collapsed="false">
      <c r="A787" s="1" t="str">
        <f aca="false">IF(Suiza_DE_CN_ID!A137="","",IFERROR(INDEX(Mercados!$C$2:$C$32,MATCH(Suiza_DE_CN_ID!B137,Mercados!$A$2:$A$32,0)),"Revisar Tscode"))</f>
        <v/>
      </c>
      <c r="B787" s="1" t="str">
        <f aca="false">IF(Suiza_DE_CN_ID!A137="","",Suiza_DE_CN_ID!A137)</f>
        <v/>
      </c>
      <c r="C787" s="1" t="str">
        <f aca="false">IF(Suiza_DE_CN_ID!A137="","",Suiza_DE_CN_ID!C137)</f>
        <v/>
      </c>
      <c r="D787" s="1" t="str">
        <f aca="false">IF(Suiza_DE_CN_ID!A137="","",Suiza_DE_CN_ID!D137)</f>
        <v/>
      </c>
      <c r="E787" s="1" t="str">
        <f aca="false">IF(Suiza_DE_CN_ID!A137="","",Suiza_DE_CN_ID!E137)</f>
        <v/>
      </c>
      <c r="F787" s="1" t="str">
        <f aca="false">IF(Suiza_DE_CN_ID!A137="","",Suiza_DE_CN_ID!G137)</f>
        <v/>
      </c>
      <c r="I787" s="1" t="str">
        <f aca="false">IF(Suiza_DE_CN_ID!A137="","",Suiza_DE_CN_ID!H137)</f>
        <v/>
      </c>
      <c r="J787" s="1" t="str">
        <f aca="false">IF(Suiza_DE_CN_ID!A137="","",Suiza_DE_CN_ID!I137)</f>
        <v/>
      </c>
      <c r="K787" s="1" t="str">
        <f aca="false">IF(Suiza_DE_CN_ID!A137="","",UPPER(Suiza_DE_CN_ID!J137))</f>
        <v/>
      </c>
      <c r="L787" s="1" t="str">
        <f aca="false">IF(Suiza_DE_CN_ID!A137="","",IFERROR(INDEX(Gamma_Catalogo!$D$3:$D$1451,MATCH(Suiza_DE_CN_ID!D137,Gamma_Catalogo!$A$3:$A$1451,0)),"Revisar Ip Code"))</f>
        <v/>
      </c>
      <c r="M787" s="1" t="str">
        <f aca="false">IF(Suiza_DE_CN_ID!A137="","",IFERROR(INDEX(Gamma_Catalogo!$C$3:$C$1451,MATCH(Suiza_DE_CN_ID!D137,Gamma_Catalogo!$A$3:$A$1451,0)),"Revisar Ip Code"))</f>
        <v/>
      </c>
      <c r="N787" s="1" t="str">
        <f aca="false">IF(Suiza_DE_CN_ID!A137="","",IFERROR(INDEX(Gamma_Catalogo!$E$3:$E$1451,MATCH(Suiza_DE_CN_ID!D137,Gamma_Catalogo!$A$3:$A$1451,0)),"Revisar Ip Code"))</f>
        <v/>
      </c>
      <c r="O787" s="1" t="str">
        <f aca="false">IF(Suiza_DE_CN_ID!A137="","","Suiza")</f>
        <v/>
      </c>
    </row>
    <row r="788" customFormat="false" ht="15" hidden="false" customHeight="true" outlineLevel="0" collapsed="false">
      <c r="A788" s="1" t="str">
        <f aca="false">IF(Suiza_DE_CN_ID!A138="","",IFERROR(INDEX(Mercados!$C$2:$C$32,MATCH(Suiza_DE_CN_ID!B138,Mercados!$A$2:$A$32,0)),"Revisar Tscode"))</f>
        <v/>
      </c>
      <c r="B788" s="1" t="str">
        <f aca="false">IF(Suiza_DE_CN_ID!A138="","",Suiza_DE_CN_ID!A138)</f>
        <v/>
      </c>
      <c r="C788" s="1" t="str">
        <f aca="false">IF(Suiza_DE_CN_ID!A138="","",Suiza_DE_CN_ID!C138)</f>
        <v/>
      </c>
      <c r="D788" s="1" t="str">
        <f aca="false">IF(Suiza_DE_CN_ID!A138="","",Suiza_DE_CN_ID!D138)</f>
        <v/>
      </c>
      <c r="E788" s="1" t="str">
        <f aca="false">IF(Suiza_DE_CN_ID!A138="","",Suiza_DE_CN_ID!E138)</f>
        <v/>
      </c>
      <c r="F788" s="1" t="str">
        <f aca="false">IF(Suiza_DE_CN_ID!A138="","",Suiza_DE_CN_ID!G138)</f>
        <v/>
      </c>
      <c r="I788" s="1" t="str">
        <f aca="false">IF(Suiza_DE_CN_ID!A138="","",Suiza_DE_CN_ID!H138)</f>
        <v/>
      </c>
      <c r="J788" s="1" t="str">
        <f aca="false">IF(Suiza_DE_CN_ID!A138="","",Suiza_DE_CN_ID!I138)</f>
        <v/>
      </c>
      <c r="K788" s="1" t="str">
        <f aca="false">IF(Suiza_DE_CN_ID!A138="","",UPPER(Suiza_DE_CN_ID!J138))</f>
        <v/>
      </c>
      <c r="L788" s="1" t="str">
        <f aca="false">IF(Suiza_DE_CN_ID!A138="","",IFERROR(INDEX(Gamma_Catalogo!$D$3:$D$1451,MATCH(Suiza_DE_CN_ID!D138,Gamma_Catalogo!$A$3:$A$1451,0)),"Revisar Ip Code"))</f>
        <v/>
      </c>
      <c r="M788" s="1" t="str">
        <f aca="false">IF(Suiza_DE_CN_ID!A138="","",IFERROR(INDEX(Gamma_Catalogo!$C$3:$C$1451,MATCH(Suiza_DE_CN_ID!D138,Gamma_Catalogo!$A$3:$A$1451,0)),"Revisar Ip Code"))</f>
        <v/>
      </c>
      <c r="N788" s="1" t="str">
        <f aca="false">IF(Suiza_DE_CN_ID!A138="","",IFERROR(INDEX(Gamma_Catalogo!$E$3:$E$1451,MATCH(Suiza_DE_CN_ID!D138,Gamma_Catalogo!$A$3:$A$1451,0)),"Revisar Ip Code"))</f>
        <v/>
      </c>
      <c r="O788" s="1" t="str">
        <f aca="false">IF(Suiza_DE_CN_ID!A138="","","Suiza")</f>
        <v/>
      </c>
    </row>
    <row r="789" customFormat="false" ht="15" hidden="false" customHeight="true" outlineLevel="0" collapsed="false">
      <c r="A789" s="1" t="str">
        <f aca="false">IF(Suiza_DE_CN_ID!A139="","",IFERROR(INDEX(Mercados!$C$2:$C$32,MATCH(Suiza_DE_CN_ID!B139,Mercados!$A$2:$A$32,0)),"Revisar Tscode"))</f>
        <v/>
      </c>
      <c r="B789" s="1" t="str">
        <f aca="false">IF(Suiza_DE_CN_ID!A139="","",Suiza_DE_CN_ID!A139)</f>
        <v/>
      </c>
      <c r="C789" s="1" t="str">
        <f aca="false">IF(Suiza_DE_CN_ID!A139="","",Suiza_DE_CN_ID!C139)</f>
        <v/>
      </c>
      <c r="D789" s="1" t="str">
        <f aca="false">IF(Suiza_DE_CN_ID!A139="","",Suiza_DE_CN_ID!D139)</f>
        <v/>
      </c>
      <c r="E789" s="1" t="str">
        <f aca="false">IF(Suiza_DE_CN_ID!A139="","",Suiza_DE_CN_ID!E139)</f>
        <v/>
      </c>
      <c r="F789" s="1" t="str">
        <f aca="false">IF(Suiza_DE_CN_ID!A139="","",Suiza_DE_CN_ID!G139)</f>
        <v/>
      </c>
      <c r="I789" s="1" t="str">
        <f aca="false">IF(Suiza_DE_CN_ID!A139="","",Suiza_DE_CN_ID!H139)</f>
        <v/>
      </c>
      <c r="J789" s="1" t="str">
        <f aca="false">IF(Suiza_DE_CN_ID!A139="","",Suiza_DE_CN_ID!I139)</f>
        <v/>
      </c>
      <c r="K789" s="1" t="str">
        <f aca="false">IF(Suiza_DE_CN_ID!A139="","",UPPER(Suiza_DE_CN_ID!J139))</f>
        <v/>
      </c>
      <c r="L789" s="1" t="str">
        <f aca="false">IF(Suiza_DE_CN_ID!A139="","",IFERROR(INDEX(Gamma_Catalogo!$D$3:$D$1451,MATCH(Suiza_DE_CN_ID!D139,Gamma_Catalogo!$A$3:$A$1451,0)),"Revisar Ip Code"))</f>
        <v/>
      </c>
      <c r="M789" s="1" t="str">
        <f aca="false">IF(Suiza_DE_CN_ID!A139="","",IFERROR(INDEX(Gamma_Catalogo!$C$3:$C$1451,MATCH(Suiza_DE_CN_ID!D139,Gamma_Catalogo!$A$3:$A$1451,0)),"Revisar Ip Code"))</f>
        <v/>
      </c>
      <c r="N789" s="1" t="str">
        <f aca="false">IF(Suiza_DE_CN_ID!A139="","",IFERROR(INDEX(Gamma_Catalogo!$E$3:$E$1451,MATCH(Suiza_DE_CN_ID!D139,Gamma_Catalogo!$A$3:$A$1451,0)),"Revisar Ip Code"))</f>
        <v/>
      </c>
      <c r="O789" s="1" t="str">
        <f aca="false">IF(Suiza_DE_CN_ID!A139="","","Suiza")</f>
        <v/>
      </c>
    </row>
    <row r="790" customFormat="false" ht="15" hidden="false" customHeight="true" outlineLevel="0" collapsed="false">
      <c r="A790" s="1" t="str">
        <f aca="false">IF(Suiza_DE_CN_ID!A140="","",IFERROR(INDEX(Mercados!$C$2:$C$32,MATCH(Suiza_DE_CN_ID!B140,Mercados!$A$2:$A$32,0)),"Revisar Tscode"))</f>
        <v/>
      </c>
      <c r="B790" s="1" t="str">
        <f aca="false">IF(Suiza_DE_CN_ID!A140="","",Suiza_DE_CN_ID!A140)</f>
        <v/>
      </c>
      <c r="C790" s="1" t="str">
        <f aca="false">IF(Suiza_DE_CN_ID!A140="","",Suiza_DE_CN_ID!C140)</f>
        <v/>
      </c>
      <c r="D790" s="1" t="str">
        <f aca="false">IF(Suiza_DE_CN_ID!A140="","",Suiza_DE_CN_ID!D140)</f>
        <v/>
      </c>
      <c r="E790" s="1" t="str">
        <f aca="false">IF(Suiza_DE_CN_ID!A140="","",Suiza_DE_CN_ID!E140)</f>
        <v/>
      </c>
      <c r="F790" s="1" t="str">
        <f aca="false">IF(Suiza_DE_CN_ID!A140="","",Suiza_DE_CN_ID!G140)</f>
        <v/>
      </c>
      <c r="I790" s="1" t="str">
        <f aca="false">IF(Suiza_DE_CN_ID!A140="","",Suiza_DE_CN_ID!H140)</f>
        <v/>
      </c>
      <c r="J790" s="1" t="str">
        <f aca="false">IF(Suiza_DE_CN_ID!A140="","",Suiza_DE_CN_ID!I140)</f>
        <v/>
      </c>
      <c r="K790" s="1" t="str">
        <f aca="false">IF(Suiza_DE_CN_ID!A140="","",UPPER(Suiza_DE_CN_ID!J140))</f>
        <v/>
      </c>
      <c r="L790" s="1" t="str">
        <f aca="false">IF(Suiza_DE_CN_ID!A140="","",IFERROR(INDEX(Gamma_Catalogo!$D$3:$D$1451,MATCH(Suiza_DE_CN_ID!D140,Gamma_Catalogo!$A$3:$A$1451,0)),"Revisar Ip Code"))</f>
        <v/>
      </c>
      <c r="M790" s="1" t="str">
        <f aca="false">IF(Suiza_DE_CN_ID!A140="","",IFERROR(INDEX(Gamma_Catalogo!$C$3:$C$1451,MATCH(Suiza_DE_CN_ID!D140,Gamma_Catalogo!$A$3:$A$1451,0)),"Revisar Ip Code"))</f>
        <v/>
      </c>
      <c r="N790" s="1" t="str">
        <f aca="false">IF(Suiza_DE_CN_ID!A140="","",IFERROR(INDEX(Gamma_Catalogo!$E$3:$E$1451,MATCH(Suiza_DE_CN_ID!D140,Gamma_Catalogo!$A$3:$A$1451,0)),"Revisar Ip Code"))</f>
        <v/>
      </c>
      <c r="O790" s="1" t="str">
        <f aca="false">IF(Suiza_DE_CN_ID!A140="","","Suiza")</f>
        <v/>
      </c>
    </row>
    <row r="791" customFormat="false" ht="15" hidden="false" customHeight="true" outlineLevel="0" collapsed="false">
      <c r="A791" s="1" t="str">
        <f aca="false">IF(Suiza_DE_CN_ID!A141="","",IFERROR(INDEX(Mercados!$C$2:$C$32,MATCH(Suiza_DE_CN_ID!B141,Mercados!$A$2:$A$32,0)),"Revisar Tscode"))</f>
        <v/>
      </c>
      <c r="B791" s="1" t="str">
        <f aca="false">IF(Suiza_DE_CN_ID!A141="","",Suiza_DE_CN_ID!A141)</f>
        <v/>
      </c>
      <c r="C791" s="1" t="str">
        <f aca="false">IF(Suiza_DE_CN_ID!A141="","",Suiza_DE_CN_ID!C141)</f>
        <v/>
      </c>
      <c r="D791" s="1" t="str">
        <f aca="false">IF(Suiza_DE_CN_ID!A141="","",Suiza_DE_CN_ID!D141)</f>
        <v/>
      </c>
      <c r="E791" s="1" t="str">
        <f aca="false">IF(Suiza_DE_CN_ID!A141="","",Suiza_DE_CN_ID!E141)</f>
        <v/>
      </c>
      <c r="F791" s="1" t="str">
        <f aca="false">IF(Suiza_DE_CN_ID!A141="","",Suiza_DE_CN_ID!G141)</f>
        <v/>
      </c>
      <c r="I791" s="1" t="str">
        <f aca="false">IF(Suiza_DE_CN_ID!A141="","",Suiza_DE_CN_ID!H141)</f>
        <v/>
      </c>
      <c r="J791" s="1" t="str">
        <f aca="false">IF(Suiza_DE_CN_ID!A141="","",Suiza_DE_CN_ID!I141)</f>
        <v/>
      </c>
      <c r="K791" s="1" t="str">
        <f aca="false">IF(Suiza_DE_CN_ID!A141="","",UPPER(Suiza_DE_CN_ID!J141))</f>
        <v/>
      </c>
      <c r="L791" s="1" t="str">
        <f aca="false">IF(Suiza_DE_CN_ID!A141="","",IFERROR(INDEX(Gamma_Catalogo!$D$3:$D$1451,MATCH(Suiza_DE_CN_ID!D141,Gamma_Catalogo!$A$3:$A$1451,0)),"Revisar Ip Code"))</f>
        <v/>
      </c>
      <c r="M791" s="1" t="str">
        <f aca="false">IF(Suiza_DE_CN_ID!A141="","",IFERROR(INDEX(Gamma_Catalogo!$C$3:$C$1451,MATCH(Suiza_DE_CN_ID!D141,Gamma_Catalogo!$A$3:$A$1451,0)),"Revisar Ip Code"))</f>
        <v/>
      </c>
      <c r="N791" s="1" t="str">
        <f aca="false">IF(Suiza_DE_CN_ID!A141="","",IFERROR(INDEX(Gamma_Catalogo!$E$3:$E$1451,MATCH(Suiza_DE_CN_ID!D141,Gamma_Catalogo!$A$3:$A$1451,0)),"Revisar Ip Code"))</f>
        <v/>
      </c>
      <c r="O791" s="1" t="str">
        <f aca="false">IF(Suiza_DE_CN_ID!A141="","","Suiza")</f>
        <v/>
      </c>
    </row>
    <row r="792" customFormat="false" ht="15" hidden="false" customHeight="true" outlineLevel="0" collapsed="false">
      <c r="A792" s="1" t="str">
        <f aca="false">IF(Suiza_DE_CN_ID!A142="","",IFERROR(INDEX(Mercados!$C$2:$C$32,MATCH(Suiza_DE_CN_ID!B142,Mercados!$A$2:$A$32,0)),"Revisar Tscode"))</f>
        <v/>
      </c>
      <c r="B792" s="1" t="str">
        <f aca="false">IF(Suiza_DE_CN_ID!A142="","",Suiza_DE_CN_ID!A142)</f>
        <v/>
      </c>
      <c r="C792" s="1" t="str">
        <f aca="false">IF(Suiza_DE_CN_ID!A142="","",Suiza_DE_CN_ID!C142)</f>
        <v/>
      </c>
      <c r="D792" s="1" t="str">
        <f aca="false">IF(Suiza_DE_CN_ID!A142="","",Suiza_DE_CN_ID!D142)</f>
        <v/>
      </c>
      <c r="E792" s="1" t="str">
        <f aca="false">IF(Suiza_DE_CN_ID!A142="","",Suiza_DE_CN_ID!E142)</f>
        <v/>
      </c>
      <c r="F792" s="1" t="str">
        <f aca="false">IF(Suiza_DE_CN_ID!A142="","",Suiza_DE_CN_ID!G142)</f>
        <v/>
      </c>
      <c r="I792" s="1" t="str">
        <f aca="false">IF(Suiza_DE_CN_ID!A142="","",Suiza_DE_CN_ID!H142)</f>
        <v/>
      </c>
      <c r="J792" s="1" t="str">
        <f aca="false">IF(Suiza_DE_CN_ID!A142="","",Suiza_DE_CN_ID!I142)</f>
        <v/>
      </c>
      <c r="K792" s="1" t="str">
        <f aca="false">IF(Suiza_DE_CN_ID!A142="","",UPPER(Suiza_DE_CN_ID!J142))</f>
        <v/>
      </c>
      <c r="L792" s="1" t="str">
        <f aca="false">IF(Suiza_DE_CN_ID!A142="","",IFERROR(INDEX(Gamma_Catalogo!$D$3:$D$1451,MATCH(Suiza_DE_CN_ID!D142,Gamma_Catalogo!$A$3:$A$1451,0)),"Revisar Ip Code"))</f>
        <v/>
      </c>
      <c r="M792" s="1" t="str">
        <f aca="false">IF(Suiza_DE_CN_ID!A142="","",IFERROR(INDEX(Gamma_Catalogo!$C$3:$C$1451,MATCH(Suiza_DE_CN_ID!D142,Gamma_Catalogo!$A$3:$A$1451,0)),"Revisar Ip Code"))</f>
        <v/>
      </c>
      <c r="N792" s="1" t="str">
        <f aca="false">IF(Suiza_DE_CN_ID!A142="","",IFERROR(INDEX(Gamma_Catalogo!$E$3:$E$1451,MATCH(Suiza_DE_CN_ID!D142,Gamma_Catalogo!$A$3:$A$1451,0)),"Revisar Ip Code"))</f>
        <v/>
      </c>
      <c r="O792" s="1" t="str">
        <f aca="false">IF(Suiza_DE_CN_ID!A142="","","Suiza")</f>
        <v/>
      </c>
    </row>
    <row r="793" customFormat="false" ht="15" hidden="false" customHeight="true" outlineLevel="0" collapsed="false">
      <c r="A793" s="1" t="str">
        <f aca="false">IF(Suiza_DE_CN_ID!A143="","",IFERROR(INDEX(Mercados!$C$2:$C$32,MATCH(Suiza_DE_CN_ID!B143,Mercados!$A$2:$A$32,0)),"Revisar Tscode"))</f>
        <v/>
      </c>
      <c r="B793" s="1" t="str">
        <f aca="false">IF(Suiza_DE_CN_ID!A143="","",Suiza_DE_CN_ID!A143)</f>
        <v/>
      </c>
      <c r="C793" s="1" t="str">
        <f aca="false">IF(Suiza_DE_CN_ID!A143="","",Suiza_DE_CN_ID!C143)</f>
        <v/>
      </c>
      <c r="D793" s="1" t="str">
        <f aca="false">IF(Suiza_DE_CN_ID!A143="","",Suiza_DE_CN_ID!D143)</f>
        <v/>
      </c>
      <c r="E793" s="1" t="str">
        <f aca="false">IF(Suiza_DE_CN_ID!A143="","",Suiza_DE_CN_ID!E143)</f>
        <v/>
      </c>
      <c r="F793" s="1" t="str">
        <f aca="false">IF(Suiza_DE_CN_ID!A143="","",Suiza_DE_CN_ID!G143)</f>
        <v/>
      </c>
      <c r="I793" s="1" t="str">
        <f aca="false">IF(Suiza_DE_CN_ID!A143="","",Suiza_DE_CN_ID!H143)</f>
        <v/>
      </c>
      <c r="J793" s="1" t="str">
        <f aca="false">IF(Suiza_DE_CN_ID!A143="","",Suiza_DE_CN_ID!I143)</f>
        <v/>
      </c>
      <c r="K793" s="1" t="str">
        <f aca="false">IF(Suiza_DE_CN_ID!A143="","",UPPER(Suiza_DE_CN_ID!J143))</f>
        <v/>
      </c>
      <c r="L793" s="1" t="str">
        <f aca="false">IF(Suiza_DE_CN_ID!A143="","",IFERROR(INDEX(Gamma_Catalogo!$D$3:$D$1451,MATCH(Suiza_DE_CN_ID!D143,Gamma_Catalogo!$A$3:$A$1451,0)),"Revisar Ip Code"))</f>
        <v/>
      </c>
      <c r="M793" s="1" t="str">
        <f aca="false">IF(Suiza_DE_CN_ID!A143="","",IFERROR(INDEX(Gamma_Catalogo!$C$3:$C$1451,MATCH(Suiza_DE_CN_ID!D143,Gamma_Catalogo!$A$3:$A$1451,0)),"Revisar Ip Code"))</f>
        <v/>
      </c>
      <c r="N793" s="1" t="str">
        <f aca="false">IF(Suiza_DE_CN_ID!A143="","",IFERROR(INDEX(Gamma_Catalogo!$E$3:$E$1451,MATCH(Suiza_DE_CN_ID!D143,Gamma_Catalogo!$A$3:$A$1451,0)),"Revisar Ip Code"))</f>
        <v/>
      </c>
      <c r="O793" s="1" t="str">
        <f aca="false">IF(Suiza_DE_CN_ID!A143="","","Suiza")</f>
        <v/>
      </c>
    </row>
    <row r="794" customFormat="false" ht="15" hidden="false" customHeight="true" outlineLevel="0" collapsed="false">
      <c r="A794" s="1" t="str">
        <f aca="false">IF(Suiza_DE_CN_ID!A144="","",IFERROR(INDEX(Mercados!$C$2:$C$32,MATCH(Suiza_DE_CN_ID!B144,Mercados!$A$2:$A$32,0)),"Revisar Tscode"))</f>
        <v/>
      </c>
      <c r="B794" s="1" t="str">
        <f aca="false">IF(Suiza_DE_CN_ID!A144="","",Suiza_DE_CN_ID!A144)</f>
        <v/>
      </c>
      <c r="C794" s="1" t="str">
        <f aca="false">IF(Suiza_DE_CN_ID!A144="","",Suiza_DE_CN_ID!C144)</f>
        <v/>
      </c>
      <c r="D794" s="1" t="str">
        <f aca="false">IF(Suiza_DE_CN_ID!A144="","",Suiza_DE_CN_ID!D144)</f>
        <v/>
      </c>
      <c r="E794" s="1" t="str">
        <f aca="false">IF(Suiza_DE_CN_ID!A144="","",Suiza_DE_CN_ID!E144)</f>
        <v/>
      </c>
      <c r="F794" s="1" t="str">
        <f aca="false">IF(Suiza_DE_CN_ID!A144="","",Suiza_DE_CN_ID!G144)</f>
        <v/>
      </c>
      <c r="I794" s="1" t="str">
        <f aca="false">IF(Suiza_DE_CN_ID!A144="","",Suiza_DE_CN_ID!H144)</f>
        <v/>
      </c>
      <c r="J794" s="1" t="str">
        <f aca="false">IF(Suiza_DE_CN_ID!A144="","",Suiza_DE_CN_ID!I144)</f>
        <v/>
      </c>
      <c r="K794" s="1" t="str">
        <f aca="false">IF(Suiza_DE_CN_ID!A144="","",UPPER(Suiza_DE_CN_ID!J144))</f>
        <v/>
      </c>
      <c r="L794" s="1" t="str">
        <f aca="false">IF(Suiza_DE_CN_ID!A144="","",IFERROR(INDEX(Gamma_Catalogo!$D$3:$D$1451,MATCH(Suiza_DE_CN_ID!D144,Gamma_Catalogo!$A$3:$A$1451,0)),"Revisar Ip Code"))</f>
        <v/>
      </c>
      <c r="M794" s="1" t="str">
        <f aca="false">IF(Suiza_DE_CN_ID!A144="","",IFERROR(INDEX(Gamma_Catalogo!$C$3:$C$1451,MATCH(Suiza_DE_CN_ID!D144,Gamma_Catalogo!$A$3:$A$1451,0)),"Revisar Ip Code"))</f>
        <v/>
      </c>
      <c r="N794" s="1" t="str">
        <f aca="false">IF(Suiza_DE_CN_ID!A144="","",IFERROR(INDEX(Gamma_Catalogo!$E$3:$E$1451,MATCH(Suiza_DE_CN_ID!D144,Gamma_Catalogo!$A$3:$A$1451,0)),"Revisar Ip Code"))</f>
        <v/>
      </c>
      <c r="O794" s="1" t="str">
        <f aca="false">IF(Suiza_DE_CN_ID!A144="","","Suiza")</f>
        <v/>
      </c>
    </row>
    <row r="795" customFormat="false" ht="15" hidden="false" customHeight="true" outlineLevel="0" collapsed="false">
      <c r="A795" s="1" t="str">
        <f aca="false">IF(Suiza_DE_CN_ID!A145="","",IFERROR(INDEX(Mercados!$C$2:$C$32,MATCH(Suiza_DE_CN_ID!B145,Mercados!$A$2:$A$32,0)),"Revisar Tscode"))</f>
        <v/>
      </c>
      <c r="B795" s="1" t="str">
        <f aca="false">IF(Suiza_DE_CN_ID!A145="","",Suiza_DE_CN_ID!A145)</f>
        <v/>
      </c>
      <c r="C795" s="1" t="str">
        <f aca="false">IF(Suiza_DE_CN_ID!A145="","",Suiza_DE_CN_ID!C145)</f>
        <v/>
      </c>
      <c r="D795" s="1" t="str">
        <f aca="false">IF(Suiza_DE_CN_ID!A145="","",Suiza_DE_CN_ID!D145)</f>
        <v/>
      </c>
      <c r="E795" s="1" t="str">
        <f aca="false">IF(Suiza_DE_CN_ID!A145="","",Suiza_DE_CN_ID!E145)</f>
        <v/>
      </c>
      <c r="F795" s="1" t="str">
        <f aca="false">IF(Suiza_DE_CN_ID!A145="","",Suiza_DE_CN_ID!G145)</f>
        <v/>
      </c>
      <c r="I795" s="1" t="str">
        <f aca="false">IF(Suiza_DE_CN_ID!A145="","",Suiza_DE_CN_ID!H145)</f>
        <v/>
      </c>
      <c r="J795" s="1" t="str">
        <f aca="false">IF(Suiza_DE_CN_ID!A145="","",Suiza_DE_CN_ID!I145)</f>
        <v/>
      </c>
      <c r="K795" s="1" t="str">
        <f aca="false">IF(Suiza_DE_CN_ID!A145="","",UPPER(Suiza_DE_CN_ID!J145))</f>
        <v/>
      </c>
      <c r="L795" s="1" t="str">
        <f aca="false">IF(Suiza_DE_CN_ID!A145="","",IFERROR(INDEX(Gamma_Catalogo!$D$3:$D$1451,MATCH(Suiza_DE_CN_ID!D145,Gamma_Catalogo!$A$3:$A$1451,0)),"Revisar Ip Code"))</f>
        <v/>
      </c>
      <c r="M795" s="1" t="str">
        <f aca="false">IF(Suiza_DE_CN_ID!A145="","",IFERROR(INDEX(Gamma_Catalogo!$C$3:$C$1451,MATCH(Suiza_DE_CN_ID!D145,Gamma_Catalogo!$A$3:$A$1451,0)),"Revisar Ip Code"))</f>
        <v/>
      </c>
      <c r="N795" s="1" t="str">
        <f aca="false">IF(Suiza_DE_CN_ID!A145="","",IFERROR(INDEX(Gamma_Catalogo!$E$3:$E$1451,MATCH(Suiza_DE_CN_ID!D145,Gamma_Catalogo!$A$3:$A$1451,0)),"Revisar Ip Code"))</f>
        <v/>
      </c>
      <c r="O795" s="1" t="str">
        <f aca="false">IF(Suiza_DE_CN_ID!A145="","","Suiza")</f>
        <v/>
      </c>
    </row>
    <row r="796" customFormat="false" ht="15" hidden="false" customHeight="true" outlineLevel="0" collapsed="false">
      <c r="A796" s="1" t="str">
        <f aca="false">IF(Suiza_DE_CN_ID!A146="","",IFERROR(INDEX(Mercados!$C$2:$C$32,MATCH(Suiza_DE_CN_ID!B146,Mercados!$A$2:$A$32,0)),"Revisar Tscode"))</f>
        <v/>
      </c>
      <c r="B796" s="1" t="str">
        <f aca="false">IF(Suiza_DE_CN_ID!A146="","",Suiza_DE_CN_ID!A146)</f>
        <v/>
      </c>
      <c r="C796" s="1" t="str">
        <f aca="false">IF(Suiza_DE_CN_ID!A146="","",Suiza_DE_CN_ID!C146)</f>
        <v/>
      </c>
      <c r="D796" s="1" t="str">
        <f aca="false">IF(Suiza_DE_CN_ID!A146="","",Suiza_DE_CN_ID!D146)</f>
        <v/>
      </c>
      <c r="E796" s="1" t="str">
        <f aca="false">IF(Suiza_DE_CN_ID!A146="","",Suiza_DE_CN_ID!E146)</f>
        <v/>
      </c>
      <c r="F796" s="1" t="str">
        <f aca="false">IF(Suiza_DE_CN_ID!A146="","",Suiza_DE_CN_ID!G146)</f>
        <v/>
      </c>
      <c r="I796" s="1" t="str">
        <f aca="false">IF(Suiza_DE_CN_ID!A146="","",Suiza_DE_CN_ID!H146)</f>
        <v/>
      </c>
      <c r="J796" s="1" t="str">
        <f aca="false">IF(Suiza_DE_CN_ID!A146="","",Suiza_DE_CN_ID!I146)</f>
        <v/>
      </c>
      <c r="K796" s="1" t="str">
        <f aca="false">IF(Suiza_DE_CN_ID!A146="","",UPPER(Suiza_DE_CN_ID!J146))</f>
        <v/>
      </c>
      <c r="L796" s="1" t="str">
        <f aca="false">IF(Suiza_DE_CN_ID!A146="","",IFERROR(INDEX(Gamma_Catalogo!$D$3:$D$1451,MATCH(Suiza_DE_CN_ID!D146,Gamma_Catalogo!$A$3:$A$1451,0)),"Revisar Ip Code"))</f>
        <v/>
      </c>
      <c r="M796" s="1" t="str">
        <f aca="false">IF(Suiza_DE_CN_ID!A146="","",IFERROR(INDEX(Gamma_Catalogo!$C$3:$C$1451,MATCH(Suiza_DE_CN_ID!D146,Gamma_Catalogo!$A$3:$A$1451,0)),"Revisar Ip Code"))</f>
        <v/>
      </c>
      <c r="N796" s="1" t="str">
        <f aca="false">IF(Suiza_DE_CN_ID!A146="","",IFERROR(INDEX(Gamma_Catalogo!$E$3:$E$1451,MATCH(Suiza_DE_CN_ID!D146,Gamma_Catalogo!$A$3:$A$1451,0)),"Revisar Ip Code"))</f>
        <v/>
      </c>
      <c r="O796" s="1" t="str">
        <f aca="false">IF(Suiza_DE_CN_ID!A146="","","Suiza")</f>
        <v/>
      </c>
    </row>
    <row r="797" customFormat="false" ht="15" hidden="false" customHeight="true" outlineLevel="0" collapsed="false">
      <c r="A797" s="1" t="str">
        <f aca="false">IF(Suiza_DE_CN_ID!A147="","",IFERROR(INDEX(Mercados!$C$2:$C$32,MATCH(Suiza_DE_CN_ID!B147,Mercados!$A$2:$A$32,0)),"Revisar Tscode"))</f>
        <v/>
      </c>
      <c r="B797" s="1" t="str">
        <f aca="false">IF(Suiza_DE_CN_ID!A147="","",Suiza_DE_CN_ID!A147)</f>
        <v/>
      </c>
      <c r="C797" s="1" t="str">
        <f aca="false">IF(Suiza_DE_CN_ID!A147="","",Suiza_DE_CN_ID!C147)</f>
        <v/>
      </c>
      <c r="D797" s="1" t="str">
        <f aca="false">IF(Suiza_DE_CN_ID!A147="","",Suiza_DE_CN_ID!D147)</f>
        <v/>
      </c>
      <c r="E797" s="1" t="str">
        <f aca="false">IF(Suiza_DE_CN_ID!A147="","",Suiza_DE_CN_ID!E147)</f>
        <v/>
      </c>
      <c r="F797" s="1" t="str">
        <f aca="false">IF(Suiza_DE_CN_ID!A147="","",Suiza_DE_CN_ID!G147)</f>
        <v/>
      </c>
      <c r="I797" s="1" t="str">
        <f aca="false">IF(Suiza_DE_CN_ID!A147="","",Suiza_DE_CN_ID!H147)</f>
        <v/>
      </c>
      <c r="J797" s="1" t="str">
        <f aca="false">IF(Suiza_DE_CN_ID!A147="","",Suiza_DE_CN_ID!I147)</f>
        <v/>
      </c>
      <c r="K797" s="1" t="str">
        <f aca="false">IF(Suiza_DE_CN_ID!A147="","",UPPER(Suiza_DE_CN_ID!J147))</f>
        <v/>
      </c>
      <c r="L797" s="1" t="str">
        <f aca="false">IF(Suiza_DE_CN_ID!A147="","",IFERROR(INDEX(Gamma_Catalogo!$D$3:$D$1451,MATCH(Suiza_DE_CN_ID!D147,Gamma_Catalogo!$A$3:$A$1451,0)),"Revisar Ip Code"))</f>
        <v/>
      </c>
      <c r="M797" s="1" t="str">
        <f aca="false">IF(Suiza_DE_CN_ID!A147="","",IFERROR(INDEX(Gamma_Catalogo!$C$3:$C$1451,MATCH(Suiza_DE_CN_ID!D147,Gamma_Catalogo!$A$3:$A$1451,0)),"Revisar Ip Code"))</f>
        <v/>
      </c>
      <c r="N797" s="1" t="str">
        <f aca="false">IF(Suiza_DE_CN_ID!A147="","",IFERROR(INDEX(Gamma_Catalogo!$E$3:$E$1451,MATCH(Suiza_DE_CN_ID!D147,Gamma_Catalogo!$A$3:$A$1451,0)),"Revisar Ip Code"))</f>
        <v/>
      </c>
      <c r="O797" s="1" t="str">
        <f aca="false">IF(Suiza_DE_CN_ID!A147="","","Suiza")</f>
        <v/>
      </c>
    </row>
    <row r="798" customFormat="false" ht="15" hidden="false" customHeight="true" outlineLevel="0" collapsed="false">
      <c r="A798" s="1" t="str">
        <f aca="false">IF(Suiza_DE_CN_ID!A148="","",IFERROR(INDEX(Mercados!$C$2:$C$32,MATCH(Suiza_DE_CN_ID!B148,Mercados!$A$2:$A$32,0)),"Revisar Tscode"))</f>
        <v/>
      </c>
      <c r="B798" s="1" t="str">
        <f aca="false">IF(Suiza_DE_CN_ID!A148="","",Suiza_DE_CN_ID!A148)</f>
        <v/>
      </c>
      <c r="C798" s="1" t="str">
        <f aca="false">IF(Suiza_DE_CN_ID!A148="","",Suiza_DE_CN_ID!C148)</f>
        <v/>
      </c>
      <c r="D798" s="1" t="str">
        <f aca="false">IF(Suiza_DE_CN_ID!A148="","",Suiza_DE_CN_ID!D148)</f>
        <v/>
      </c>
      <c r="E798" s="1" t="str">
        <f aca="false">IF(Suiza_DE_CN_ID!A148="","",Suiza_DE_CN_ID!E148)</f>
        <v/>
      </c>
      <c r="F798" s="1" t="str">
        <f aca="false">IF(Suiza_DE_CN_ID!A148="","",Suiza_DE_CN_ID!G148)</f>
        <v/>
      </c>
      <c r="I798" s="1" t="str">
        <f aca="false">IF(Suiza_DE_CN_ID!A148="","",Suiza_DE_CN_ID!H148)</f>
        <v/>
      </c>
      <c r="J798" s="1" t="str">
        <f aca="false">IF(Suiza_DE_CN_ID!A148="","",Suiza_DE_CN_ID!I148)</f>
        <v/>
      </c>
      <c r="K798" s="1" t="str">
        <f aca="false">IF(Suiza_DE_CN_ID!A148="","",UPPER(Suiza_DE_CN_ID!J148))</f>
        <v/>
      </c>
      <c r="L798" s="1" t="str">
        <f aca="false">IF(Suiza_DE_CN_ID!A148="","",IFERROR(INDEX(Gamma_Catalogo!$D$3:$D$1451,MATCH(Suiza_DE_CN_ID!D148,Gamma_Catalogo!$A$3:$A$1451,0)),"Revisar Ip Code"))</f>
        <v/>
      </c>
      <c r="M798" s="1" t="str">
        <f aca="false">IF(Suiza_DE_CN_ID!A148="","",IFERROR(INDEX(Gamma_Catalogo!$C$3:$C$1451,MATCH(Suiza_DE_CN_ID!D148,Gamma_Catalogo!$A$3:$A$1451,0)),"Revisar Ip Code"))</f>
        <v/>
      </c>
      <c r="N798" s="1" t="str">
        <f aca="false">IF(Suiza_DE_CN_ID!A148="","",IFERROR(INDEX(Gamma_Catalogo!$E$3:$E$1451,MATCH(Suiza_DE_CN_ID!D148,Gamma_Catalogo!$A$3:$A$1451,0)),"Revisar Ip Code"))</f>
        <v/>
      </c>
      <c r="O798" s="1" t="str">
        <f aca="false">IF(Suiza_DE_CN_ID!A148="","","Suiza")</f>
        <v/>
      </c>
    </row>
    <row r="799" customFormat="false" ht="15" hidden="false" customHeight="true" outlineLevel="0" collapsed="false">
      <c r="A799" s="1" t="str">
        <f aca="false">IF(Suiza_DE_CN_ID!A149="","",IFERROR(INDEX(Mercados!$C$2:$C$32,MATCH(Suiza_DE_CN_ID!B149,Mercados!$A$2:$A$32,0)),"Revisar Tscode"))</f>
        <v/>
      </c>
      <c r="B799" s="1" t="str">
        <f aca="false">IF(Suiza_DE_CN_ID!A149="","",Suiza_DE_CN_ID!A149)</f>
        <v/>
      </c>
      <c r="C799" s="1" t="str">
        <f aca="false">IF(Suiza_DE_CN_ID!A149="","",Suiza_DE_CN_ID!C149)</f>
        <v/>
      </c>
      <c r="D799" s="1" t="str">
        <f aca="false">IF(Suiza_DE_CN_ID!A149="","",Suiza_DE_CN_ID!D149)</f>
        <v/>
      </c>
      <c r="E799" s="1" t="str">
        <f aca="false">IF(Suiza_DE_CN_ID!A149="","",Suiza_DE_CN_ID!E149)</f>
        <v/>
      </c>
      <c r="F799" s="1" t="str">
        <f aca="false">IF(Suiza_DE_CN_ID!A149="","",Suiza_DE_CN_ID!G149)</f>
        <v/>
      </c>
      <c r="I799" s="1" t="str">
        <f aca="false">IF(Suiza_DE_CN_ID!A149="","",Suiza_DE_CN_ID!H149)</f>
        <v/>
      </c>
      <c r="J799" s="1" t="str">
        <f aca="false">IF(Suiza_DE_CN_ID!A149="","",Suiza_DE_CN_ID!I149)</f>
        <v/>
      </c>
      <c r="K799" s="1" t="str">
        <f aca="false">IF(Suiza_DE_CN_ID!A149="","",UPPER(Suiza_DE_CN_ID!J149))</f>
        <v/>
      </c>
      <c r="L799" s="1" t="str">
        <f aca="false">IF(Suiza_DE_CN_ID!A149="","",IFERROR(INDEX(Gamma_Catalogo!$D$3:$D$1451,MATCH(Suiza_DE_CN_ID!D149,Gamma_Catalogo!$A$3:$A$1451,0)),"Revisar Ip Code"))</f>
        <v/>
      </c>
      <c r="M799" s="1" t="str">
        <f aca="false">IF(Suiza_DE_CN_ID!A149="","",IFERROR(INDEX(Gamma_Catalogo!$C$3:$C$1451,MATCH(Suiza_DE_CN_ID!D149,Gamma_Catalogo!$A$3:$A$1451,0)),"Revisar Ip Code"))</f>
        <v/>
      </c>
      <c r="N799" s="1" t="str">
        <f aca="false">IF(Suiza_DE_CN_ID!A149="","",IFERROR(INDEX(Gamma_Catalogo!$E$3:$E$1451,MATCH(Suiza_DE_CN_ID!D149,Gamma_Catalogo!$A$3:$A$1451,0)),"Revisar Ip Code"))</f>
        <v/>
      </c>
      <c r="O799" s="1" t="str">
        <f aca="false">IF(Suiza_DE_CN_ID!A149="","","Suiza")</f>
        <v/>
      </c>
    </row>
    <row r="800" customFormat="false" ht="15" hidden="false" customHeight="true" outlineLevel="0" collapsed="false">
      <c r="A800" s="1" t="str">
        <f aca="false">IF(Suiza_DE_CN_ID!A150="","",IFERROR(INDEX(Mercados!$C$2:$C$32,MATCH(Suiza_DE_CN_ID!B150,Mercados!$A$2:$A$32,0)),"Revisar Tscode"))</f>
        <v/>
      </c>
      <c r="B800" s="1" t="str">
        <f aca="false">IF(Suiza_DE_CN_ID!A150="","",Suiza_DE_CN_ID!A150)</f>
        <v/>
      </c>
      <c r="C800" s="1" t="str">
        <f aca="false">IF(Suiza_DE_CN_ID!A150="","",Suiza_DE_CN_ID!C150)</f>
        <v/>
      </c>
      <c r="D800" s="1" t="str">
        <f aca="false">IF(Suiza_DE_CN_ID!A150="","",Suiza_DE_CN_ID!D150)</f>
        <v/>
      </c>
      <c r="E800" s="1" t="str">
        <f aca="false">IF(Suiza_DE_CN_ID!A150="","",Suiza_DE_CN_ID!E150)</f>
        <v/>
      </c>
      <c r="F800" s="1" t="str">
        <f aca="false">IF(Suiza_DE_CN_ID!A150="","",Suiza_DE_CN_ID!G150)</f>
        <v/>
      </c>
      <c r="I800" s="1" t="str">
        <f aca="false">IF(Suiza_DE_CN_ID!A150="","",Suiza_DE_CN_ID!H150)</f>
        <v/>
      </c>
      <c r="J800" s="1" t="str">
        <f aca="false">IF(Suiza_DE_CN_ID!A150="","",Suiza_DE_CN_ID!I150)</f>
        <v/>
      </c>
      <c r="K800" s="1" t="str">
        <f aca="false">IF(Suiza_DE_CN_ID!A150="","",UPPER(Suiza_DE_CN_ID!J150))</f>
        <v/>
      </c>
      <c r="L800" s="1" t="str">
        <f aca="false">IF(Suiza_DE_CN_ID!A150="","",IFERROR(INDEX(Gamma_Catalogo!$D$3:$D$1451,MATCH(Suiza_DE_CN_ID!D150,Gamma_Catalogo!$A$3:$A$1451,0)),"Revisar Ip Code"))</f>
        <v/>
      </c>
      <c r="M800" s="1" t="str">
        <f aca="false">IF(Suiza_DE_CN_ID!A150="","",IFERROR(INDEX(Gamma_Catalogo!$C$3:$C$1451,MATCH(Suiza_DE_CN_ID!D150,Gamma_Catalogo!$A$3:$A$1451,0)),"Revisar Ip Code"))</f>
        <v/>
      </c>
      <c r="N800" s="1" t="str">
        <f aca="false">IF(Suiza_DE_CN_ID!A150="","",IFERROR(INDEX(Gamma_Catalogo!$E$3:$E$1451,MATCH(Suiza_DE_CN_ID!D150,Gamma_Catalogo!$A$3:$A$1451,0)),"Revisar Ip Code"))</f>
        <v/>
      </c>
      <c r="O800" s="1" t="str">
        <f aca="false">IF(Suiza_DE_CN_ID!A150="","","Suiza")</f>
        <v/>
      </c>
    </row>
    <row r="801" customFormat="false" ht="15" hidden="false" customHeight="true" outlineLevel="0" collapsed="false">
      <c r="A801" s="1" t="str">
        <f aca="false">IF(Suiza_DE_CN_ID!A151="","",IFERROR(INDEX(Mercados!$C$2:$C$32,MATCH(Suiza_DE_CN_ID!B151,Mercados!$A$2:$A$32,0)),"Revisar Tscode"))</f>
        <v/>
      </c>
      <c r="B801" s="1" t="str">
        <f aca="false">IF(Suiza_DE_CN_ID!A151="","",Suiza_DE_CN_ID!A151)</f>
        <v/>
      </c>
      <c r="C801" s="1" t="str">
        <f aca="false">IF(Suiza_DE_CN_ID!A151="","",Suiza_DE_CN_ID!C151)</f>
        <v/>
      </c>
      <c r="D801" s="1" t="str">
        <f aca="false">IF(Suiza_DE_CN_ID!A151="","",Suiza_DE_CN_ID!D151)</f>
        <v/>
      </c>
      <c r="E801" s="1" t="str">
        <f aca="false">IF(Suiza_DE_CN_ID!A151="","",Suiza_DE_CN_ID!E151)</f>
        <v/>
      </c>
      <c r="F801" s="1" t="str">
        <f aca="false">IF(Suiza_DE_CN_ID!A151="","",Suiza_DE_CN_ID!G151)</f>
        <v/>
      </c>
      <c r="I801" s="1" t="str">
        <f aca="false">IF(Suiza_DE_CN_ID!A151="","",Suiza_DE_CN_ID!H151)</f>
        <v/>
      </c>
      <c r="J801" s="1" t="str">
        <f aca="false">IF(Suiza_DE_CN_ID!A151="","",Suiza_DE_CN_ID!I151)</f>
        <v/>
      </c>
      <c r="K801" s="1" t="str">
        <f aca="false">IF(Suiza_DE_CN_ID!A151="","",UPPER(Suiza_DE_CN_ID!J151))</f>
        <v/>
      </c>
      <c r="L801" s="1" t="str">
        <f aca="false">IF(Suiza_DE_CN_ID!A151="","",IFERROR(INDEX(Gamma_Catalogo!$D$3:$D$1451,MATCH(Suiza_DE_CN_ID!D151,Gamma_Catalogo!$A$3:$A$1451,0)),"Revisar Ip Code"))</f>
        <v/>
      </c>
      <c r="M801" s="1" t="str">
        <f aca="false">IF(Suiza_DE_CN_ID!A151="","",IFERROR(INDEX(Gamma_Catalogo!$C$3:$C$1451,MATCH(Suiza_DE_CN_ID!D151,Gamma_Catalogo!$A$3:$A$1451,0)),"Revisar Ip Code"))</f>
        <v/>
      </c>
      <c r="N801" s="1" t="str">
        <f aca="false">IF(Suiza_DE_CN_ID!A151="","",IFERROR(INDEX(Gamma_Catalogo!$E$3:$E$1451,MATCH(Suiza_DE_CN_ID!D151,Gamma_Catalogo!$A$3:$A$1451,0)),"Revisar Ip Code"))</f>
        <v/>
      </c>
      <c r="O801" s="1" t="str">
        <f aca="false">IF(Suiza_DE_CN_ID!A151="","","Suiza")</f>
        <v/>
      </c>
    </row>
    <row r="802" customFormat="false" ht="15" hidden="false" customHeight="true" outlineLevel="0" collapsed="false">
      <c r="A802" s="1" t="str">
        <f aca="false">IF(Suiza_DE_CN_ID!A152="","",IFERROR(INDEX(Mercados!$C$2:$C$32,MATCH(Suiza_DE_CN_ID!B152,Mercados!$A$2:$A$32,0)),"Revisar Tscode"))</f>
        <v/>
      </c>
      <c r="B802" s="1" t="str">
        <f aca="false">IF(Suiza_DE_CN_ID!A152="","",Suiza_DE_CN_ID!A152)</f>
        <v/>
      </c>
      <c r="C802" s="1" t="str">
        <f aca="false">IF(Suiza_DE_CN_ID!A152="","",Suiza_DE_CN_ID!C152)</f>
        <v/>
      </c>
      <c r="D802" s="1" t="str">
        <f aca="false">IF(Suiza_DE_CN_ID!A152="","",Suiza_DE_CN_ID!D152)</f>
        <v/>
      </c>
      <c r="E802" s="1" t="str">
        <f aca="false">IF(Suiza_DE_CN_ID!A152="","",Suiza_DE_CN_ID!E152)</f>
        <v/>
      </c>
      <c r="F802" s="1" t="str">
        <f aca="false">IF(Suiza_DE_CN_ID!A152="","",Suiza_DE_CN_ID!G152)</f>
        <v/>
      </c>
      <c r="I802" s="1" t="str">
        <f aca="false">IF(Suiza_DE_CN_ID!A152="","",Suiza_DE_CN_ID!H152)</f>
        <v/>
      </c>
      <c r="J802" s="1" t="str">
        <f aca="false">IF(Suiza_DE_CN_ID!A152="","",Suiza_DE_CN_ID!I152)</f>
        <v/>
      </c>
      <c r="K802" s="1" t="str">
        <f aca="false">IF(Suiza_DE_CN_ID!A152="","",UPPER(Suiza_DE_CN_ID!J152))</f>
        <v/>
      </c>
      <c r="L802" s="1" t="str">
        <f aca="false">IF(Suiza_DE_CN_ID!A152="","",IFERROR(INDEX(Gamma_Catalogo!$D$3:$D$1451,MATCH(Suiza_DE_CN_ID!D152,Gamma_Catalogo!$A$3:$A$1451,0)),"Revisar Ip Code"))</f>
        <v/>
      </c>
      <c r="M802" s="1" t="str">
        <f aca="false">IF(Suiza_DE_CN_ID!A152="","",IFERROR(INDEX(Gamma_Catalogo!$C$3:$C$1451,MATCH(Suiza_DE_CN_ID!D152,Gamma_Catalogo!$A$3:$A$1451,0)),"Revisar Ip Code"))</f>
        <v/>
      </c>
      <c r="N802" s="1" t="str">
        <f aca="false">IF(Suiza_DE_CN_ID!A152="","",IFERROR(INDEX(Gamma_Catalogo!$E$3:$E$1451,MATCH(Suiza_DE_CN_ID!D152,Gamma_Catalogo!$A$3:$A$1451,0)),"Revisar Ip Code"))</f>
        <v/>
      </c>
      <c r="O802" s="1" t="str">
        <f aca="false">IF(Suiza_DE_CN_ID!A152="","","Suiza")</f>
        <v/>
      </c>
    </row>
    <row r="803" customFormat="false" ht="15" hidden="false" customHeight="true" outlineLevel="0" collapsed="false">
      <c r="A803" s="1" t="str">
        <f aca="false">IF(Suiza_DE_CN_ID!A153="","",IFERROR(INDEX(Mercados!$C$2:$C$32,MATCH(Suiza_DE_CN_ID!B153,Mercados!$A$2:$A$32,0)),"Revisar Tscode"))</f>
        <v/>
      </c>
      <c r="B803" s="1" t="str">
        <f aca="false">IF(Suiza_DE_CN_ID!A153="","",Suiza_DE_CN_ID!A153)</f>
        <v/>
      </c>
      <c r="C803" s="1" t="str">
        <f aca="false">IF(Suiza_DE_CN_ID!A153="","",Suiza_DE_CN_ID!C153)</f>
        <v/>
      </c>
      <c r="D803" s="1" t="str">
        <f aca="false">IF(Suiza_DE_CN_ID!A153="","",Suiza_DE_CN_ID!D153)</f>
        <v/>
      </c>
      <c r="E803" s="1" t="str">
        <f aca="false">IF(Suiza_DE_CN_ID!A153="","",Suiza_DE_CN_ID!E153)</f>
        <v/>
      </c>
      <c r="F803" s="1" t="str">
        <f aca="false">IF(Suiza_DE_CN_ID!A153="","",Suiza_DE_CN_ID!G153)</f>
        <v/>
      </c>
      <c r="I803" s="1" t="str">
        <f aca="false">IF(Suiza_DE_CN_ID!A153="","",Suiza_DE_CN_ID!H153)</f>
        <v/>
      </c>
      <c r="J803" s="1" t="str">
        <f aca="false">IF(Suiza_DE_CN_ID!A153="","",Suiza_DE_CN_ID!I153)</f>
        <v/>
      </c>
      <c r="K803" s="1" t="str">
        <f aca="false">IF(Suiza_DE_CN_ID!A153="","",UPPER(Suiza_DE_CN_ID!J153))</f>
        <v/>
      </c>
      <c r="L803" s="1" t="str">
        <f aca="false">IF(Suiza_DE_CN_ID!A153="","",IFERROR(INDEX(Gamma_Catalogo!$D$3:$D$1451,MATCH(Suiza_DE_CN_ID!D153,Gamma_Catalogo!$A$3:$A$1451,0)),"Revisar Ip Code"))</f>
        <v/>
      </c>
      <c r="M803" s="1" t="str">
        <f aca="false">IF(Suiza_DE_CN_ID!A153="","",IFERROR(INDEX(Gamma_Catalogo!$C$3:$C$1451,MATCH(Suiza_DE_CN_ID!D153,Gamma_Catalogo!$A$3:$A$1451,0)),"Revisar Ip Code"))</f>
        <v/>
      </c>
      <c r="N803" s="1" t="str">
        <f aca="false">IF(Suiza_DE_CN_ID!A153="","",IFERROR(INDEX(Gamma_Catalogo!$E$3:$E$1451,MATCH(Suiza_DE_CN_ID!D153,Gamma_Catalogo!$A$3:$A$1451,0)),"Revisar Ip Code"))</f>
        <v/>
      </c>
      <c r="O803" s="1" t="str">
        <f aca="false">IF(Suiza_DE_CN_ID!A153="","","Suiza")</f>
        <v/>
      </c>
    </row>
    <row r="804" customFormat="false" ht="15" hidden="false" customHeight="true" outlineLevel="0" collapsed="false">
      <c r="A804" s="1" t="str">
        <f aca="false">IF(Suiza_DE_CN_ID!A154="","",IFERROR(INDEX(Mercados!$C$2:$C$32,MATCH(Suiza_DE_CN_ID!B154,Mercados!$A$2:$A$32,0)),"Revisar Tscode"))</f>
        <v/>
      </c>
      <c r="B804" s="1" t="str">
        <f aca="false">IF(Suiza_DE_CN_ID!A154="","",Suiza_DE_CN_ID!A154)</f>
        <v/>
      </c>
      <c r="C804" s="1" t="str">
        <f aca="false">IF(Suiza_DE_CN_ID!A154="","",Suiza_DE_CN_ID!C154)</f>
        <v/>
      </c>
      <c r="D804" s="1" t="str">
        <f aca="false">IF(Suiza_DE_CN_ID!A154="","",Suiza_DE_CN_ID!D154)</f>
        <v/>
      </c>
      <c r="E804" s="1" t="str">
        <f aca="false">IF(Suiza_DE_CN_ID!A154="","",Suiza_DE_CN_ID!E154)</f>
        <v/>
      </c>
      <c r="F804" s="1" t="str">
        <f aca="false">IF(Suiza_DE_CN_ID!A154="","",Suiza_DE_CN_ID!G154)</f>
        <v/>
      </c>
      <c r="I804" s="1" t="str">
        <f aca="false">IF(Suiza_DE_CN_ID!A154="","",Suiza_DE_CN_ID!H154)</f>
        <v/>
      </c>
      <c r="J804" s="1" t="str">
        <f aca="false">IF(Suiza_DE_CN_ID!A154="","",Suiza_DE_CN_ID!I154)</f>
        <v/>
      </c>
      <c r="K804" s="1" t="str">
        <f aca="false">IF(Suiza_DE_CN_ID!A154="","",UPPER(Suiza_DE_CN_ID!J154))</f>
        <v/>
      </c>
      <c r="L804" s="1" t="str">
        <f aca="false">IF(Suiza_DE_CN_ID!A154="","",IFERROR(INDEX(Gamma_Catalogo!$D$3:$D$1451,MATCH(Suiza_DE_CN_ID!D154,Gamma_Catalogo!$A$3:$A$1451,0)),"Revisar Ip Code"))</f>
        <v/>
      </c>
      <c r="M804" s="1" t="str">
        <f aca="false">IF(Suiza_DE_CN_ID!A154="","",IFERROR(INDEX(Gamma_Catalogo!$C$3:$C$1451,MATCH(Suiza_DE_CN_ID!D154,Gamma_Catalogo!$A$3:$A$1451,0)),"Revisar Ip Code"))</f>
        <v/>
      </c>
      <c r="N804" s="1" t="str">
        <f aca="false">IF(Suiza_DE_CN_ID!A154="","",IFERROR(INDEX(Gamma_Catalogo!$E$3:$E$1451,MATCH(Suiza_DE_CN_ID!D154,Gamma_Catalogo!$A$3:$A$1451,0)),"Revisar Ip Code"))</f>
        <v/>
      </c>
      <c r="O804" s="1" t="str">
        <f aca="false">IF(Suiza_DE_CN_ID!A154="","","Suiza")</f>
        <v/>
      </c>
    </row>
    <row r="805" customFormat="false" ht="15" hidden="false" customHeight="true" outlineLevel="0" collapsed="false">
      <c r="A805" s="1" t="str">
        <f aca="false">IF(Suiza_DE_CN_ID!A155="","",IFERROR(INDEX(Mercados!$C$2:$C$32,MATCH(Suiza_DE_CN_ID!B155,Mercados!$A$2:$A$32,0)),"Revisar Tscode"))</f>
        <v/>
      </c>
      <c r="B805" s="1" t="str">
        <f aca="false">IF(Suiza_DE_CN_ID!A155="","",Suiza_DE_CN_ID!A155)</f>
        <v/>
      </c>
      <c r="C805" s="1" t="str">
        <f aca="false">IF(Suiza_DE_CN_ID!A155="","",Suiza_DE_CN_ID!C155)</f>
        <v/>
      </c>
      <c r="D805" s="1" t="str">
        <f aca="false">IF(Suiza_DE_CN_ID!A155="","",Suiza_DE_CN_ID!D155)</f>
        <v/>
      </c>
      <c r="E805" s="1" t="str">
        <f aca="false">IF(Suiza_DE_CN_ID!A155="","",Suiza_DE_CN_ID!E155)</f>
        <v/>
      </c>
      <c r="F805" s="1" t="str">
        <f aca="false">IF(Suiza_DE_CN_ID!A155="","",Suiza_DE_CN_ID!G155)</f>
        <v/>
      </c>
      <c r="I805" s="1" t="str">
        <f aca="false">IF(Suiza_DE_CN_ID!A155="","",Suiza_DE_CN_ID!H155)</f>
        <v/>
      </c>
      <c r="J805" s="1" t="str">
        <f aca="false">IF(Suiza_DE_CN_ID!A155="","",Suiza_DE_CN_ID!I155)</f>
        <v/>
      </c>
      <c r="K805" s="1" t="str">
        <f aca="false">IF(Suiza_DE_CN_ID!A155="","",UPPER(Suiza_DE_CN_ID!J155))</f>
        <v/>
      </c>
      <c r="L805" s="1" t="str">
        <f aca="false">IF(Suiza_DE_CN_ID!A155="","",IFERROR(INDEX(Gamma_Catalogo!$D$3:$D$1451,MATCH(Suiza_DE_CN_ID!D155,Gamma_Catalogo!$A$3:$A$1451,0)),"Revisar Ip Code"))</f>
        <v/>
      </c>
      <c r="M805" s="1" t="str">
        <f aca="false">IF(Suiza_DE_CN_ID!A155="","",IFERROR(INDEX(Gamma_Catalogo!$C$3:$C$1451,MATCH(Suiza_DE_CN_ID!D155,Gamma_Catalogo!$A$3:$A$1451,0)),"Revisar Ip Code"))</f>
        <v/>
      </c>
      <c r="N805" s="1" t="str">
        <f aca="false">IF(Suiza_DE_CN_ID!A155="","",IFERROR(INDEX(Gamma_Catalogo!$E$3:$E$1451,MATCH(Suiza_DE_CN_ID!D155,Gamma_Catalogo!$A$3:$A$1451,0)),"Revisar Ip Code"))</f>
        <v/>
      </c>
      <c r="O805" s="1" t="str">
        <f aca="false">IF(Suiza_DE_CN_ID!A155="","","Suiza")</f>
        <v/>
      </c>
    </row>
    <row r="806" customFormat="false" ht="15" hidden="false" customHeight="true" outlineLevel="0" collapsed="false">
      <c r="A806" s="1" t="str">
        <f aca="false">IF(Suiza_DE_CN_ID!A156="","",IFERROR(INDEX(Mercados!$C$2:$C$32,MATCH(Suiza_DE_CN_ID!B156,Mercados!$A$2:$A$32,0)),"Revisar Tscode"))</f>
        <v/>
      </c>
      <c r="B806" s="1" t="str">
        <f aca="false">IF(Suiza_DE_CN_ID!A156="","",Suiza_DE_CN_ID!A156)</f>
        <v/>
      </c>
      <c r="C806" s="1" t="str">
        <f aca="false">IF(Suiza_DE_CN_ID!A156="","",Suiza_DE_CN_ID!C156)</f>
        <v/>
      </c>
      <c r="D806" s="1" t="str">
        <f aca="false">IF(Suiza_DE_CN_ID!A156="","",Suiza_DE_CN_ID!D156)</f>
        <v/>
      </c>
      <c r="E806" s="1" t="str">
        <f aca="false">IF(Suiza_DE_CN_ID!A156="","",Suiza_DE_CN_ID!E156)</f>
        <v/>
      </c>
      <c r="F806" s="1" t="str">
        <f aca="false">IF(Suiza_DE_CN_ID!A156="","",Suiza_DE_CN_ID!G156)</f>
        <v/>
      </c>
      <c r="I806" s="1" t="str">
        <f aca="false">IF(Suiza_DE_CN_ID!A156="","",Suiza_DE_CN_ID!H156)</f>
        <v/>
      </c>
      <c r="J806" s="1" t="str">
        <f aca="false">IF(Suiza_DE_CN_ID!A156="","",Suiza_DE_CN_ID!I156)</f>
        <v/>
      </c>
      <c r="K806" s="1" t="str">
        <f aca="false">IF(Suiza_DE_CN_ID!A156="","",UPPER(Suiza_DE_CN_ID!J156))</f>
        <v/>
      </c>
      <c r="L806" s="1" t="str">
        <f aca="false">IF(Suiza_DE_CN_ID!A156="","",IFERROR(INDEX(Gamma_Catalogo!$D$3:$D$1451,MATCH(Suiza_DE_CN_ID!D156,Gamma_Catalogo!$A$3:$A$1451,0)),"Revisar Ip Code"))</f>
        <v/>
      </c>
      <c r="M806" s="1" t="str">
        <f aca="false">IF(Suiza_DE_CN_ID!A156="","",IFERROR(INDEX(Gamma_Catalogo!$C$3:$C$1451,MATCH(Suiza_DE_CN_ID!D156,Gamma_Catalogo!$A$3:$A$1451,0)),"Revisar Ip Code"))</f>
        <v/>
      </c>
      <c r="N806" s="1" t="str">
        <f aca="false">IF(Suiza_DE_CN_ID!A156="","",IFERROR(INDEX(Gamma_Catalogo!$E$3:$E$1451,MATCH(Suiza_DE_CN_ID!D156,Gamma_Catalogo!$A$3:$A$1451,0)),"Revisar Ip Code"))</f>
        <v/>
      </c>
      <c r="O806" s="1" t="str">
        <f aca="false">IF(Suiza_DE_CN_ID!A156="","","Suiza")</f>
        <v/>
      </c>
    </row>
    <row r="807" customFormat="false" ht="15" hidden="false" customHeight="true" outlineLevel="0" collapsed="false">
      <c r="A807" s="1" t="str">
        <f aca="false">IF(Suiza_DE_CN_ID!A157="","",IFERROR(INDEX(Mercados!$C$2:$C$32,MATCH(Suiza_DE_CN_ID!B157,Mercados!$A$2:$A$32,0)),"Revisar Tscode"))</f>
        <v/>
      </c>
      <c r="B807" s="1" t="str">
        <f aca="false">IF(Suiza_DE_CN_ID!A157="","",Suiza_DE_CN_ID!A157)</f>
        <v/>
      </c>
      <c r="C807" s="1" t="str">
        <f aca="false">IF(Suiza_DE_CN_ID!A157="","",Suiza_DE_CN_ID!C157)</f>
        <v/>
      </c>
      <c r="D807" s="1" t="str">
        <f aca="false">IF(Suiza_DE_CN_ID!A157="","",Suiza_DE_CN_ID!D157)</f>
        <v/>
      </c>
      <c r="E807" s="1" t="str">
        <f aca="false">IF(Suiza_DE_CN_ID!A157="","",Suiza_DE_CN_ID!E157)</f>
        <v/>
      </c>
      <c r="F807" s="1" t="str">
        <f aca="false">IF(Suiza_DE_CN_ID!A157="","",Suiza_DE_CN_ID!G157)</f>
        <v/>
      </c>
      <c r="I807" s="1" t="str">
        <f aca="false">IF(Suiza_DE_CN_ID!A157="","",Suiza_DE_CN_ID!H157)</f>
        <v/>
      </c>
      <c r="J807" s="1" t="str">
        <f aca="false">IF(Suiza_DE_CN_ID!A157="","",Suiza_DE_CN_ID!I157)</f>
        <v/>
      </c>
      <c r="K807" s="1" t="str">
        <f aca="false">IF(Suiza_DE_CN_ID!A157="","",UPPER(Suiza_DE_CN_ID!J157))</f>
        <v/>
      </c>
      <c r="L807" s="1" t="str">
        <f aca="false">IF(Suiza_DE_CN_ID!A157="","",IFERROR(INDEX(Gamma_Catalogo!$D$3:$D$1451,MATCH(Suiza_DE_CN_ID!D157,Gamma_Catalogo!$A$3:$A$1451,0)),"Revisar Ip Code"))</f>
        <v/>
      </c>
      <c r="M807" s="1" t="str">
        <f aca="false">IF(Suiza_DE_CN_ID!A157="","",IFERROR(INDEX(Gamma_Catalogo!$C$3:$C$1451,MATCH(Suiza_DE_CN_ID!D157,Gamma_Catalogo!$A$3:$A$1451,0)),"Revisar Ip Code"))</f>
        <v/>
      </c>
      <c r="N807" s="1" t="str">
        <f aca="false">IF(Suiza_DE_CN_ID!A157="","",IFERROR(INDEX(Gamma_Catalogo!$E$3:$E$1451,MATCH(Suiza_DE_CN_ID!D157,Gamma_Catalogo!$A$3:$A$1451,0)),"Revisar Ip Code"))</f>
        <v/>
      </c>
      <c r="O807" s="1" t="str">
        <f aca="false">IF(Suiza_DE_CN_ID!A157="","","Suiza")</f>
        <v/>
      </c>
    </row>
    <row r="808" customFormat="false" ht="15" hidden="false" customHeight="true" outlineLevel="0" collapsed="false">
      <c r="A808" s="1" t="str">
        <f aca="false">IF(Suiza_DE_CN_ID!A158="","",IFERROR(INDEX(Mercados!$C$2:$C$32,MATCH(Suiza_DE_CN_ID!B158,Mercados!$A$2:$A$32,0)),"Revisar Tscode"))</f>
        <v/>
      </c>
      <c r="B808" s="1" t="str">
        <f aca="false">IF(Suiza_DE_CN_ID!A158="","",Suiza_DE_CN_ID!A158)</f>
        <v/>
      </c>
      <c r="C808" s="1" t="str">
        <f aca="false">IF(Suiza_DE_CN_ID!A158="","",Suiza_DE_CN_ID!C158)</f>
        <v/>
      </c>
      <c r="D808" s="1" t="str">
        <f aca="false">IF(Suiza_DE_CN_ID!A158="","",Suiza_DE_CN_ID!D158)</f>
        <v/>
      </c>
      <c r="E808" s="1" t="str">
        <f aca="false">IF(Suiza_DE_CN_ID!A158="","",Suiza_DE_CN_ID!E158)</f>
        <v/>
      </c>
      <c r="F808" s="1" t="str">
        <f aca="false">IF(Suiza_DE_CN_ID!A158="","",Suiza_DE_CN_ID!G158)</f>
        <v/>
      </c>
      <c r="I808" s="1" t="str">
        <f aca="false">IF(Suiza_DE_CN_ID!A158="","",Suiza_DE_CN_ID!H158)</f>
        <v/>
      </c>
      <c r="J808" s="1" t="str">
        <f aca="false">IF(Suiza_DE_CN_ID!A158="","",Suiza_DE_CN_ID!I158)</f>
        <v/>
      </c>
      <c r="K808" s="1" t="str">
        <f aca="false">IF(Suiza_DE_CN_ID!A158="","",UPPER(Suiza_DE_CN_ID!J158))</f>
        <v/>
      </c>
      <c r="L808" s="1" t="str">
        <f aca="false">IF(Suiza_DE_CN_ID!A158="","",IFERROR(INDEX(Gamma_Catalogo!$D$3:$D$1451,MATCH(Suiza_DE_CN_ID!D158,Gamma_Catalogo!$A$3:$A$1451,0)),"Revisar Ip Code"))</f>
        <v/>
      </c>
      <c r="M808" s="1" t="str">
        <f aca="false">IF(Suiza_DE_CN_ID!A158="","",IFERROR(INDEX(Gamma_Catalogo!$C$3:$C$1451,MATCH(Suiza_DE_CN_ID!D158,Gamma_Catalogo!$A$3:$A$1451,0)),"Revisar Ip Code"))</f>
        <v/>
      </c>
      <c r="N808" s="1" t="str">
        <f aca="false">IF(Suiza_DE_CN_ID!A158="","",IFERROR(INDEX(Gamma_Catalogo!$E$3:$E$1451,MATCH(Suiza_DE_CN_ID!D158,Gamma_Catalogo!$A$3:$A$1451,0)),"Revisar Ip Code"))</f>
        <v/>
      </c>
      <c r="O808" s="1" t="str">
        <f aca="false">IF(Suiza_DE_CN_ID!A158="","","Suiza")</f>
        <v/>
      </c>
    </row>
    <row r="809" customFormat="false" ht="15" hidden="false" customHeight="true" outlineLevel="0" collapsed="false">
      <c r="A809" s="1" t="str">
        <f aca="false">IF(Suiza_DE_CN_ID!A159="","",IFERROR(INDEX(Mercados!$C$2:$C$32,MATCH(Suiza_DE_CN_ID!B159,Mercados!$A$2:$A$32,0)),"Revisar Tscode"))</f>
        <v/>
      </c>
      <c r="B809" s="1" t="str">
        <f aca="false">IF(Suiza_DE_CN_ID!A159="","",Suiza_DE_CN_ID!A159)</f>
        <v/>
      </c>
      <c r="C809" s="1" t="str">
        <f aca="false">IF(Suiza_DE_CN_ID!A159="","",Suiza_DE_CN_ID!C159)</f>
        <v/>
      </c>
      <c r="D809" s="1" t="str">
        <f aca="false">IF(Suiza_DE_CN_ID!A159="","",Suiza_DE_CN_ID!D159)</f>
        <v/>
      </c>
      <c r="E809" s="1" t="str">
        <f aca="false">IF(Suiza_DE_CN_ID!A159="","",Suiza_DE_CN_ID!E159)</f>
        <v/>
      </c>
      <c r="F809" s="1" t="str">
        <f aca="false">IF(Suiza_DE_CN_ID!A159="","",Suiza_DE_CN_ID!G159)</f>
        <v/>
      </c>
      <c r="I809" s="1" t="str">
        <f aca="false">IF(Suiza_DE_CN_ID!A159="","",Suiza_DE_CN_ID!H159)</f>
        <v/>
      </c>
      <c r="J809" s="1" t="str">
        <f aca="false">IF(Suiza_DE_CN_ID!A159="","",Suiza_DE_CN_ID!I159)</f>
        <v/>
      </c>
      <c r="K809" s="1" t="str">
        <f aca="false">IF(Suiza_DE_CN_ID!A159="","",UPPER(Suiza_DE_CN_ID!J159))</f>
        <v/>
      </c>
      <c r="L809" s="1" t="str">
        <f aca="false">IF(Suiza_DE_CN_ID!A159="","",IFERROR(INDEX(Gamma_Catalogo!$D$3:$D$1451,MATCH(Suiza_DE_CN_ID!D159,Gamma_Catalogo!$A$3:$A$1451,0)),"Revisar Ip Code"))</f>
        <v/>
      </c>
      <c r="M809" s="1" t="str">
        <f aca="false">IF(Suiza_DE_CN_ID!A159="","",IFERROR(INDEX(Gamma_Catalogo!$C$3:$C$1451,MATCH(Suiza_DE_CN_ID!D159,Gamma_Catalogo!$A$3:$A$1451,0)),"Revisar Ip Code"))</f>
        <v/>
      </c>
      <c r="N809" s="1" t="str">
        <f aca="false">IF(Suiza_DE_CN_ID!A159="","",IFERROR(INDEX(Gamma_Catalogo!$E$3:$E$1451,MATCH(Suiza_DE_CN_ID!D159,Gamma_Catalogo!$A$3:$A$1451,0)),"Revisar Ip Code"))</f>
        <v/>
      </c>
      <c r="O809" s="1" t="str">
        <f aca="false">IF(Suiza_DE_CN_ID!A159="","","Suiza")</f>
        <v/>
      </c>
    </row>
    <row r="810" customFormat="false" ht="15" hidden="false" customHeight="true" outlineLevel="0" collapsed="false">
      <c r="A810" s="1" t="str">
        <f aca="false">IF(Suiza_DE_CN_ID!A160="","",IFERROR(INDEX(Mercados!$C$2:$C$32,MATCH(Suiza_DE_CN_ID!B160,Mercados!$A$2:$A$32,0)),"Revisar Tscode"))</f>
        <v/>
      </c>
      <c r="B810" s="1" t="str">
        <f aca="false">IF(Suiza_DE_CN_ID!A160="","",Suiza_DE_CN_ID!A160)</f>
        <v/>
      </c>
      <c r="C810" s="1" t="str">
        <f aca="false">IF(Suiza_DE_CN_ID!A160="","",Suiza_DE_CN_ID!C160)</f>
        <v/>
      </c>
      <c r="D810" s="1" t="str">
        <f aca="false">IF(Suiza_DE_CN_ID!A160="","",Suiza_DE_CN_ID!D160)</f>
        <v/>
      </c>
      <c r="E810" s="1" t="str">
        <f aca="false">IF(Suiza_DE_CN_ID!A160="","",Suiza_DE_CN_ID!E160)</f>
        <v/>
      </c>
      <c r="F810" s="1" t="str">
        <f aca="false">IF(Suiza_DE_CN_ID!A160="","",Suiza_DE_CN_ID!G160)</f>
        <v/>
      </c>
      <c r="I810" s="1" t="str">
        <f aca="false">IF(Suiza_DE_CN_ID!A160="","",Suiza_DE_CN_ID!H160)</f>
        <v/>
      </c>
      <c r="J810" s="1" t="str">
        <f aca="false">IF(Suiza_DE_CN_ID!A160="","",Suiza_DE_CN_ID!I160)</f>
        <v/>
      </c>
      <c r="K810" s="1" t="str">
        <f aca="false">IF(Suiza_DE_CN_ID!A160="","",UPPER(Suiza_DE_CN_ID!J160))</f>
        <v/>
      </c>
      <c r="L810" s="1" t="str">
        <f aca="false">IF(Suiza_DE_CN_ID!A160="","",IFERROR(INDEX(Gamma_Catalogo!$D$3:$D$1451,MATCH(Suiza_DE_CN_ID!D160,Gamma_Catalogo!$A$3:$A$1451,0)),"Revisar Ip Code"))</f>
        <v/>
      </c>
      <c r="M810" s="1" t="str">
        <f aca="false">IF(Suiza_DE_CN_ID!A160="","",IFERROR(INDEX(Gamma_Catalogo!$C$3:$C$1451,MATCH(Suiza_DE_CN_ID!D160,Gamma_Catalogo!$A$3:$A$1451,0)),"Revisar Ip Code"))</f>
        <v/>
      </c>
      <c r="N810" s="1" t="str">
        <f aca="false">IF(Suiza_DE_CN_ID!A160="","",IFERROR(INDEX(Gamma_Catalogo!$E$3:$E$1451,MATCH(Suiza_DE_CN_ID!D160,Gamma_Catalogo!$A$3:$A$1451,0)),"Revisar Ip Code"))</f>
        <v/>
      </c>
      <c r="O810" s="1" t="str">
        <f aca="false">IF(Suiza_DE_CN_ID!A160="","","Suiza")</f>
        <v/>
      </c>
    </row>
    <row r="811" customFormat="false" ht="15" hidden="false" customHeight="true" outlineLevel="0" collapsed="false">
      <c r="A811" s="1" t="str">
        <f aca="false">IF(Suiza_DE_CN_ID!A161="","",IFERROR(INDEX(Mercados!$C$2:$C$32,MATCH(Suiza_DE_CN_ID!B161,Mercados!$A$2:$A$32,0)),"Revisar Tscode"))</f>
        <v/>
      </c>
      <c r="B811" s="1" t="str">
        <f aca="false">IF(Suiza_DE_CN_ID!A161="","",Suiza_DE_CN_ID!A161)</f>
        <v/>
      </c>
      <c r="C811" s="1" t="str">
        <f aca="false">IF(Suiza_DE_CN_ID!A161="","",Suiza_DE_CN_ID!C161)</f>
        <v/>
      </c>
      <c r="D811" s="1" t="str">
        <f aca="false">IF(Suiza_DE_CN_ID!A161="","",Suiza_DE_CN_ID!D161)</f>
        <v/>
      </c>
      <c r="E811" s="1" t="str">
        <f aca="false">IF(Suiza_DE_CN_ID!A161="","",Suiza_DE_CN_ID!E161)</f>
        <v/>
      </c>
      <c r="F811" s="1" t="str">
        <f aca="false">IF(Suiza_DE_CN_ID!A161="","",Suiza_DE_CN_ID!G161)</f>
        <v/>
      </c>
      <c r="I811" s="1" t="str">
        <f aca="false">IF(Suiza_DE_CN_ID!A161="","",Suiza_DE_CN_ID!H161)</f>
        <v/>
      </c>
      <c r="J811" s="1" t="str">
        <f aca="false">IF(Suiza_DE_CN_ID!A161="","",Suiza_DE_CN_ID!I161)</f>
        <v/>
      </c>
      <c r="K811" s="1" t="str">
        <f aca="false">IF(Suiza_DE_CN_ID!A161="","",UPPER(Suiza_DE_CN_ID!J161))</f>
        <v/>
      </c>
      <c r="L811" s="1" t="str">
        <f aca="false">IF(Suiza_DE_CN_ID!A161="","",IFERROR(INDEX(Gamma_Catalogo!$D$3:$D$1451,MATCH(Suiza_DE_CN_ID!D161,Gamma_Catalogo!$A$3:$A$1451,0)),"Revisar Ip Code"))</f>
        <v/>
      </c>
      <c r="M811" s="1" t="str">
        <f aca="false">IF(Suiza_DE_CN_ID!A161="","",IFERROR(INDEX(Gamma_Catalogo!$C$3:$C$1451,MATCH(Suiza_DE_CN_ID!D161,Gamma_Catalogo!$A$3:$A$1451,0)),"Revisar Ip Code"))</f>
        <v/>
      </c>
      <c r="N811" s="1" t="str">
        <f aca="false">IF(Suiza_DE_CN_ID!A161="","",IFERROR(INDEX(Gamma_Catalogo!$E$3:$E$1451,MATCH(Suiza_DE_CN_ID!D161,Gamma_Catalogo!$A$3:$A$1451,0)),"Revisar Ip Code"))</f>
        <v/>
      </c>
      <c r="O811" s="1" t="str">
        <f aca="false">IF(Suiza_DE_CN_ID!A161="","","Suiza")</f>
        <v/>
      </c>
    </row>
    <row r="812" customFormat="false" ht="15" hidden="false" customHeight="true" outlineLevel="0" collapsed="false">
      <c r="A812" s="1" t="str">
        <f aca="false">IF(Suiza_DE_CN_ID!A162="","",IFERROR(INDEX(Mercados!$C$2:$C$32,MATCH(Suiza_DE_CN_ID!B162,Mercados!$A$2:$A$32,0)),"Revisar Tscode"))</f>
        <v/>
      </c>
      <c r="B812" s="1" t="str">
        <f aca="false">IF(Suiza_DE_CN_ID!A162="","",Suiza_DE_CN_ID!A162)</f>
        <v/>
      </c>
      <c r="C812" s="1" t="str">
        <f aca="false">IF(Suiza_DE_CN_ID!A162="","",Suiza_DE_CN_ID!C162)</f>
        <v/>
      </c>
      <c r="D812" s="1" t="str">
        <f aca="false">IF(Suiza_DE_CN_ID!A162="","",Suiza_DE_CN_ID!D162)</f>
        <v/>
      </c>
      <c r="E812" s="1" t="str">
        <f aca="false">IF(Suiza_DE_CN_ID!A162="","",Suiza_DE_CN_ID!E162)</f>
        <v/>
      </c>
      <c r="F812" s="1" t="str">
        <f aca="false">IF(Suiza_DE_CN_ID!A162="","",Suiza_DE_CN_ID!G162)</f>
        <v/>
      </c>
      <c r="I812" s="1" t="str">
        <f aca="false">IF(Suiza_DE_CN_ID!A162="","",Suiza_DE_CN_ID!H162)</f>
        <v/>
      </c>
      <c r="J812" s="1" t="str">
        <f aca="false">IF(Suiza_DE_CN_ID!A162="","",Suiza_DE_CN_ID!I162)</f>
        <v/>
      </c>
      <c r="K812" s="1" t="str">
        <f aca="false">IF(Suiza_DE_CN_ID!A162="","",UPPER(Suiza_DE_CN_ID!J162))</f>
        <v/>
      </c>
      <c r="L812" s="1" t="str">
        <f aca="false">IF(Suiza_DE_CN_ID!A162="","",IFERROR(INDEX(Gamma_Catalogo!$D$3:$D$1451,MATCH(Suiza_DE_CN_ID!D162,Gamma_Catalogo!$A$3:$A$1451,0)),"Revisar Ip Code"))</f>
        <v/>
      </c>
      <c r="M812" s="1" t="str">
        <f aca="false">IF(Suiza_DE_CN_ID!A162="","",IFERROR(INDEX(Gamma_Catalogo!$C$3:$C$1451,MATCH(Suiza_DE_CN_ID!D162,Gamma_Catalogo!$A$3:$A$1451,0)),"Revisar Ip Code"))</f>
        <v/>
      </c>
      <c r="N812" s="1" t="str">
        <f aca="false">IF(Suiza_DE_CN_ID!A162="","",IFERROR(INDEX(Gamma_Catalogo!$E$3:$E$1451,MATCH(Suiza_DE_CN_ID!D162,Gamma_Catalogo!$A$3:$A$1451,0)),"Revisar Ip Code"))</f>
        <v/>
      </c>
      <c r="O812" s="1" t="str">
        <f aca="false">IF(Suiza_DE_CN_ID!A162="","","Suiza")</f>
        <v/>
      </c>
    </row>
    <row r="813" customFormat="false" ht="15" hidden="false" customHeight="true" outlineLevel="0" collapsed="false">
      <c r="A813" s="1" t="str">
        <f aca="false">IF(Suiza_DE_CN_ID!A163="","",IFERROR(INDEX(Mercados!$C$2:$C$32,MATCH(Suiza_DE_CN_ID!B163,Mercados!$A$2:$A$32,0)),"Revisar Tscode"))</f>
        <v/>
      </c>
      <c r="B813" s="1" t="str">
        <f aca="false">IF(Suiza_DE_CN_ID!A163="","",Suiza_DE_CN_ID!A163)</f>
        <v/>
      </c>
      <c r="C813" s="1" t="str">
        <f aca="false">IF(Suiza_DE_CN_ID!A163="","",Suiza_DE_CN_ID!C163)</f>
        <v/>
      </c>
      <c r="D813" s="1" t="str">
        <f aca="false">IF(Suiza_DE_CN_ID!A163="","",Suiza_DE_CN_ID!D163)</f>
        <v/>
      </c>
      <c r="E813" s="1" t="str">
        <f aca="false">IF(Suiza_DE_CN_ID!A163="","",Suiza_DE_CN_ID!E163)</f>
        <v/>
      </c>
      <c r="F813" s="1" t="str">
        <f aca="false">IF(Suiza_DE_CN_ID!A163="","",Suiza_DE_CN_ID!G163)</f>
        <v/>
      </c>
      <c r="I813" s="1" t="str">
        <f aca="false">IF(Suiza_DE_CN_ID!A163="","",Suiza_DE_CN_ID!H163)</f>
        <v/>
      </c>
      <c r="J813" s="1" t="str">
        <f aca="false">IF(Suiza_DE_CN_ID!A163="","",Suiza_DE_CN_ID!I163)</f>
        <v/>
      </c>
      <c r="K813" s="1" t="str">
        <f aca="false">IF(Suiza_DE_CN_ID!A163="","",UPPER(Suiza_DE_CN_ID!J163))</f>
        <v/>
      </c>
      <c r="L813" s="1" t="str">
        <f aca="false">IF(Suiza_DE_CN_ID!A163="","",IFERROR(INDEX(Gamma_Catalogo!$D$3:$D$1451,MATCH(Suiza_DE_CN_ID!D163,Gamma_Catalogo!$A$3:$A$1451,0)),"Revisar Ip Code"))</f>
        <v/>
      </c>
      <c r="M813" s="1" t="str">
        <f aca="false">IF(Suiza_DE_CN_ID!A163="","",IFERROR(INDEX(Gamma_Catalogo!$C$3:$C$1451,MATCH(Suiza_DE_CN_ID!D163,Gamma_Catalogo!$A$3:$A$1451,0)),"Revisar Ip Code"))</f>
        <v/>
      </c>
      <c r="N813" s="1" t="str">
        <f aca="false">IF(Suiza_DE_CN_ID!A163="","",IFERROR(INDEX(Gamma_Catalogo!$E$3:$E$1451,MATCH(Suiza_DE_CN_ID!D163,Gamma_Catalogo!$A$3:$A$1451,0)),"Revisar Ip Code"))</f>
        <v/>
      </c>
      <c r="O813" s="1" t="str">
        <f aca="false">IF(Suiza_DE_CN_ID!A163="","","Suiza")</f>
        <v/>
      </c>
    </row>
    <row r="814" customFormat="false" ht="15" hidden="false" customHeight="true" outlineLevel="0" collapsed="false">
      <c r="A814" s="1" t="str">
        <f aca="false">IF(Suiza_DE_CN_ID!A164="","",IFERROR(INDEX(Mercados!$C$2:$C$32,MATCH(Suiza_DE_CN_ID!B164,Mercados!$A$2:$A$32,0)),"Revisar Tscode"))</f>
        <v/>
      </c>
      <c r="B814" s="1" t="str">
        <f aca="false">IF(Suiza_DE_CN_ID!A164="","",Suiza_DE_CN_ID!A164)</f>
        <v/>
      </c>
      <c r="C814" s="1" t="str">
        <f aca="false">IF(Suiza_DE_CN_ID!A164="","",Suiza_DE_CN_ID!C164)</f>
        <v/>
      </c>
      <c r="D814" s="1" t="str">
        <f aca="false">IF(Suiza_DE_CN_ID!A164="","",Suiza_DE_CN_ID!D164)</f>
        <v/>
      </c>
      <c r="E814" s="1" t="str">
        <f aca="false">IF(Suiza_DE_CN_ID!A164="","",Suiza_DE_CN_ID!E164)</f>
        <v/>
      </c>
      <c r="F814" s="1" t="str">
        <f aca="false">IF(Suiza_DE_CN_ID!A164="","",Suiza_DE_CN_ID!G164)</f>
        <v/>
      </c>
      <c r="I814" s="1" t="str">
        <f aca="false">IF(Suiza_DE_CN_ID!A164="","",Suiza_DE_CN_ID!H164)</f>
        <v/>
      </c>
      <c r="J814" s="1" t="str">
        <f aca="false">IF(Suiza_DE_CN_ID!A164="","",Suiza_DE_CN_ID!I164)</f>
        <v/>
      </c>
      <c r="K814" s="1" t="str">
        <f aca="false">IF(Suiza_DE_CN_ID!A164="","",UPPER(Suiza_DE_CN_ID!J164))</f>
        <v/>
      </c>
      <c r="L814" s="1" t="str">
        <f aca="false">IF(Suiza_DE_CN_ID!A164="","",IFERROR(INDEX(Gamma_Catalogo!$D$3:$D$1451,MATCH(Suiza_DE_CN_ID!D164,Gamma_Catalogo!$A$3:$A$1451,0)),"Revisar Ip Code"))</f>
        <v/>
      </c>
      <c r="M814" s="1" t="str">
        <f aca="false">IF(Suiza_DE_CN_ID!A164="","",IFERROR(INDEX(Gamma_Catalogo!$C$3:$C$1451,MATCH(Suiza_DE_CN_ID!D164,Gamma_Catalogo!$A$3:$A$1451,0)),"Revisar Ip Code"))</f>
        <v/>
      </c>
      <c r="N814" s="1" t="str">
        <f aca="false">IF(Suiza_DE_CN_ID!A164="","",IFERROR(INDEX(Gamma_Catalogo!$E$3:$E$1451,MATCH(Suiza_DE_CN_ID!D164,Gamma_Catalogo!$A$3:$A$1451,0)),"Revisar Ip Code"))</f>
        <v/>
      </c>
      <c r="O814" s="1" t="str">
        <f aca="false">IF(Suiza_DE_CN_ID!A164="","","Suiza")</f>
        <v/>
      </c>
    </row>
    <row r="815" customFormat="false" ht="15" hidden="false" customHeight="true" outlineLevel="0" collapsed="false">
      <c r="A815" s="1" t="str">
        <f aca="false">IF(Suiza_DE_CN_ID!A165="","",IFERROR(INDEX(Mercados!$C$2:$C$32,MATCH(Suiza_DE_CN_ID!B165,Mercados!$A$2:$A$32,0)),"Revisar Tscode"))</f>
        <v/>
      </c>
      <c r="B815" s="1" t="str">
        <f aca="false">IF(Suiza_DE_CN_ID!A165="","",Suiza_DE_CN_ID!A165)</f>
        <v/>
      </c>
      <c r="C815" s="1" t="str">
        <f aca="false">IF(Suiza_DE_CN_ID!A165="","",Suiza_DE_CN_ID!C165)</f>
        <v/>
      </c>
      <c r="D815" s="1" t="str">
        <f aca="false">IF(Suiza_DE_CN_ID!A165="","",Suiza_DE_CN_ID!D165)</f>
        <v/>
      </c>
      <c r="E815" s="1" t="str">
        <f aca="false">IF(Suiza_DE_CN_ID!A165="","",Suiza_DE_CN_ID!E165)</f>
        <v/>
      </c>
      <c r="F815" s="1" t="str">
        <f aca="false">IF(Suiza_DE_CN_ID!A165="","",Suiza_DE_CN_ID!G165)</f>
        <v/>
      </c>
      <c r="I815" s="1" t="str">
        <f aca="false">IF(Suiza_DE_CN_ID!A165="","",Suiza_DE_CN_ID!H165)</f>
        <v/>
      </c>
      <c r="J815" s="1" t="str">
        <f aca="false">IF(Suiza_DE_CN_ID!A165="","",Suiza_DE_CN_ID!I165)</f>
        <v/>
      </c>
      <c r="K815" s="1" t="str">
        <f aca="false">IF(Suiza_DE_CN_ID!A165="","",UPPER(Suiza_DE_CN_ID!J165))</f>
        <v/>
      </c>
      <c r="L815" s="1" t="str">
        <f aca="false">IF(Suiza_DE_CN_ID!A165="","",IFERROR(INDEX(Gamma_Catalogo!$D$3:$D$1451,MATCH(Suiza_DE_CN_ID!D165,Gamma_Catalogo!$A$3:$A$1451,0)),"Revisar Ip Code"))</f>
        <v/>
      </c>
      <c r="M815" s="1" t="str">
        <f aca="false">IF(Suiza_DE_CN_ID!A165="","",IFERROR(INDEX(Gamma_Catalogo!$C$3:$C$1451,MATCH(Suiza_DE_CN_ID!D165,Gamma_Catalogo!$A$3:$A$1451,0)),"Revisar Ip Code"))</f>
        <v/>
      </c>
      <c r="N815" s="1" t="str">
        <f aca="false">IF(Suiza_DE_CN_ID!A165="","",IFERROR(INDEX(Gamma_Catalogo!$E$3:$E$1451,MATCH(Suiza_DE_CN_ID!D165,Gamma_Catalogo!$A$3:$A$1451,0)),"Revisar Ip Code"))</f>
        <v/>
      </c>
      <c r="O815" s="1" t="str">
        <f aca="false">IF(Suiza_DE_CN_ID!A165="","","Suiza")</f>
        <v/>
      </c>
    </row>
    <row r="816" customFormat="false" ht="15" hidden="false" customHeight="true" outlineLevel="0" collapsed="false">
      <c r="A816" s="1" t="str">
        <f aca="false">IF(Suiza_DE_CN_ID!A166="","",IFERROR(INDEX(Mercados!$C$2:$C$32,MATCH(Suiza_DE_CN_ID!B166,Mercados!$A$2:$A$32,0)),"Revisar Tscode"))</f>
        <v/>
      </c>
      <c r="B816" s="1" t="str">
        <f aca="false">IF(Suiza_DE_CN_ID!A166="","",Suiza_DE_CN_ID!A166)</f>
        <v/>
      </c>
      <c r="C816" s="1" t="str">
        <f aca="false">IF(Suiza_DE_CN_ID!A166="","",Suiza_DE_CN_ID!C166)</f>
        <v/>
      </c>
      <c r="D816" s="1" t="str">
        <f aca="false">IF(Suiza_DE_CN_ID!A166="","",Suiza_DE_CN_ID!D166)</f>
        <v/>
      </c>
      <c r="E816" s="1" t="str">
        <f aca="false">IF(Suiza_DE_CN_ID!A166="","",Suiza_DE_CN_ID!E166)</f>
        <v/>
      </c>
      <c r="F816" s="1" t="str">
        <f aca="false">IF(Suiza_DE_CN_ID!A166="","",Suiza_DE_CN_ID!G166)</f>
        <v/>
      </c>
      <c r="I816" s="1" t="str">
        <f aca="false">IF(Suiza_DE_CN_ID!A166="","",Suiza_DE_CN_ID!H166)</f>
        <v/>
      </c>
      <c r="J816" s="1" t="str">
        <f aca="false">IF(Suiza_DE_CN_ID!A166="","",Suiza_DE_CN_ID!I166)</f>
        <v/>
      </c>
      <c r="K816" s="1" t="str">
        <f aca="false">IF(Suiza_DE_CN_ID!A166="","",UPPER(Suiza_DE_CN_ID!J166))</f>
        <v/>
      </c>
      <c r="L816" s="1" t="str">
        <f aca="false">IF(Suiza_DE_CN_ID!A166="","",IFERROR(INDEX(Gamma_Catalogo!$D$3:$D$1451,MATCH(Suiza_DE_CN_ID!D166,Gamma_Catalogo!$A$3:$A$1451,0)),"Revisar Ip Code"))</f>
        <v/>
      </c>
      <c r="M816" s="1" t="str">
        <f aca="false">IF(Suiza_DE_CN_ID!A166="","",IFERROR(INDEX(Gamma_Catalogo!$C$3:$C$1451,MATCH(Suiza_DE_CN_ID!D166,Gamma_Catalogo!$A$3:$A$1451,0)),"Revisar Ip Code"))</f>
        <v/>
      </c>
      <c r="N816" s="1" t="str">
        <f aca="false">IF(Suiza_DE_CN_ID!A166="","",IFERROR(INDEX(Gamma_Catalogo!$E$3:$E$1451,MATCH(Suiza_DE_CN_ID!D166,Gamma_Catalogo!$A$3:$A$1451,0)),"Revisar Ip Code"))</f>
        <v/>
      </c>
      <c r="O816" s="1" t="str">
        <f aca="false">IF(Suiza_DE_CN_ID!A166="","","Suiza")</f>
        <v/>
      </c>
    </row>
    <row r="817" customFormat="false" ht="15" hidden="false" customHeight="true" outlineLevel="0" collapsed="false">
      <c r="A817" s="1" t="str">
        <f aca="false">IF(Suiza_DE_CN_ID!A167="","",IFERROR(INDEX(Mercados!$C$2:$C$32,MATCH(Suiza_DE_CN_ID!B167,Mercados!$A$2:$A$32,0)),"Revisar Tscode"))</f>
        <v/>
      </c>
      <c r="B817" s="1" t="str">
        <f aca="false">IF(Suiza_DE_CN_ID!A167="","",Suiza_DE_CN_ID!A167)</f>
        <v/>
      </c>
      <c r="C817" s="1" t="str">
        <f aca="false">IF(Suiza_DE_CN_ID!A167="","",Suiza_DE_CN_ID!C167)</f>
        <v/>
      </c>
      <c r="D817" s="1" t="str">
        <f aca="false">IF(Suiza_DE_CN_ID!A167="","",Suiza_DE_CN_ID!D167)</f>
        <v/>
      </c>
      <c r="E817" s="1" t="str">
        <f aca="false">IF(Suiza_DE_CN_ID!A167="","",Suiza_DE_CN_ID!E167)</f>
        <v/>
      </c>
      <c r="F817" s="1" t="str">
        <f aca="false">IF(Suiza_DE_CN_ID!A167="","",Suiza_DE_CN_ID!G167)</f>
        <v/>
      </c>
      <c r="I817" s="1" t="str">
        <f aca="false">IF(Suiza_DE_CN_ID!A167="","",Suiza_DE_CN_ID!H167)</f>
        <v/>
      </c>
      <c r="J817" s="1" t="str">
        <f aca="false">IF(Suiza_DE_CN_ID!A167="","",Suiza_DE_CN_ID!I167)</f>
        <v/>
      </c>
      <c r="K817" s="1" t="str">
        <f aca="false">IF(Suiza_DE_CN_ID!A167="","",UPPER(Suiza_DE_CN_ID!J167))</f>
        <v/>
      </c>
      <c r="L817" s="1" t="str">
        <f aca="false">IF(Suiza_DE_CN_ID!A167="","",IFERROR(INDEX(Gamma_Catalogo!$D$3:$D$1451,MATCH(Suiza_DE_CN_ID!D167,Gamma_Catalogo!$A$3:$A$1451,0)),"Revisar Ip Code"))</f>
        <v/>
      </c>
      <c r="M817" s="1" t="str">
        <f aca="false">IF(Suiza_DE_CN_ID!A167="","",IFERROR(INDEX(Gamma_Catalogo!$C$3:$C$1451,MATCH(Suiza_DE_CN_ID!D167,Gamma_Catalogo!$A$3:$A$1451,0)),"Revisar Ip Code"))</f>
        <v/>
      </c>
      <c r="N817" s="1" t="str">
        <f aca="false">IF(Suiza_DE_CN_ID!A167="","",IFERROR(INDEX(Gamma_Catalogo!$E$3:$E$1451,MATCH(Suiza_DE_CN_ID!D167,Gamma_Catalogo!$A$3:$A$1451,0)),"Revisar Ip Code"))</f>
        <v/>
      </c>
      <c r="O817" s="1" t="str">
        <f aca="false">IF(Suiza_DE_CN_ID!A167="","","Suiza")</f>
        <v/>
      </c>
    </row>
    <row r="818" customFormat="false" ht="15" hidden="false" customHeight="true" outlineLevel="0" collapsed="false">
      <c r="A818" s="1" t="str">
        <f aca="false">IF(Suiza_DE_CN_ID!A168="","",IFERROR(INDEX(Mercados!$C$2:$C$32,MATCH(Suiza_DE_CN_ID!B168,Mercados!$A$2:$A$32,0)),"Revisar Tscode"))</f>
        <v/>
      </c>
      <c r="B818" s="1" t="str">
        <f aca="false">IF(Suiza_DE_CN_ID!A168="","",Suiza_DE_CN_ID!A168)</f>
        <v/>
      </c>
      <c r="C818" s="1" t="str">
        <f aca="false">IF(Suiza_DE_CN_ID!A168="","",Suiza_DE_CN_ID!C168)</f>
        <v/>
      </c>
      <c r="D818" s="1" t="str">
        <f aca="false">IF(Suiza_DE_CN_ID!A168="","",Suiza_DE_CN_ID!D168)</f>
        <v/>
      </c>
      <c r="E818" s="1" t="str">
        <f aca="false">IF(Suiza_DE_CN_ID!A168="","",Suiza_DE_CN_ID!E168)</f>
        <v/>
      </c>
      <c r="F818" s="1" t="str">
        <f aca="false">IF(Suiza_DE_CN_ID!A168="","",Suiza_DE_CN_ID!G168)</f>
        <v/>
      </c>
      <c r="I818" s="1" t="str">
        <f aca="false">IF(Suiza_DE_CN_ID!A168="","",Suiza_DE_CN_ID!H168)</f>
        <v/>
      </c>
      <c r="J818" s="1" t="str">
        <f aca="false">IF(Suiza_DE_CN_ID!A168="","",Suiza_DE_CN_ID!I168)</f>
        <v/>
      </c>
      <c r="K818" s="1" t="str">
        <f aca="false">IF(Suiza_DE_CN_ID!A168="","",UPPER(Suiza_DE_CN_ID!J168))</f>
        <v/>
      </c>
      <c r="L818" s="1" t="str">
        <f aca="false">IF(Suiza_DE_CN_ID!A168="","",IFERROR(INDEX(Gamma_Catalogo!$D$3:$D$1451,MATCH(Suiza_DE_CN_ID!D168,Gamma_Catalogo!$A$3:$A$1451,0)),"Revisar Ip Code"))</f>
        <v/>
      </c>
      <c r="M818" s="1" t="str">
        <f aca="false">IF(Suiza_DE_CN_ID!A168="","",IFERROR(INDEX(Gamma_Catalogo!$C$3:$C$1451,MATCH(Suiza_DE_CN_ID!D168,Gamma_Catalogo!$A$3:$A$1451,0)),"Revisar Ip Code"))</f>
        <v/>
      </c>
      <c r="N818" s="1" t="str">
        <f aca="false">IF(Suiza_DE_CN_ID!A168="","",IFERROR(INDEX(Gamma_Catalogo!$E$3:$E$1451,MATCH(Suiza_DE_CN_ID!D168,Gamma_Catalogo!$A$3:$A$1451,0)),"Revisar Ip Code"))</f>
        <v/>
      </c>
      <c r="O818" s="1" t="str">
        <f aca="false">IF(Suiza_DE_CN_ID!A168="","","Suiza")</f>
        <v/>
      </c>
    </row>
    <row r="819" customFormat="false" ht="15" hidden="false" customHeight="true" outlineLevel="0" collapsed="false">
      <c r="A819" s="1" t="str">
        <f aca="false">IF(Suiza_DE_CN_ID!A169="","",IFERROR(INDEX(Mercados!$C$2:$C$32,MATCH(Suiza_DE_CN_ID!B169,Mercados!$A$2:$A$32,0)),"Revisar Tscode"))</f>
        <v/>
      </c>
      <c r="B819" s="1" t="str">
        <f aca="false">IF(Suiza_DE_CN_ID!A169="","",Suiza_DE_CN_ID!A169)</f>
        <v/>
      </c>
      <c r="C819" s="1" t="str">
        <f aca="false">IF(Suiza_DE_CN_ID!A169="","",Suiza_DE_CN_ID!C169)</f>
        <v/>
      </c>
      <c r="D819" s="1" t="str">
        <f aca="false">IF(Suiza_DE_CN_ID!A169="","",Suiza_DE_CN_ID!D169)</f>
        <v/>
      </c>
      <c r="E819" s="1" t="str">
        <f aca="false">IF(Suiza_DE_CN_ID!A169="","",Suiza_DE_CN_ID!E169)</f>
        <v/>
      </c>
      <c r="F819" s="1" t="str">
        <f aca="false">IF(Suiza_DE_CN_ID!A169="","",Suiza_DE_CN_ID!G169)</f>
        <v/>
      </c>
      <c r="I819" s="1" t="str">
        <f aca="false">IF(Suiza_DE_CN_ID!A169="","",Suiza_DE_CN_ID!H169)</f>
        <v/>
      </c>
      <c r="J819" s="1" t="str">
        <f aca="false">IF(Suiza_DE_CN_ID!A169="","",Suiza_DE_CN_ID!I169)</f>
        <v/>
      </c>
      <c r="K819" s="1" t="str">
        <f aca="false">IF(Suiza_DE_CN_ID!A169="","",UPPER(Suiza_DE_CN_ID!J169))</f>
        <v/>
      </c>
      <c r="L819" s="1" t="str">
        <f aca="false">IF(Suiza_DE_CN_ID!A169="","",IFERROR(INDEX(Gamma_Catalogo!$D$3:$D$1451,MATCH(Suiza_DE_CN_ID!D169,Gamma_Catalogo!$A$3:$A$1451,0)),"Revisar Ip Code"))</f>
        <v/>
      </c>
      <c r="M819" s="1" t="str">
        <f aca="false">IF(Suiza_DE_CN_ID!A169="","",IFERROR(INDEX(Gamma_Catalogo!$C$3:$C$1451,MATCH(Suiza_DE_CN_ID!D169,Gamma_Catalogo!$A$3:$A$1451,0)),"Revisar Ip Code"))</f>
        <v/>
      </c>
      <c r="N819" s="1" t="str">
        <f aca="false">IF(Suiza_DE_CN_ID!A169="","",IFERROR(INDEX(Gamma_Catalogo!$E$3:$E$1451,MATCH(Suiza_DE_CN_ID!D169,Gamma_Catalogo!$A$3:$A$1451,0)),"Revisar Ip Code"))</f>
        <v/>
      </c>
      <c r="O819" s="1" t="str">
        <f aca="false">IF(Suiza_DE_CN_ID!A169="","","Suiza")</f>
        <v/>
      </c>
    </row>
    <row r="820" customFormat="false" ht="15" hidden="false" customHeight="true" outlineLevel="0" collapsed="false">
      <c r="A820" s="1" t="str">
        <f aca="false">IF(Suiza_DE_CN_ID!A170="","",IFERROR(INDEX(Mercados!$C$2:$C$32,MATCH(Suiza_DE_CN_ID!B170,Mercados!$A$2:$A$32,0)),"Revisar Tscode"))</f>
        <v/>
      </c>
      <c r="B820" s="1" t="str">
        <f aca="false">IF(Suiza_DE_CN_ID!A170="","",Suiza_DE_CN_ID!A170)</f>
        <v/>
      </c>
      <c r="C820" s="1" t="str">
        <f aca="false">IF(Suiza_DE_CN_ID!A170="","",Suiza_DE_CN_ID!C170)</f>
        <v/>
      </c>
      <c r="D820" s="1" t="str">
        <f aca="false">IF(Suiza_DE_CN_ID!A170="","",Suiza_DE_CN_ID!D170)</f>
        <v/>
      </c>
      <c r="E820" s="1" t="str">
        <f aca="false">IF(Suiza_DE_CN_ID!A170="","",Suiza_DE_CN_ID!E170)</f>
        <v/>
      </c>
      <c r="F820" s="1" t="str">
        <f aca="false">IF(Suiza_DE_CN_ID!A170="","",Suiza_DE_CN_ID!G170)</f>
        <v/>
      </c>
      <c r="I820" s="1" t="str">
        <f aca="false">IF(Suiza_DE_CN_ID!A170="","",Suiza_DE_CN_ID!H170)</f>
        <v/>
      </c>
      <c r="J820" s="1" t="str">
        <f aca="false">IF(Suiza_DE_CN_ID!A170="","",Suiza_DE_CN_ID!I170)</f>
        <v/>
      </c>
      <c r="K820" s="1" t="str">
        <f aca="false">IF(Suiza_DE_CN_ID!A170="","",UPPER(Suiza_DE_CN_ID!J170))</f>
        <v/>
      </c>
      <c r="L820" s="1" t="str">
        <f aca="false">IF(Suiza_DE_CN_ID!A170="","",IFERROR(INDEX(Gamma_Catalogo!$D$3:$D$1451,MATCH(Suiza_DE_CN_ID!D170,Gamma_Catalogo!$A$3:$A$1451,0)),"Revisar Ip Code"))</f>
        <v/>
      </c>
      <c r="M820" s="1" t="str">
        <f aca="false">IF(Suiza_DE_CN_ID!A170="","",IFERROR(INDEX(Gamma_Catalogo!$C$3:$C$1451,MATCH(Suiza_DE_CN_ID!D170,Gamma_Catalogo!$A$3:$A$1451,0)),"Revisar Ip Code"))</f>
        <v/>
      </c>
      <c r="N820" s="1" t="str">
        <f aca="false">IF(Suiza_DE_CN_ID!A170="","",IFERROR(INDEX(Gamma_Catalogo!$E$3:$E$1451,MATCH(Suiza_DE_CN_ID!D170,Gamma_Catalogo!$A$3:$A$1451,0)),"Revisar Ip Code"))</f>
        <v/>
      </c>
      <c r="O820" s="1" t="str">
        <f aca="false">IF(Suiza_DE_CN_ID!A170="","","Suiza")</f>
        <v/>
      </c>
    </row>
    <row r="821" customFormat="false" ht="15" hidden="false" customHeight="true" outlineLevel="0" collapsed="false">
      <c r="A821" s="1" t="str">
        <f aca="false">IF(Suiza_DE_CN_ID!A171="","",IFERROR(INDEX(Mercados!$C$2:$C$32,MATCH(Suiza_DE_CN_ID!B171,Mercados!$A$2:$A$32,0)),"Revisar Tscode"))</f>
        <v/>
      </c>
      <c r="B821" s="1" t="str">
        <f aca="false">IF(Suiza_DE_CN_ID!A171="","",Suiza_DE_CN_ID!A171)</f>
        <v/>
      </c>
      <c r="C821" s="1" t="str">
        <f aca="false">IF(Suiza_DE_CN_ID!A171="","",Suiza_DE_CN_ID!C171)</f>
        <v/>
      </c>
      <c r="D821" s="1" t="str">
        <f aca="false">IF(Suiza_DE_CN_ID!A171="","",Suiza_DE_CN_ID!D171)</f>
        <v/>
      </c>
      <c r="E821" s="1" t="str">
        <f aca="false">IF(Suiza_DE_CN_ID!A171="","",Suiza_DE_CN_ID!E171)</f>
        <v/>
      </c>
      <c r="F821" s="1" t="str">
        <f aca="false">IF(Suiza_DE_CN_ID!A171="","",Suiza_DE_CN_ID!G171)</f>
        <v/>
      </c>
      <c r="I821" s="1" t="str">
        <f aca="false">IF(Suiza_DE_CN_ID!A171="","",Suiza_DE_CN_ID!H171)</f>
        <v/>
      </c>
      <c r="J821" s="1" t="str">
        <f aca="false">IF(Suiza_DE_CN_ID!A171="","",Suiza_DE_CN_ID!I171)</f>
        <v/>
      </c>
      <c r="K821" s="1" t="str">
        <f aca="false">IF(Suiza_DE_CN_ID!A171="","",UPPER(Suiza_DE_CN_ID!J171))</f>
        <v/>
      </c>
      <c r="L821" s="1" t="str">
        <f aca="false">IF(Suiza_DE_CN_ID!A171="","",IFERROR(INDEX(Gamma_Catalogo!$D$3:$D$1451,MATCH(Suiza_DE_CN_ID!D171,Gamma_Catalogo!$A$3:$A$1451,0)),"Revisar Ip Code"))</f>
        <v/>
      </c>
      <c r="M821" s="1" t="str">
        <f aca="false">IF(Suiza_DE_CN_ID!A171="","",IFERROR(INDEX(Gamma_Catalogo!$C$3:$C$1451,MATCH(Suiza_DE_CN_ID!D171,Gamma_Catalogo!$A$3:$A$1451,0)),"Revisar Ip Code"))</f>
        <v/>
      </c>
      <c r="N821" s="1" t="str">
        <f aca="false">IF(Suiza_DE_CN_ID!A171="","",IFERROR(INDEX(Gamma_Catalogo!$E$3:$E$1451,MATCH(Suiza_DE_CN_ID!D171,Gamma_Catalogo!$A$3:$A$1451,0)),"Revisar Ip Code"))</f>
        <v/>
      </c>
      <c r="O821" s="1" t="str">
        <f aca="false">IF(Suiza_DE_CN_ID!A171="","","Suiza")</f>
        <v/>
      </c>
    </row>
    <row r="822" customFormat="false" ht="15" hidden="false" customHeight="true" outlineLevel="0" collapsed="false">
      <c r="A822" s="1" t="str">
        <f aca="false">IF(Suiza_DE_CN_ID!A172="","",IFERROR(INDEX(Mercados!$C$2:$C$32,MATCH(Suiza_DE_CN_ID!B172,Mercados!$A$2:$A$32,0)),"Revisar Tscode"))</f>
        <v/>
      </c>
      <c r="B822" s="1" t="str">
        <f aca="false">IF(Suiza_DE_CN_ID!A172="","",Suiza_DE_CN_ID!A172)</f>
        <v/>
      </c>
      <c r="C822" s="1" t="str">
        <f aca="false">IF(Suiza_DE_CN_ID!A172="","",Suiza_DE_CN_ID!C172)</f>
        <v/>
      </c>
      <c r="D822" s="1" t="str">
        <f aca="false">IF(Suiza_DE_CN_ID!A172="","",Suiza_DE_CN_ID!D172)</f>
        <v/>
      </c>
      <c r="E822" s="1" t="str">
        <f aca="false">IF(Suiza_DE_CN_ID!A172="","",Suiza_DE_CN_ID!E172)</f>
        <v/>
      </c>
      <c r="F822" s="1" t="str">
        <f aca="false">IF(Suiza_DE_CN_ID!A172="","",Suiza_DE_CN_ID!G172)</f>
        <v/>
      </c>
      <c r="I822" s="1" t="str">
        <f aca="false">IF(Suiza_DE_CN_ID!A172="","",Suiza_DE_CN_ID!H172)</f>
        <v/>
      </c>
      <c r="J822" s="1" t="str">
        <f aca="false">IF(Suiza_DE_CN_ID!A172="","",Suiza_DE_CN_ID!I172)</f>
        <v/>
      </c>
      <c r="K822" s="1" t="str">
        <f aca="false">IF(Suiza_DE_CN_ID!A172="","",UPPER(Suiza_DE_CN_ID!J172))</f>
        <v/>
      </c>
      <c r="L822" s="1" t="str">
        <f aca="false">IF(Suiza_DE_CN_ID!A172="","",IFERROR(INDEX(Gamma_Catalogo!$D$3:$D$1451,MATCH(Suiza_DE_CN_ID!D172,Gamma_Catalogo!$A$3:$A$1451,0)),"Revisar Ip Code"))</f>
        <v/>
      </c>
      <c r="M822" s="1" t="str">
        <f aca="false">IF(Suiza_DE_CN_ID!A172="","",IFERROR(INDEX(Gamma_Catalogo!$C$3:$C$1451,MATCH(Suiza_DE_CN_ID!D172,Gamma_Catalogo!$A$3:$A$1451,0)),"Revisar Ip Code"))</f>
        <v/>
      </c>
      <c r="N822" s="1" t="str">
        <f aca="false">IF(Suiza_DE_CN_ID!A172="","",IFERROR(INDEX(Gamma_Catalogo!$E$3:$E$1451,MATCH(Suiza_DE_CN_ID!D172,Gamma_Catalogo!$A$3:$A$1451,0)),"Revisar Ip Code"))</f>
        <v/>
      </c>
      <c r="O822" s="1" t="str">
        <f aca="false">IF(Suiza_DE_CN_ID!A172="","","Suiza")</f>
        <v/>
      </c>
    </row>
    <row r="823" customFormat="false" ht="15" hidden="false" customHeight="true" outlineLevel="0" collapsed="false">
      <c r="A823" s="1" t="str">
        <f aca="false">IF(Suiza_DE_CN_ID!A173="","",IFERROR(INDEX(Mercados!$C$2:$C$32,MATCH(Suiza_DE_CN_ID!B173,Mercados!$A$2:$A$32,0)),"Revisar Tscode"))</f>
        <v/>
      </c>
      <c r="B823" s="1" t="str">
        <f aca="false">IF(Suiza_DE_CN_ID!A173="","",Suiza_DE_CN_ID!A173)</f>
        <v/>
      </c>
      <c r="C823" s="1" t="str">
        <f aca="false">IF(Suiza_DE_CN_ID!A173="","",Suiza_DE_CN_ID!C173)</f>
        <v/>
      </c>
      <c r="D823" s="1" t="str">
        <f aca="false">IF(Suiza_DE_CN_ID!A173="","",Suiza_DE_CN_ID!D173)</f>
        <v/>
      </c>
      <c r="E823" s="1" t="str">
        <f aca="false">IF(Suiza_DE_CN_ID!A173="","",Suiza_DE_CN_ID!E173)</f>
        <v/>
      </c>
      <c r="F823" s="1" t="str">
        <f aca="false">IF(Suiza_DE_CN_ID!A173="","",Suiza_DE_CN_ID!G173)</f>
        <v/>
      </c>
      <c r="I823" s="1" t="str">
        <f aca="false">IF(Suiza_DE_CN_ID!A173="","",Suiza_DE_CN_ID!H173)</f>
        <v/>
      </c>
      <c r="J823" s="1" t="str">
        <f aca="false">IF(Suiza_DE_CN_ID!A173="","",Suiza_DE_CN_ID!I173)</f>
        <v/>
      </c>
      <c r="K823" s="1" t="str">
        <f aca="false">IF(Suiza_DE_CN_ID!A173="","",UPPER(Suiza_DE_CN_ID!J173))</f>
        <v/>
      </c>
      <c r="L823" s="1" t="str">
        <f aca="false">IF(Suiza_DE_CN_ID!A173="","",IFERROR(INDEX(Gamma_Catalogo!$D$3:$D$1451,MATCH(Suiza_DE_CN_ID!D173,Gamma_Catalogo!$A$3:$A$1451,0)),"Revisar Ip Code"))</f>
        <v/>
      </c>
      <c r="M823" s="1" t="str">
        <f aca="false">IF(Suiza_DE_CN_ID!A173="","",IFERROR(INDEX(Gamma_Catalogo!$C$3:$C$1451,MATCH(Suiza_DE_CN_ID!D173,Gamma_Catalogo!$A$3:$A$1451,0)),"Revisar Ip Code"))</f>
        <v/>
      </c>
      <c r="N823" s="1" t="str">
        <f aca="false">IF(Suiza_DE_CN_ID!A173="","",IFERROR(INDEX(Gamma_Catalogo!$E$3:$E$1451,MATCH(Suiza_DE_CN_ID!D173,Gamma_Catalogo!$A$3:$A$1451,0)),"Revisar Ip Code"))</f>
        <v/>
      </c>
      <c r="O823" s="1" t="str">
        <f aca="false">IF(Suiza_DE_CN_ID!A173="","","Suiza")</f>
        <v/>
      </c>
    </row>
    <row r="824" customFormat="false" ht="15" hidden="false" customHeight="true" outlineLevel="0" collapsed="false">
      <c r="A824" s="1" t="str">
        <f aca="false">IF(Suiza_DE_CN_ID!A174="","",IFERROR(INDEX(Mercados!$C$2:$C$32,MATCH(Suiza_DE_CN_ID!B174,Mercados!$A$2:$A$32,0)),"Revisar Tscode"))</f>
        <v/>
      </c>
      <c r="B824" s="1" t="str">
        <f aca="false">IF(Suiza_DE_CN_ID!A174="","",Suiza_DE_CN_ID!A174)</f>
        <v/>
      </c>
      <c r="C824" s="1" t="str">
        <f aca="false">IF(Suiza_DE_CN_ID!A174="","",Suiza_DE_CN_ID!C174)</f>
        <v/>
      </c>
      <c r="D824" s="1" t="str">
        <f aca="false">IF(Suiza_DE_CN_ID!A174="","",Suiza_DE_CN_ID!D174)</f>
        <v/>
      </c>
      <c r="E824" s="1" t="str">
        <f aca="false">IF(Suiza_DE_CN_ID!A174="","",Suiza_DE_CN_ID!E174)</f>
        <v/>
      </c>
      <c r="F824" s="1" t="str">
        <f aca="false">IF(Suiza_DE_CN_ID!A174="","",Suiza_DE_CN_ID!G174)</f>
        <v/>
      </c>
      <c r="I824" s="1" t="str">
        <f aca="false">IF(Suiza_DE_CN_ID!A174="","",Suiza_DE_CN_ID!H174)</f>
        <v/>
      </c>
      <c r="J824" s="1" t="str">
        <f aca="false">IF(Suiza_DE_CN_ID!A174="","",Suiza_DE_CN_ID!I174)</f>
        <v/>
      </c>
      <c r="K824" s="1" t="str">
        <f aca="false">IF(Suiza_DE_CN_ID!A174="","",UPPER(Suiza_DE_CN_ID!J174))</f>
        <v/>
      </c>
      <c r="L824" s="1" t="str">
        <f aca="false">IF(Suiza_DE_CN_ID!A174="","",IFERROR(INDEX(Gamma_Catalogo!$D$3:$D$1451,MATCH(Suiza_DE_CN_ID!D174,Gamma_Catalogo!$A$3:$A$1451,0)),"Revisar Ip Code"))</f>
        <v/>
      </c>
      <c r="M824" s="1" t="str">
        <f aca="false">IF(Suiza_DE_CN_ID!A174="","",IFERROR(INDEX(Gamma_Catalogo!$C$3:$C$1451,MATCH(Suiza_DE_CN_ID!D174,Gamma_Catalogo!$A$3:$A$1451,0)),"Revisar Ip Code"))</f>
        <v/>
      </c>
      <c r="N824" s="1" t="str">
        <f aca="false">IF(Suiza_DE_CN_ID!A174="","",IFERROR(INDEX(Gamma_Catalogo!$E$3:$E$1451,MATCH(Suiza_DE_CN_ID!D174,Gamma_Catalogo!$A$3:$A$1451,0)),"Revisar Ip Code"))</f>
        <v/>
      </c>
      <c r="O824" s="1" t="str">
        <f aca="false">IF(Suiza_DE_CN_ID!A174="","","Suiza")</f>
        <v/>
      </c>
    </row>
    <row r="825" customFormat="false" ht="15" hidden="false" customHeight="true" outlineLevel="0" collapsed="false">
      <c r="A825" s="1" t="str">
        <f aca="false">IF(Suiza_DE_CN_ID!A175="","",IFERROR(INDEX(Mercados!$C$2:$C$32,MATCH(Suiza_DE_CN_ID!B175,Mercados!$A$2:$A$32,0)),"Revisar Tscode"))</f>
        <v/>
      </c>
      <c r="B825" s="1" t="str">
        <f aca="false">IF(Suiza_DE_CN_ID!A175="","",Suiza_DE_CN_ID!A175)</f>
        <v/>
      </c>
      <c r="C825" s="1" t="str">
        <f aca="false">IF(Suiza_DE_CN_ID!A175="","",Suiza_DE_CN_ID!C175)</f>
        <v/>
      </c>
      <c r="D825" s="1" t="str">
        <f aca="false">IF(Suiza_DE_CN_ID!A175="","",Suiza_DE_CN_ID!D175)</f>
        <v/>
      </c>
      <c r="E825" s="1" t="str">
        <f aca="false">IF(Suiza_DE_CN_ID!A175="","",Suiza_DE_CN_ID!E175)</f>
        <v/>
      </c>
      <c r="F825" s="1" t="str">
        <f aca="false">IF(Suiza_DE_CN_ID!A175="","",Suiza_DE_CN_ID!G175)</f>
        <v/>
      </c>
      <c r="I825" s="1" t="str">
        <f aca="false">IF(Suiza_DE_CN_ID!A175="","",Suiza_DE_CN_ID!H175)</f>
        <v/>
      </c>
      <c r="J825" s="1" t="str">
        <f aca="false">IF(Suiza_DE_CN_ID!A175="","",Suiza_DE_CN_ID!I175)</f>
        <v/>
      </c>
      <c r="K825" s="1" t="str">
        <f aca="false">IF(Suiza_DE_CN_ID!A175="","",UPPER(Suiza_DE_CN_ID!J175))</f>
        <v/>
      </c>
      <c r="L825" s="1" t="str">
        <f aca="false">IF(Suiza_DE_CN_ID!A175="","",IFERROR(INDEX(Gamma_Catalogo!$D$3:$D$1451,MATCH(Suiza_DE_CN_ID!D175,Gamma_Catalogo!$A$3:$A$1451,0)),"Revisar Ip Code"))</f>
        <v/>
      </c>
      <c r="M825" s="1" t="str">
        <f aca="false">IF(Suiza_DE_CN_ID!A175="","",IFERROR(INDEX(Gamma_Catalogo!$C$3:$C$1451,MATCH(Suiza_DE_CN_ID!D175,Gamma_Catalogo!$A$3:$A$1451,0)),"Revisar Ip Code"))</f>
        <v/>
      </c>
      <c r="N825" s="1" t="str">
        <f aca="false">IF(Suiza_DE_CN_ID!A175="","",IFERROR(INDEX(Gamma_Catalogo!$E$3:$E$1451,MATCH(Suiza_DE_CN_ID!D175,Gamma_Catalogo!$A$3:$A$1451,0)),"Revisar Ip Code"))</f>
        <v/>
      </c>
      <c r="O825" s="1" t="str">
        <f aca="false">IF(Suiza_DE_CN_ID!A175="","","Suiza")</f>
        <v/>
      </c>
    </row>
    <row r="826" customFormat="false" ht="15" hidden="false" customHeight="true" outlineLevel="0" collapsed="false">
      <c r="A826" s="1" t="str">
        <f aca="false">IF(Suiza_DE_CN_ID!A176="","",IFERROR(INDEX(Mercados!$C$2:$C$32,MATCH(Suiza_DE_CN_ID!B176,Mercados!$A$2:$A$32,0)),"Revisar Tscode"))</f>
        <v/>
      </c>
      <c r="B826" s="1" t="str">
        <f aca="false">IF(Suiza_DE_CN_ID!A176="","",Suiza_DE_CN_ID!A176)</f>
        <v/>
      </c>
      <c r="C826" s="1" t="str">
        <f aca="false">IF(Suiza_DE_CN_ID!A176="","",Suiza_DE_CN_ID!C176)</f>
        <v/>
      </c>
      <c r="D826" s="1" t="str">
        <f aca="false">IF(Suiza_DE_CN_ID!A176="","",Suiza_DE_CN_ID!D176)</f>
        <v/>
      </c>
      <c r="E826" s="1" t="str">
        <f aca="false">IF(Suiza_DE_CN_ID!A176="","",Suiza_DE_CN_ID!E176)</f>
        <v/>
      </c>
      <c r="F826" s="1" t="str">
        <f aca="false">IF(Suiza_DE_CN_ID!A176="","",Suiza_DE_CN_ID!G176)</f>
        <v/>
      </c>
      <c r="I826" s="1" t="str">
        <f aca="false">IF(Suiza_DE_CN_ID!A176="","",Suiza_DE_CN_ID!H176)</f>
        <v/>
      </c>
      <c r="J826" s="1" t="str">
        <f aca="false">IF(Suiza_DE_CN_ID!A176="","",Suiza_DE_CN_ID!I176)</f>
        <v/>
      </c>
      <c r="K826" s="1" t="str">
        <f aca="false">IF(Suiza_DE_CN_ID!A176="","",UPPER(Suiza_DE_CN_ID!J176))</f>
        <v/>
      </c>
      <c r="L826" s="1" t="str">
        <f aca="false">IF(Suiza_DE_CN_ID!A176="","",IFERROR(INDEX(Gamma_Catalogo!$D$3:$D$1451,MATCH(Suiza_DE_CN_ID!D176,Gamma_Catalogo!$A$3:$A$1451,0)),"Revisar Ip Code"))</f>
        <v/>
      </c>
      <c r="M826" s="1" t="str">
        <f aca="false">IF(Suiza_DE_CN_ID!A176="","",IFERROR(INDEX(Gamma_Catalogo!$C$3:$C$1451,MATCH(Suiza_DE_CN_ID!D176,Gamma_Catalogo!$A$3:$A$1451,0)),"Revisar Ip Code"))</f>
        <v/>
      </c>
      <c r="N826" s="1" t="str">
        <f aca="false">IF(Suiza_DE_CN_ID!A176="","",IFERROR(INDEX(Gamma_Catalogo!$E$3:$E$1451,MATCH(Suiza_DE_CN_ID!D176,Gamma_Catalogo!$A$3:$A$1451,0)),"Revisar Ip Code"))</f>
        <v/>
      </c>
      <c r="O826" s="1" t="str">
        <f aca="false">IF(Suiza_DE_CN_ID!A176="","","Suiza")</f>
        <v/>
      </c>
    </row>
    <row r="827" customFormat="false" ht="15" hidden="false" customHeight="true" outlineLevel="0" collapsed="false">
      <c r="A827" s="1" t="str">
        <f aca="false">IF(Suiza_DE_CN_ID!A177="","",IFERROR(INDEX(Mercados!$C$2:$C$32,MATCH(Suiza_DE_CN_ID!B177,Mercados!$A$2:$A$32,0)),"Revisar Tscode"))</f>
        <v/>
      </c>
      <c r="B827" s="1" t="str">
        <f aca="false">IF(Suiza_DE_CN_ID!A177="","",Suiza_DE_CN_ID!A177)</f>
        <v/>
      </c>
      <c r="C827" s="1" t="str">
        <f aca="false">IF(Suiza_DE_CN_ID!A177="","",Suiza_DE_CN_ID!C177)</f>
        <v/>
      </c>
      <c r="D827" s="1" t="str">
        <f aca="false">IF(Suiza_DE_CN_ID!A177="","",Suiza_DE_CN_ID!D177)</f>
        <v/>
      </c>
      <c r="E827" s="1" t="str">
        <f aca="false">IF(Suiza_DE_CN_ID!A177="","",Suiza_DE_CN_ID!E177)</f>
        <v/>
      </c>
      <c r="F827" s="1" t="str">
        <f aca="false">IF(Suiza_DE_CN_ID!A177="","",Suiza_DE_CN_ID!G177)</f>
        <v/>
      </c>
      <c r="I827" s="1" t="str">
        <f aca="false">IF(Suiza_DE_CN_ID!A177="","",Suiza_DE_CN_ID!H177)</f>
        <v/>
      </c>
      <c r="J827" s="1" t="str">
        <f aca="false">IF(Suiza_DE_CN_ID!A177="","",Suiza_DE_CN_ID!I177)</f>
        <v/>
      </c>
      <c r="K827" s="1" t="str">
        <f aca="false">IF(Suiza_DE_CN_ID!A177="","",UPPER(Suiza_DE_CN_ID!J177))</f>
        <v/>
      </c>
      <c r="L827" s="1" t="str">
        <f aca="false">IF(Suiza_DE_CN_ID!A177="","",IFERROR(INDEX(Gamma_Catalogo!$D$3:$D$1451,MATCH(Suiza_DE_CN_ID!D177,Gamma_Catalogo!$A$3:$A$1451,0)),"Revisar Ip Code"))</f>
        <v/>
      </c>
      <c r="M827" s="1" t="str">
        <f aca="false">IF(Suiza_DE_CN_ID!A177="","",IFERROR(INDEX(Gamma_Catalogo!$C$3:$C$1451,MATCH(Suiza_DE_CN_ID!D177,Gamma_Catalogo!$A$3:$A$1451,0)),"Revisar Ip Code"))</f>
        <v/>
      </c>
      <c r="N827" s="1" t="str">
        <f aca="false">IF(Suiza_DE_CN_ID!A177="","",IFERROR(INDEX(Gamma_Catalogo!$E$3:$E$1451,MATCH(Suiza_DE_CN_ID!D177,Gamma_Catalogo!$A$3:$A$1451,0)),"Revisar Ip Code"))</f>
        <v/>
      </c>
      <c r="O827" s="1" t="str">
        <f aca="false">IF(Suiza_DE_CN_ID!A177="","","Suiza")</f>
        <v/>
      </c>
    </row>
    <row r="828" customFormat="false" ht="15" hidden="false" customHeight="true" outlineLevel="0" collapsed="false">
      <c r="A828" s="1" t="str">
        <f aca="false">IF(Suiza_DE_CN_ID!A178="","",IFERROR(INDEX(Mercados!$C$2:$C$32,MATCH(Suiza_DE_CN_ID!B178,Mercados!$A$2:$A$32,0)),"Revisar Tscode"))</f>
        <v/>
      </c>
      <c r="B828" s="1" t="str">
        <f aca="false">IF(Suiza_DE_CN_ID!A178="","",Suiza_DE_CN_ID!A178)</f>
        <v/>
      </c>
      <c r="C828" s="1" t="str">
        <f aca="false">IF(Suiza_DE_CN_ID!A178="","",Suiza_DE_CN_ID!C178)</f>
        <v/>
      </c>
      <c r="D828" s="1" t="str">
        <f aca="false">IF(Suiza_DE_CN_ID!A178="","",Suiza_DE_CN_ID!D178)</f>
        <v/>
      </c>
      <c r="E828" s="1" t="str">
        <f aca="false">IF(Suiza_DE_CN_ID!A178="","",Suiza_DE_CN_ID!E178)</f>
        <v/>
      </c>
      <c r="F828" s="1" t="str">
        <f aca="false">IF(Suiza_DE_CN_ID!A178="","",Suiza_DE_CN_ID!G178)</f>
        <v/>
      </c>
      <c r="I828" s="1" t="str">
        <f aca="false">IF(Suiza_DE_CN_ID!A178="","",Suiza_DE_CN_ID!H178)</f>
        <v/>
      </c>
      <c r="J828" s="1" t="str">
        <f aca="false">IF(Suiza_DE_CN_ID!A178="","",Suiza_DE_CN_ID!I178)</f>
        <v/>
      </c>
      <c r="K828" s="1" t="str">
        <f aca="false">IF(Suiza_DE_CN_ID!A178="","",UPPER(Suiza_DE_CN_ID!J178))</f>
        <v/>
      </c>
      <c r="L828" s="1" t="str">
        <f aca="false">IF(Suiza_DE_CN_ID!A178="","",IFERROR(INDEX(Gamma_Catalogo!$D$3:$D$1451,MATCH(Suiza_DE_CN_ID!D178,Gamma_Catalogo!$A$3:$A$1451,0)),"Revisar Ip Code"))</f>
        <v/>
      </c>
      <c r="M828" s="1" t="str">
        <f aca="false">IF(Suiza_DE_CN_ID!A178="","",IFERROR(INDEX(Gamma_Catalogo!$C$3:$C$1451,MATCH(Suiza_DE_CN_ID!D178,Gamma_Catalogo!$A$3:$A$1451,0)),"Revisar Ip Code"))</f>
        <v/>
      </c>
      <c r="N828" s="1" t="str">
        <f aca="false">IF(Suiza_DE_CN_ID!A178="","",IFERROR(INDEX(Gamma_Catalogo!$E$3:$E$1451,MATCH(Suiza_DE_CN_ID!D178,Gamma_Catalogo!$A$3:$A$1451,0)),"Revisar Ip Code"))</f>
        <v/>
      </c>
      <c r="O828" s="1" t="str">
        <f aca="false">IF(Suiza_DE_CN_ID!A178="","","Suiza")</f>
        <v/>
      </c>
    </row>
    <row r="829" customFormat="false" ht="15" hidden="false" customHeight="true" outlineLevel="0" collapsed="false">
      <c r="A829" s="1" t="str">
        <f aca="false">IF(Suiza_DE_CN_ID!A179="","",IFERROR(INDEX(Mercados!$C$2:$C$32,MATCH(Suiza_DE_CN_ID!B179,Mercados!$A$2:$A$32,0)),"Revisar Tscode"))</f>
        <v/>
      </c>
      <c r="B829" s="1" t="str">
        <f aca="false">IF(Suiza_DE_CN_ID!A179="","",Suiza_DE_CN_ID!A179)</f>
        <v/>
      </c>
      <c r="C829" s="1" t="str">
        <f aca="false">IF(Suiza_DE_CN_ID!A179="","",Suiza_DE_CN_ID!C179)</f>
        <v/>
      </c>
      <c r="D829" s="1" t="str">
        <f aca="false">IF(Suiza_DE_CN_ID!A179="","",Suiza_DE_CN_ID!D179)</f>
        <v/>
      </c>
      <c r="E829" s="1" t="str">
        <f aca="false">IF(Suiza_DE_CN_ID!A179="","",Suiza_DE_CN_ID!E179)</f>
        <v/>
      </c>
      <c r="F829" s="1" t="str">
        <f aca="false">IF(Suiza_DE_CN_ID!A179="","",Suiza_DE_CN_ID!G179)</f>
        <v/>
      </c>
      <c r="I829" s="1" t="str">
        <f aca="false">IF(Suiza_DE_CN_ID!A179="","",Suiza_DE_CN_ID!H179)</f>
        <v/>
      </c>
      <c r="J829" s="1" t="str">
        <f aca="false">IF(Suiza_DE_CN_ID!A179="","",Suiza_DE_CN_ID!I179)</f>
        <v/>
      </c>
      <c r="K829" s="1" t="str">
        <f aca="false">IF(Suiza_DE_CN_ID!A179="","",UPPER(Suiza_DE_CN_ID!J179))</f>
        <v/>
      </c>
      <c r="L829" s="1" t="str">
        <f aca="false">IF(Suiza_DE_CN_ID!A179="","",IFERROR(INDEX(Gamma_Catalogo!$D$3:$D$1451,MATCH(Suiza_DE_CN_ID!D179,Gamma_Catalogo!$A$3:$A$1451,0)),"Revisar Ip Code"))</f>
        <v/>
      </c>
      <c r="M829" s="1" t="str">
        <f aca="false">IF(Suiza_DE_CN_ID!A179="","",IFERROR(INDEX(Gamma_Catalogo!$C$3:$C$1451,MATCH(Suiza_DE_CN_ID!D179,Gamma_Catalogo!$A$3:$A$1451,0)),"Revisar Ip Code"))</f>
        <v/>
      </c>
      <c r="N829" s="1" t="str">
        <f aca="false">IF(Suiza_DE_CN_ID!A179="","",IFERROR(INDEX(Gamma_Catalogo!$E$3:$E$1451,MATCH(Suiza_DE_CN_ID!D179,Gamma_Catalogo!$A$3:$A$1451,0)),"Revisar Ip Code"))</f>
        <v/>
      </c>
      <c r="O829" s="1" t="str">
        <f aca="false">IF(Suiza_DE_CN_ID!A179="","","Suiza")</f>
        <v/>
      </c>
    </row>
    <row r="830" customFormat="false" ht="15" hidden="false" customHeight="true" outlineLevel="0" collapsed="false">
      <c r="A830" s="1" t="str">
        <f aca="false">IF(Suiza_DE_CN_ID!A180="","",IFERROR(INDEX(Mercados!$C$2:$C$32,MATCH(Suiza_DE_CN_ID!B180,Mercados!$A$2:$A$32,0)),"Revisar Tscode"))</f>
        <v/>
      </c>
      <c r="B830" s="1" t="str">
        <f aca="false">IF(Suiza_DE_CN_ID!A180="","",Suiza_DE_CN_ID!A180)</f>
        <v/>
      </c>
      <c r="C830" s="1" t="str">
        <f aca="false">IF(Suiza_DE_CN_ID!A180="","",Suiza_DE_CN_ID!C180)</f>
        <v/>
      </c>
      <c r="D830" s="1" t="str">
        <f aca="false">IF(Suiza_DE_CN_ID!A180="","",Suiza_DE_CN_ID!D180)</f>
        <v/>
      </c>
      <c r="E830" s="1" t="str">
        <f aca="false">IF(Suiza_DE_CN_ID!A180="","",Suiza_DE_CN_ID!E180)</f>
        <v/>
      </c>
      <c r="F830" s="1" t="str">
        <f aca="false">IF(Suiza_DE_CN_ID!A180="","",Suiza_DE_CN_ID!G180)</f>
        <v/>
      </c>
      <c r="I830" s="1" t="str">
        <f aca="false">IF(Suiza_DE_CN_ID!A180="","",Suiza_DE_CN_ID!H180)</f>
        <v/>
      </c>
      <c r="J830" s="1" t="str">
        <f aca="false">IF(Suiza_DE_CN_ID!A180="","",Suiza_DE_CN_ID!I180)</f>
        <v/>
      </c>
      <c r="K830" s="1" t="str">
        <f aca="false">IF(Suiza_DE_CN_ID!A180="","",UPPER(Suiza_DE_CN_ID!J180))</f>
        <v/>
      </c>
      <c r="L830" s="1" t="str">
        <f aca="false">IF(Suiza_DE_CN_ID!A180="","",IFERROR(INDEX(Gamma_Catalogo!$D$3:$D$1451,MATCH(Suiza_DE_CN_ID!D180,Gamma_Catalogo!$A$3:$A$1451,0)),"Revisar Ip Code"))</f>
        <v/>
      </c>
      <c r="M830" s="1" t="str">
        <f aca="false">IF(Suiza_DE_CN_ID!A180="","",IFERROR(INDEX(Gamma_Catalogo!$C$3:$C$1451,MATCH(Suiza_DE_CN_ID!D180,Gamma_Catalogo!$A$3:$A$1451,0)),"Revisar Ip Code"))</f>
        <v/>
      </c>
      <c r="N830" s="1" t="str">
        <f aca="false">IF(Suiza_DE_CN_ID!A180="","",IFERROR(INDEX(Gamma_Catalogo!$E$3:$E$1451,MATCH(Suiza_DE_CN_ID!D180,Gamma_Catalogo!$A$3:$A$1451,0)),"Revisar Ip Code"))</f>
        <v/>
      </c>
      <c r="O830" s="1" t="str">
        <f aca="false">IF(Suiza_DE_CN_ID!A180="","","Suiza")</f>
        <v/>
      </c>
    </row>
    <row r="831" customFormat="false" ht="15" hidden="false" customHeight="true" outlineLevel="0" collapsed="false">
      <c r="A831" s="1" t="str">
        <f aca="false">IF(Suiza_DE_CN_ID!A181="","",IFERROR(INDEX(Mercados!$C$2:$C$32,MATCH(Suiza_DE_CN_ID!B181,Mercados!$A$2:$A$32,0)),"Revisar Tscode"))</f>
        <v/>
      </c>
      <c r="B831" s="1" t="str">
        <f aca="false">IF(Suiza_DE_CN_ID!A181="","",Suiza_DE_CN_ID!A181)</f>
        <v/>
      </c>
      <c r="C831" s="1" t="str">
        <f aca="false">IF(Suiza_DE_CN_ID!A181="","",Suiza_DE_CN_ID!C181)</f>
        <v/>
      </c>
      <c r="D831" s="1" t="str">
        <f aca="false">IF(Suiza_DE_CN_ID!A181="","",Suiza_DE_CN_ID!D181)</f>
        <v/>
      </c>
      <c r="E831" s="1" t="str">
        <f aca="false">IF(Suiza_DE_CN_ID!A181="","",Suiza_DE_CN_ID!E181)</f>
        <v/>
      </c>
      <c r="F831" s="1" t="str">
        <f aca="false">IF(Suiza_DE_CN_ID!A181="","",Suiza_DE_CN_ID!G181)</f>
        <v/>
      </c>
      <c r="I831" s="1" t="str">
        <f aca="false">IF(Suiza_DE_CN_ID!A181="","",Suiza_DE_CN_ID!H181)</f>
        <v/>
      </c>
      <c r="J831" s="1" t="str">
        <f aca="false">IF(Suiza_DE_CN_ID!A181="","",Suiza_DE_CN_ID!I181)</f>
        <v/>
      </c>
      <c r="K831" s="1" t="str">
        <f aca="false">IF(Suiza_DE_CN_ID!A181="","",UPPER(Suiza_DE_CN_ID!J181))</f>
        <v/>
      </c>
      <c r="L831" s="1" t="str">
        <f aca="false">IF(Suiza_DE_CN_ID!A181="","",IFERROR(INDEX(Gamma_Catalogo!$D$3:$D$1451,MATCH(Suiza_DE_CN_ID!D181,Gamma_Catalogo!$A$3:$A$1451,0)),"Revisar Ip Code"))</f>
        <v/>
      </c>
      <c r="M831" s="1" t="str">
        <f aca="false">IF(Suiza_DE_CN_ID!A181="","",IFERROR(INDEX(Gamma_Catalogo!$C$3:$C$1451,MATCH(Suiza_DE_CN_ID!D181,Gamma_Catalogo!$A$3:$A$1451,0)),"Revisar Ip Code"))</f>
        <v/>
      </c>
      <c r="N831" s="1" t="str">
        <f aca="false">IF(Suiza_DE_CN_ID!A181="","",IFERROR(INDEX(Gamma_Catalogo!$E$3:$E$1451,MATCH(Suiza_DE_CN_ID!D181,Gamma_Catalogo!$A$3:$A$1451,0)),"Revisar Ip Code"))</f>
        <v/>
      </c>
      <c r="O831" s="1" t="str">
        <f aca="false">IF(Suiza_DE_CN_ID!A181="","","Suiza")</f>
        <v/>
      </c>
    </row>
    <row r="832" customFormat="false" ht="15" hidden="false" customHeight="true" outlineLevel="0" collapsed="false">
      <c r="A832" s="1" t="str">
        <f aca="false">IF(Suiza_DE_CN_ID!A182="","",IFERROR(INDEX(Mercados!$C$2:$C$32,MATCH(Suiza_DE_CN_ID!B182,Mercados!$A$2:$A$32,0)),"Revisar Tscode"))</f>
        <v/>
      </c>
      <c r="B832" s="1" t="str">
        <f aca="false">IF(Suiza_DE_CN_ID!A182="","",Suiza_DE_CN_ID!A182)</f>
        <v/>
      </c>
      <c r="C832" s="1" t="str">
        <f aca="false">IF(Suiza_DE_CN_ID!A182="","",Suiza_DE_CN_ID!C182)</f>
        <v/>
      </c>
      <c r="D832" s="1" t="str">
        <f aca="false">IF(Suiza_DE_CN_ID!A182="","",Suiza_DE_CN_ID!D182)</f>
        <v/>
      </c>
      <c r="E832" s="1" t="str">
        <f aca="false">IF(Suiza_DE_CN_ID!A182="","",Suiza_DE_CN_ID!E182)</f>
        <v/>
      </c>
      <c r="F832" s="1" t="str">
        <f aca="false">IF(Suiza_DE_CN_ID!A182="","",Suiza_DE_CN_ID!G182)</f>
        <v/>
      </c>
      <c r="I832" s="1" t="str">
        <f aca="false">IF(Suiza_DE_CN_ID!A182="","",Suiza_DE_CN_ID!H182)</f>
        <v/>
      </c>
      <c r="J832" s="1" t="str">
        <f aca="false">IF(Suiza_DE_CN_ID!A182="","",Suiza_DE_CN_ID!I182)</f>
        <v/>
      </c>
      <c r="K832" s="1" t="str">
        <f aca="false">IF(Suiza_DE_CN_ID!A182="","",UPPER(Suiza_DE_CN_ID!J182))</f>
        <v/>
      </c>
      <c r="L832" s="1" t="str">
        <f aca="false">IF(Suiza_DE_CN_ID!A182="","",IFERROR(INDEX(Gamma_Catalogo!$D$3:$D$1451,MATCH(Suiza_DE_CN_ID!D182,Gamma_Catalogo!$A$3:$A$1451,0)),"Revisar Ip Code"))</f>
        <v/>
      </c>
      <c r="M832" s="1" t="str">
        <f aca="false">IF(Suiza_DE_CN_ID!A182="","",IFERROR(INDEX(Gamma_Catalogo!$C$3:$C$1451,MATCH(Suiza_DE_CN_ID!D182,Gamma_Catalogo!$A$3:$A$1451,0)),"Revisar Ip Code"))</f>
        <v/>
      </c>
      <c r="N832" s="1" t="str">
        <f aca="false">IF(Suiza_DE_CN_ID!A182="","",IFERROR(INDEX(Gamma_Catalogo!$E$3:$E$1451,MATCH(Suiza_DE_CN_ID!D182,Gamma_Catalogo!$A$3:$A$1451,0)),"Revisar Ip Code"))</f>
        <v/>
      </c>
      <c r="O832" s="1" t="str">
        <f aca="false">IF(Suiza_DE_CN_ID!A182="","","Suiza")</f>
        <v/>
      </c>
    </row>
    <row r="833" customFormat="false" ht="15" hidden="false" customHeight="true" outlineLevel="0" collapsed="false">
      <c r="A833" s="1" t="str">
        <f aca="false">IF(Suiza_DE_CN_ID!A183="","",IFERROR(INDEX(Mercados!$C$2:$C$32,MATCH(Suiza_DE_CN_ID!B183,Mercados!$A$2:$A$32,0)),"Revisar Tscode"))</f>
        <v/>
      </c>
      <c r="B833" s="1" t="str">
        <f aca="false">IF(Suiza_DE_CN_ID!A183="","",Suiza_DE_CN_ID!A183)</f>
        <v/>
      </c>
      <c r="C833" s="1" t="str">
        <f aca="false">IF(Suiza_DE_CN_ID!A183="","",Suiza_DE_CN_ID!C183)</f>
        <v/>
      </c>
      <c r="D833" s="1" t="str">
        <f aca="false">IF(Suiza_DE_CN_ID!A183="","",Suiza_DE_CN_ID!D183)</f>
        <v/>
      </c>
      <c r="E833" s="1" t="str">
        <f aca="false">IF(Suiza_DE_CN_ID!A183="","",Suiza_DE_CN_ID!E183)</f>
        <v/>
      </c>
      <c r="F833" s="1" t="str">
        <f aca="false">IF(Suiza_DE_CN_ID!A183="","",Suiza_DE_CN_ID!G183)</f>
        <v/>
      </c>
      <c r="I833" s="1" t="str">
        <f aca="false">IF(Suiza_DE_CN_ID!A183="","",Suiza_DE_CN_ID!H183)</f>
        <v/>
      </c>
      <c r="J833" s="1" t="str">
        <f aca="false">IF(Suiza_DE_CN_ID!A183="","",Suiza_DE_CN_ID!I183)</f>
        <v/>
      </c>
      <c r="K833" s="1" t="str">
        <f aca="false">IF(Suiza_DE_CN_ID!A183="","",UPPER(Suiza_DE_CN_ID!J183))</f>
        <v/>
      </c>
      <c r="L833" s="1" t="str">
        <f aca="false">IF(Suiza_DE_CN_ID!A183="","",IFERROR(INDEX(Gamma_Catalogo!$D$3:$D$1451,MATCH(Suiza_DE_CN_ID!D183,Gamma_Catalogo!$A$3:$A$1451,0)),"Revisar Ip Code"))</f>
        <v/>
      </c>
      <c r="M833" s="1" t="str">
        <f aca="false">IF(Suiza_DE_CN_ID!A183="","",IFERROR(INDEX(Gamma_Catalogo!$C$3:$C$1451,MATCH(Suiza_DE_CN_ID!D183,Gamma_Catalogo!$A$3:$A$1451,0)),"Revisar Ip Code"))</f>
        <v/>
      </c>
      <c r="N833" s="1" t="str">
        <f aca="false">IF(Suiza_DE_CN_ID!A183="","",IFERROR(INDEX(Gamma_Catalogo!$E$3:$E$1451,MATCH(Suiza_DE_CN_ID!D183,Gamma_Catalogo!$A$3:$A$1451,0)),"Revisar Ip Code"))</f>
        <v/>
      </c>
      <c r="O833" s="1" t="str">
        <f aca="false">IF(Suiza_DE_CN_ID!A183="","","Suiza")</f>
        <v/>
      </c>
    </row>
    <row r="834" customFormat="false" ht="15" hidden="false" customHeight="true" outlineLevel="0" collapsed="false">
      <c r="A834" s="1" t="str">
        <f aca="false">IF(Suiza_DE_CN_ID!A184="","",IFERROR(INDEX(Mercados!$C$2:$C$32,MATCH(Suiza_DE_CN_ID!B184,Mercados!$A$2:$A$32,0)),"Revisar Tscode"))</f>
        <v/>
      </c>
      <c r="B834" s="1" t="str">
        <f aca="false">IF(Suiza_DE_CN_ID!A184="","",Suiza_DE_CN_ID!A184)</f>
        <v/>
      </c>
      <c r="C834" s="1" t="str">
        <f aca="false">IF(Suiza_DE_CN_ID!A184="","",Suiza_DE_CN_ID!C184)</f>
        <v/>
      </c>
      <c r="D834" s="1" t="str">
        <f aca="false">IF(Suiza_DE_CN_ID!A184="","",Suiza_DE_CN_ID!D184)</f>
        <v/>
      </c>
      <c r="E834" s="1" t="str">
        <f aca="false">IF(Suiza_DE_CN_ID!A184="","",Suiza_DE_CN_ID!E184)</f>
        <v/>
      </c>
      <c r="F834" s="1" t="str">
        <f aca="false">IF(Suiza_DE_CN_ID!A184="","",Suiza_DE_CN_ID!G184)</f>
        <v/>
      </c>
      <c r="I834" s="1" t="str">
        <f aca="false">IF(Suiza_DE_CN_ID!A184="","",Suiza_DE_CN_ID!H184)</f>
        <v/>
      </c>
      <c r="J834" s="1" t="str">
        <f aca="false">IF(Suiza_DE_CN_ID!A184="","",Suiza_DE_CN_ID!I184)</f>
        <v/>
      </c>
      <c r="K834" s="1" t="str">
        <f aca="false">IF(Suiza_DE_CN_ID!A184="","",UPPER(Suiza_DE_CN_ID!J184))</f>
        <v/>
      </c>
      <c r="L834" s="1" t="str">
        <f aca="false">IF(Suiza_DE_CN_ID!A184="","",IFERROR(INDEX(Gamma_Catalogo!$D$3:$D$1451,MATCH(Suiza_DE_CN_ID!D184,Gamma_Catalogo!$A$3:$A$1451,0)),"Revisar Ip Code"))</f>
        <v/>
      </c>
      <c r="M834" s="1" t="str">
        <f aca="false">IF(Suiza_DE_CN_ID!A184="","",IFERROR(INDEX(Gamma_Catalogo!$C$3:$C$1451,MATCH(Suiza_DE_CN_ID!D184,Gamma_Catalogo!$A$3:$A$1451,0)),"Revisar Ip Code"))</f>
        <v/>
      </c>
      <c r="N834" s="1" t="str">
        <f aca="false">IF(Suiza_DE_CN_ID!A184="","",IFERROR(INDEX(Gamma_Catalogo!$E$3:$E$1451,MATCH(Suiza_DE_CN_ID!D184,Gamma_Catalogo!$A$3:$A$1451,0)),"Revisar Ip Code"))</f>
        <v/>
      </c>
      <c r="O834" s="1" t="str">
        <f aca="false">IF(Suiza_DE_CN_ID!A184="","","Suiza")</f>
        <v/>
      </c>
    </row>
    <row r="835" customFormat="false" ht="15" hidden="false" customHeight="true" outlineLevel="0" collapsed="false">
      <c r="A835" s="1" t="str">
        <f aca="false">IF(Suiza_DE_CN_ID!A185="","",IFERROR(INDEX(Mercados!$C$2:$C$32,MATCH(Suiza_DE_CN_ID!B185,Mercados!$A$2:$A$32,0)),"Revisar Tscode"))</f>
        <v/>
      </c>
      <c r="B835" s="1" t="str">
        <f aca="false">IF(Suiza_DE_CN_ID!A185="","",Suiza_DE_CN_ID!A185)</f>
        <v/>
      </c>
      <c r="C835" s="1" t="str">
        <f aca="false">IF(Suiza_DE_CN_ID!A185="","",Suiza_DE_CN_ID!C185)</f>
        <v/>
      </c>
      <c r="D835" s="1" t="str">
        <f aca="false">IF(Suiza_DE_CN_ID!A185="","",Suiza_DE_CN_ID!D185)</f>
        <v/>
      </c>
      <c r="E835" s="1" t="str">
        <f aca="false">IF(Suiza_DE_CN_ID!A185="","",Suiza_DE_CN_ID!E185)</f>
        <v/>
      </c>
      <c r="F835" s="1" t="str">
        <f aca="false">IF(Suiza_DE_CN_ID!A185="","",Suiza_DE_CN_ID!G185)</f>
        <v/>
      </c>
      <c r="I835" s="1" t="str">
        <f aca="false">IF(Suiza_DE_CN_ID!A185="","",Suiza_DE_CN_ID!H185)</f>
        <v/>
      </c>
      <c r="J835" s="1" t="str">
        <f aca="false">IF(Suiza_DE_CN_ID!A185="","",Suiza_DE_CN_ID!I185)</f>
        <v/>
      </c>
      <c r="K835" s="1" t="str">
        <f aca="false">IF(Suiza_DE_CN_ID!A185="","",UPPER(Suiza_DE_CN_ID!J185))</f>
        <v/>
      </c>
      <c r="L835" s="1" t="str">
        <f aca="false">IF(Suiza_DE_CN_ID!A185="","",IFERROR(INDEX(Gamma_Catalogo!$D$3:$D$1451,MATCH(Suiza_DE_CN_ID!D185,Gamma_Catalogo!$A$3:$A$1451,0)),"Revisar Ip Code"))</f>
        <v/>
      </c>
      <c r="M835" s="1" t="str">
        <f aca="false">IF(Suiza_DE_CN_ID!A185="","",IFERROR(INDEX(Gamma_Catalogo!$C$3:$C$1451,MATCH(Suiza_DE_CN_ID!D185,Gamma_Catalogo!$A$3:$A$1451,0)),"Revisar Ip Code"))</f>
        <v/>
      </c>
      <c r="N835" s="1" t="str">
        <f aca="false">IF(Suiza_DE_CN_ID!A185="","",IFERROR(INDEX(Gamma_Catalogo!$E$3:$E$1451,MATCH(Suiza_DE_CN_ID!D185,Gamma_Catalogo!$A$3:$A$1451,0)),"Revisar Ip Code"))</f>
        <v/>
      </c>
      <c r="O835" s="1" t="str">
        <f aca="false">IF(Suiza_DE_CN_ID!A185="","","Suiza")</f>
        <v/>
      </c>
    </row>
    <row r="836" customFormat="false" ht="15" hidden="false" customHeight="true" outlineLevel="0" collapsed="false">
      <c r="A836" s="1" t="str">
        <f aca="false">IF(Suiza_DE_CN_ID!A186="","",IFERROR(INDEX(Mercados!$C$2:$C$32,MATCH(Suiza_DE_CN_ID!B186,Mercados!$A$2:$A$32,0)),"Revisar Tscode"))</f>
        <v/>
      </c>
      <c r="B836" s="1" t="str">
        <f aca="false">IF(Suiza_DE_CN_ID!A186="","",Suiza_DE_CN_ID!A186)</f>
        <v/>
      </c>
      <c r="C836" s="1" t="str">
        <f aca="false">IF(Suiza_DE_CN_ID!A186="","",Suiza_DE_CN_ID!C186)</f>
        <v/>
      </c>
      <c r="D836" s="1" t="str">
        <f aca="false">IF(Suiza_DE_CN_ID!A186="","",Suiza_DE_CN_ID!D186)</f>
        <v/>
      </c>
      <c r="E836" s="1" t="str">
        <f aca="false">IF(Suiza_DE_CN_ID!A186="","",Suiza_DE_CN_ID!E186)</f>
        <v/>
      </c>
      <c r="F836" s="1" t="str">
        <f aca="false">IF(Suiza_DE_CN_ID!A186="","",Suiza_DE_CN_ID!G186)</f>
        <v/>
      </c>
      <c r="I836" s="1" t="str">
        <f aca="false">IF(Suiza_DE_CN_ID!A186="","",Suiza_DE_CN_ID!H186)</f>
        <v/>
      </c>
      <c r="J836" s="1" t="str">
        <f aca="false">IF(Suiza_DE_CN_ID!A186="","",Suiza_DE_CN_ID!I186)</f>
        <v/>
      </c>
      <c r="K836" s="1" t="str">
        <f aca="false">IF(Suiza_DE_CN_ID!A186="","",UPPER(Suiza_DE_CN_ID!J186))</f>
        <v/>
      </c>
      <c r="L836" s="1" t="str">
        <f aca="false">IF(Suiza_DE_CN_ID!A186="","",IFERROR(INDEX(Gamma_Catalogo!$D$3:$D$1451,MATCH(Suiza_DE_CN_ID!D186,Gamma_Catalogo!$A$3:$A$1451,0)),"Revisar Ip Code"))</f>
        <v/>
      </c>
      <c r="M836" s="1" t="str">
        <f aca="false">IF(Suiza_DE_CN_ID!A186="","",IFERROR(INDEX(Gamma_Catalogo!$C$3:$C$1451,MATCH(Suiza_DE_CN_ID!D186,Gamma_Catalogo!$A$3:$A$1451,0)),"Revisar Ip Code"))</f>
        <v/>
      </c>
      <c r="N836" s="1" t="str">
        <f aca="false">IF(Suiza_DE_CN_ID!A186="","",IFERROR(INDEX(Gamma_Catalogo!$E$3:$E$1451,MATCH(Suiza_DE_CN_ID!D186,Gamma_Catalogo!$A$3:$A$1451,0)),"Revisar Ip Code"))</f>
        <v/>
      </c>
      <c r="O836" s="1" t="str">
        <f aca="false">IF(Suiza_DE_CN_ID!A186="","","Suiza")</f>
        <v/>
      </c>
    </row>
    <row r="837" customFormat="false" ht="15" hidden="false" customHeight="true" outlineLevel="0" collapsed="false">
      <c r="A837" s="1" t="str">
        <f aca="false">IF(Suiza_DE_CN_ID!A187="","",IFERROR(INDEX(Mercados!$C$2:$C$32,MATCH(Suiza_DE_CN_ID!B187,Mercados!$A$2:$A$32,0)),"Revisar Tscode"))</f>
        <v/>
      </c>
      <c r="B837" s="1" t="str">
        <f aca="false">IF(Suiza_DE_CN_ID!A187="","",Suiza_DE_CN_ID!A187)</f>
        <v/>
      </c>
      <c r="C837" s="1" t="str">
        <f aca="false">IF(Suiza_DE_CN_ID!A187="","",Suiza_DE_CN_ID!C187)</f>
        <v/>
      </c>
      <c r="D837" s="1" t="str">
        <f aca="false">IF(Suiza_DE_CN_ID!A187="","",Suiza_DE_CN_ID!D187)</f>
        <v/>
      </c>
      <c r="E837" s="1" t="str">
        <f aca="false">IF(Suiza_DE_CN_ID!A187="","",Suiza_DE_CN_ID!E187)</f>
        <v/>
      </c>
      <c r="F837" s="1" t="str">
        <f aca="false">IF(Suiza_DE_CN_ID!A187="","",Suiza_DE_CN_ID!G187)</f>
        <v/>
      </c>
      <c r="I837" s="1" t="str">
        <f aca="false">IF(Suiza_DE_CN_ID!A187="","",Suiza_DE_CN_ID!H187)</f>
        <v/>
      </c>
      <c r="J837" s="1" t="str">
        <f aca="false">IF(Suiza_DE_CN_ID!A187="","",Suiza_DE_CN_ID!I187)</f>
        <v/>
      </c>
      <c r="K837" s="1" t="str">
        <f aca="false">IF(Suiza_DE_CN_ID!A187="","",UPPER(Suiza_DE_CN_ID!J187))</f>
        <v/>
      </c>
      <c r="L837" s="1" t="str">
        <f aca="false">IF(Suiza_DE_CN_ID!A187="","",IFERROR(INDEX(Gamma_Catalogo!$D$3:$D$1451,MATCH(Suiza_DE_CN_ID!D187,Gamma_Catalogo!$A$3:$A$1451,0)),"Revisar Ip Code"))</f>
        <v/>
      </c>
      <c r="M837" s="1" t="str">
        <f aca="false">IF(Suiza_DE_CN_ID!A187="","",IFERROR(INDEX(Gamma_Catalogo!$C$3:$C$1451,MATCH(Suiza_DE_CN_ID!D187,Gamma_Catalogo!$A$3:$A$1451,0)),"Revisar Ip Code"))</f>
        <v/>
      </c>
      <c r="N837" s="1" t="str">
        <f aca="false">IF(Suiza_DE_CN_ID!A187="","",IFERROR(INDEX(Gamma_Catalogo!$E$3:$E$1451,MATCH(Suiza_DE_CN_ID!D187,Gamma_Catalogo!$A$3:$A$1451,0)),"Revisar Ip Code"))</f>
        <v/>
      </c>
      <c r="O837" s="1" t="str">
        <f aca="false">IF(Suiza_DE_CN_ID!A187="","","Suiza")</f>
        <v/>
      </c>
    </row>
    <row r="838" customFormat="false" ht="15" hidden="false" customHeight="true" outlineLevel="0" collapsed="false">
      <c r="A838" s="1" t="str">
        <f aca="false">IF(Suiza_DE_CN_ID!A188="","",IFERROR(INDEX(Mercados!$C$2:$C$32,MATCH(Suiza_DE_CN_ID!B188,Mercados!$A$2:$A$32,0)),"Revisar Tscode"))</f>
        <v/>
      </c>
      <c r="B838" s="1" t="str">
        <f aca="false">IF(Suiza_DE_CN_ID!A188="","",Suiza_DE_CN_ID!A188)</f>
        <v/>
      </c>
      <c r="C838" s="1" t="str">
        <f aca="false">IF(Suiza_DE_CN_ID!A188="","",Suiza_DE_CN_ID!C188)</f>
        <v/>
      </c>
      <c r="D838" s="1" t="str">
        <f aca="false">IF(Suiza_DE_CN_ID!A188="","",Suiza_DE_CN_ID!D188)</f>
        <v/>
      </c>
      <c r="E838" s="1" t="str">
        <f aca="false">IF(Suiza_DE_CN_ID!A188="","",Suiza_DE_CN_ID!E188)</f>
        <v/>
      </c>
      <c r="F838" s="1" t="str">
        <f aca="false">IF(Suiza_DE_CN_ID!A188="","",Suiza_DE_CN_ID!G188)</f>
        <v/>
      </c>
      <c r="I838" s="1" t="str">
        <f aca="false">IF(Suiza_DE_CN_ID!A188="","",Suiza_DE_CN_ID!H188)</f>
        <v/>
      </c>
      <c r="J838" s="1" t="str">
        <f aca="false">IF(Suiza_DE_CN_ID!A188="","",Suiza_DE_CN_ID!I188)</f>
        <v/>
      </c>
      <c r="K838" s="1" t="str">
        <f aca="false">IF(Suiza_DE_CN_ID!A188="","",UPPER(Suiza_DE_CN_ID!J188))</f>
        <v/>
      </c>
      <c r="L838" s="1" t="str">
        <f aca="false">IF(Suiza_DE_CN_ID!A188="","",IFERROR(INDEX(Gamma_Catalogo!$D$3:$D$1451,MATCH(Suiza_DE_CN_ID!D188,Gamma_Catalogo!$A$3:$A$1451,0)),"Revisar Ip Code"))</f>
        <v/>
      </c>
      <c r="M838" s="1" t="str">
        <f aca="false">IF(Suiza_DE_CN_ID!A188="","",IFERROR(INDEX(Gamma_Catalogo!$C$3:$C$1451,MATCH(Suiza_DE_CN_ID!D188,Gamma_Catalogo!$A$3:$A$1451,0)),"Revisar Ip Code"))</f>
        <v/>
      </c>
      <c r="N838" s="1" t="str">
        <f aca="false">IF(Suiza_DE_CN_ID!A188="","",IFERROR(INDEX(Gamma_Catalogo!$E$3:$E$1451,MATCH(Suiza_DE_CN_ID!D188,Gamma_Catalogo!$A$3:$A$1451,0)),"Revisar Ip Code"))</f>
        <v/>
      </c>
      <c r="O838" s="1" t="str">
        <f aca="false">IF(Suiza_DE_CN_ID!A188="","","Suiza")</f>
        <v/>
      </c>
    </row>
    <row r="839" customFormat="false" ht="15" hidden="false" customHeight="true" outlineLevel="0" collapsed="false">
      <c r="A839" s="1" t="str">
        <f aca="false">IF(Suiza_DE_CN_ID!A189="","",IFERROR(INDEX(Mercados!$C$2:$C$32,MATCH(Suiza_DE_CN_ID!B189,Mercados!$A$2:$A$32,0)),"Revisar Tscode"))</f>
        <v/>
      </c>
      <c r="B839" s="1" t="str">
        <f aca="false">IF(Suiza_DE_CN_ID!A189="","",Suiza_DE_CN_ID!A189)</f>
        <v/>
      </c>
      <c r="C839" s="1" t="str">
        <f aca="false">IF(Suiza_DE_CN_ID!A189="","",Suiza_DE_CN_ID!C189)</f>
        <v/>
      </c>
      <c r="D839" s="1" t="str">
        <f aca="false">IF(Suiza_DE_CN_ID!A189="","",Suiza_DE_CN_ID!D189)</f>
        <v/>
      </c>
      <c r="E839" s="1" t="str">
        <f aca="false">IF(Suiza_DE_CN_ID!A189="","",Suiza_DE_CN_ID!E189)</f>
        <v/>
      </c>
      <c r="F839" s="1" t="str">
        <f aca="false">IF(Suiza_DE_CN_ID!A189="","",Suiza_DE_CN_ID!G189)</f>
        <v/>
      </c>
      <c r="I839" s="1" t="str">
        <f aca="false">IF(Suiza_DE_CN_ID!A189="","",Suiza_DE_CN_ID!H189)</f>
        <v/>
      </c>
      <c r="J839" s="1" t="str">
        <f aca="false">IF(Suiza_DE_CN_ID!A189="","",Suiza_DE_CN_ID!I189)</f>
        <v/>
      </c>
      <c r="K839" s="1" t="str">
        <f aca="false">IF(Suiza_DE_CN_ID!A189="","",UPPER(Suiza_DE_CN_ID!J189))</f>
        <v/>
      </c>
      <c r="L839" s="1" t="str">
        <f aca="false">IF(Suiza_DE_CN_ID!A189="","",IFERROR(INDEX(Gamma_Catalogo!$D$3:$D$1451,MATCH(Suiza_DE_CN_ID!D189,Gamma_Catalogo!$A$3:$A$1451,0)),"Revisar Ip Code"))</f>
        <v/>
      </c>
      <c r="M839" s="1" t="str">
        <f aca="false">IF(Suiza_DE_CN_ID!A189="","",IFERROR(INDEX(Gamma_Catalogo!$C$3:$C$1451,MATCH(Suiza_DE_CN_ID!D189,Gamma_Catalogo!$A$3:$A$1451,0)),"Revisar Ip Code"))</f>
        <v/>
      </c>
      <c r="N839" s="1" t="str">
        <f aca="false">IF(Suiza_DE_CN_ID!A189="","",IFERROR(INDEX(Gamma_Catalogo!$E$3:$E$1451,MATCH(Suiza_DE_CN_ID!D189,Gamma_Catalogo!$A$3:$A$1451,0)),"Revisar Ip Code"))</f>
        <v/>
      </c>
      <c r="O839" s="1" t="str">
        <f aca="false">IF(Suiza_DE_CN_ID!A189="","","Suiza")</f>
        <v/>
      </c>
    </row>
    <row r="840" customFormat="false" ht="15" hidden="false" customHeight="true" outlineLevel="0" collapsed="false">
      <c r="A840" s="1" t="str">
        <f aca="false">IF(Suiza_DE_CN_ID!A190="","",IFERROR(INDEX(Mercados!$C$2:$C$32,MATCH(Suiza_DE_CN_ID!B190,Mercados!$A$2:$A$32,0)),"Revisar Tscode"))</f>
        <v/>
      </c>
      <c r="B840" s="1" t="str">
        <f aca="false">IF(Suiza_DE_CN_ID!A190="","",Suiza_DE_CN_ID!A190)</f>
        <v/>
      </c>
      <c r="C840" s="1" t="str">
        <f aca="false">IF(Suiza_DE_CN_ID!A190="","",Suiza_DE_CN_ID!C190)</f>
        <v/>
      </c>
      <c r="D840" s="1" t="str">
        <f aca="false">IF(Suiza_DE_CN_ID!A190="","",Suiza_DE_CN_ID!D190)</f>
        <v/>
      </c>
      <c r="E840" s="1" t="str">
        <f aca="false">IF(Suiza_DE_CN_ID!A190="","",Suiza_DE_CN_ID!E190)</f>
        <v/>
      </c>
      <c r="F840" s="1" t="str">
        <f aca="false">IF(Suiza_DE_CN_ID!A190="","",Suiza_DE_CN_ID!G190)</f>
        <v/>
      </c>
      <c r="I840" s="1" t="str">
        <f aca="false">IF(Suiza_DE_CN_ID!A190="","",Suiza_DE_CN_ID!H190)</f>
        <v/>
      </c>
      <c r="J840" s="1" t="str">
        <f aca="false">IF(Suiza_DE_CN_ID!A190="","",Suiza_DE_CN_ID!I190)</f>
        <v/>
      </c>
      <c r="K840" s="1" t="str">
        <f aca="false">IF(Suiza_DE_CN_ID!A190="","",UPPER(Suiza_DE_CN_ID!J190))</f>
        <v/>
      </c>
      <c r="L840" s="1" t="str">
        <f aca="false">IF(Suiza_DE_CN_ID!A190="","",IFERROR(INDEX(Gamma_Catalogo!$D$3:$D$1451,MATCH(Suiza_DE_CN_ID!D190,Gamma_Catalogo!$A$3:$A$1451,0)),"Revisar Ip Code"))</f>
        <v/>
      </c>
      <c r="M840" s="1" t="str">
        <f aca="false">IF(Suiza_DE_CN_ID!A190="","",IFERROR(INDEX(Gamma_Catalogo!$C$3:$C$1451,MATCH(Suiza_DE_CN_ID!D190,Gamma_Catalogo!$A$3:$A$1451,0)),"Revisar Ip Code"))</f>
        <v/>
      </c>
      <c r="N840" s="1" t="str">
        <f aca="false">IF(Suiza_DE_CN_ID!A190="","",IFERROR(INDEX(Gamma_Catalogo!$E$3:$E$1451,MATCH(Suiza_DE_CN_ID!D190,Gamma_Catalogo!$A$3:$A$1451,0)),"Revisar Ip Code"))</f>
        <v/>
      </c>
      <c r="O840" s="1" t="str">
        <f aca="false">IF(Suiza_DE_CN_ID!A190="","","Suiza")</f>
        <v/>
      </c>
    </row>
    <row r="841" customFormat="false" ht="15" hidden="false" customHeight="true" outlineLevel="0" collapsed="false">
      <c r="A841" s="1" t="str">
        <f aca="false">IF(Suiza_DE_CN_ID!A191="","",IFERROR(INDEX(Mercados!$C$2:$C$32,MATCH(Suiza_DE_CN_ID!B191,Mercados!$A$2:$A$32,0)),"Revisar Tscode"))</f>
        <v/>
      </c>
      <c r="B841" s="1" t="str">
        <f aca="false">IF(Suiza_DE_CN_ID!A191="","",Suiza_DE_CN_ID!A191)</f>
        <v/>
      </c>
      <c r="C841" s="1" t="str">
        <f aca="false">IF(Suiza_DE_CN_ID!A191="","",Suiza_DE_CN_ID!C191)</f>
        <v/>
      </c>
      <c r="D841" s="1" t="str">
        <f aca="false">IF(Suiza_DE_CN_ID!A191="","",Suiza_DE_CN_ID!D191)</f>
        <v/>
      </c>
      <c r="E841" s="1" t="str">
        <f aca="false">IF(Suiza_DE_CN_ID!A191="","",Suiza_DE_CN_ID!E191)</f>
        <v/>
      </c>
      <c r="F841" s="1" t="str">
        <f aca="false">IF(Suiza_DE_CN_ID!A191="","",Suiza_DE_CN_ID!G191)</f>
        <v/>
      </c>
      <c r="I841" s="1" t="str">
        <f aca="false">IF(Suiza_DE_CN_ID!A191="","",Suiza_DE_CN_ID!H191)</f>
        <v/>
      </c>
      <c r="J841" s="1" t="str">
        <f aca="false">IF(Suiza_DE_CN_ID!A191="","",Suiza_DE_CN_ID!I191)</f>
        <v/>
      </c>
      <c r="K841" s="1" t="str">
        <f aca="false">IF(Suiza_DE_CN_ID!A191="","",UPPER(Suiza_DE_CN_ID!J191))</f>
        <v/>
      </c>
      <c r="L841" s="1" t="str">
        <f aca="false">IF(Suiza_DE_CN_ID!A191="","",IFERROR(INDEX(Gamma_Catalogo!$D$3:$D$1451,MATCH(Suiza_DE_CN_ID!D191,Gamma_Catalogo!$A$3:$A$1451,0)),"Revisar Ip Code"))</f>
        <v/>
      </c>
      <c r="M841" s="1" t="str">
        <f aca="false">IF(Suiza_DE_CN_ID!A191="","",IFERROR(INDEX(Gamma_Catalogo!$C$3:$C$1451,MATCH(Suiza_DE_CN_ID!D191,Gamma_Catalogo!$A$3:$A$1451,0)),"Revisar Ip Code"))</f>
        <v/>
      </c>
      <c r="N841" s="1" t="str">
        <f aca="false">IF(Suiza_DE_CN_ID!A191="","",IFERROR(INDEX(Gamma_Catalogo!$E$3:$E$1451,MATCH(Suiza_DE_CN_ID!D191,Gamma_Catalogo!$A$3:$A$1451,0)),"Revisar Ip Code"))</f>
        <v/>
      </c>
      <c r="O841" s="1" t="str">
        <f aca="false">IF(Suiza_DE_CN_ID!A191="","","Suiza")</f>
        <v/>
      </c>
    </row>
    <row r="842" customFormat="false" ht="15" hidden="false" customHeight="true" outlineLevel="0" collapsed="false">
      <c r="A842" s="1" t="str">
        <f aca="false">IF(Suiza_DE_CN_ID!A192="","",IFERROR(INDEX(Mercados!$C$2:$C$32,MATCH(Suiza_DE_CN_ID!B192,Mercados!$A$2:$A$32,0)),"Revisar Tscode"))</f>
        <v/>
      </c>
      <c r="B842" s="1" t="str">
        <f aca="false">IF(Suiza_DE_CN_ID!A192="","",Suiza_DE_CN_ID!A192)</f>
        <v/>
      </c>
      <c r="C842" s="1" t="str">
        <f aca="false">IF(Suiza_DE_CN_ID!A192="","",Suiza_DE_CN_ID!C192)</f>
        <v/>
      </c>
      <c r="D842" s="1" t="str">
        <f aca="false">IF(Suiza_DE_CN_ID!A192="","",Suiza_DE_CN_ID!D192)</f>
        <v/>
      </c>
      <c r="E842" s="1" t="str">
        <f aca="false">IF(Suiza_DE_CN_ID!A192="","",Suiza_DE_CN_ID!E192)</f>
        <v/>
      </c>
      <c r="F842" s="1" t="str">
        <f aca="false">IF(Suiza_DE_CN_ID!A192="","",Suiza_DE_CN_ID!G192)</f>
        <v/>
      </c>
      <c r="I842" s="1" t="str">
        <f aca="false">IF(Suiza_DE_CN_ID!A192="","",Suiza_DE_CN_ID!H192)</f>
        <v/>
      </c>
      <c r="J842" s="1" t="str">
        <f aca="false">IF(Suiza_DE_CN_ID!A192="","",Suiza_DE_CN_ID!I192)</f>
        <v/>
      </c>
      <c r="K842" s="1" t="str">
        <f aca="false">IF(Suiza_DE_CN_ID!A192="","",UPPER(Suiza_DE_CN_ID!J192))</f>
        <v/>
      </c>
      <c r="L842" s="1" t="str">
        <f aca="false">IF(Suiza_DE_CN_ID!A192="","",IFERROR(INDEX(Gamma_Catalogo!$D$3:$D$1451,MATCH(Suiza_DE_CN_ID!D192,Gamma_Catalogo!$A$3:$A$1451,0)),"Revisar Ip Code"))</f>
        <v/>
      </c>
      <c r="M842" s="1" t="str">
        <f aca="false">IF(Suiza_DE_CN_ID!A192="","",IFERROR(INDEX(Gamma_Catalogo!$C$3:$C$1451,MATCH(Suiza_DE_CN_ID!D192,Gamma_Catalogo!$A$3:$A$1451,0)),"Revisar Ip Code"))</f>
        <v/>
      </c>
      <c r="N842" s="1" t="str">
        <f aca="false">IF(Suiza_DE_CN_ID!A192="","",IFERROR(INDEX(Gamma_Catalogo!$E$3:$E$1451,MATCH(Suiza_DE_CN_ID!D192,Gamma_Catalogo!$A$3:$A$1451,0)),"Revisar Ip Code"))</f>
        <v/>
      </c>
      <c r="O842" s="1" t="str">
        <f aca="false">IF(Suiza_DE_CN_ID!A192="","","Suiza")</f>
        <v/>
      </c>
    </row>
    <row r="843" customFormat="false" ht="15" hidden="false" customHeight="true" outlineLevel="0" collapsed="false">
      <c r="A843" s="1" t="str">
        <f aca="false">IF(Suiza_DE_CN_ID!A193="","",IFERROR(INDEX(Mercados!$C$2:$C$32,MATCH(Suiza_DE_CN_ID!B193,Mercados!$A$2:$A$32,0)),"Revisar Tscode"))</f>
        <v/>
      </c>
      <c r="B843" s="1" t="str">
        <f aca="false">IF(Suiza_DE_CN_ID!A193="","",Suiza_DE_CN_ID!A193)</f>
        <v/>
      </c>
      <c r="C843" s="1" t="str">
        <f aca="false">IF(Suiza_DE_CN_ID!A193="","",Suiza_DE_CN_ID!C193)</f>
        <v/>
      </c>
      <c r="D843" s="1" t="str">
        <f aca="false">IF(Suiza_DE_CN_ID!A193="","",Suiza_DE_CN_ID!D193)</f>
        <v/>
      </c>
      <c r="E843" s="1" t="str">
        <f aca="false">IF(Suiza_DE_CN_ID!A193="","",Suiza_DE_CN_ID!E193)</f>
        <v/>
      </c>
      <c r="F843" s="1" t="str">
        <f aca="false">IF(Suiza_DE_CN_ID!A193="","",Suiza_DE_CN_ID!G193)</f>
        <v/>
      </c>
      <c r="I843" s="1" t="str">
        <f aca="false">IF(Suiza_DE_CN_ID!A193="","",Suiza_DE_CN_ID!H193)</f>
        <v/>
      </c>
      <c r="J843" s="1" t="str">
        <f aca="false">IF(Suiza_DE_CN_ID!A193="","",Suiza_DE_CN_ID!I193)</f>
        <v/>
      </c>
      <c r="K843" s="1" t="str">
        <f aca="false">IF(Suiza_DE_CN_ID!A193="","",UPPER(Suiza_DE_CN_ID!J193))</f>
        <v/>
      </c>
      <c r="L843" s="1" t="str">
        <f aca="false">IF(Suiza_DE_CN_ID!A193="","",IFERROR(INDEX(Gamma_Catalogo!$D$3:$D$1451,MATCH(Suiza_DE_CN_ID!D193,Gamma_Catalogo!$A$3:$A$1451,0)),"Revisar Ip Code"))</f>
        <v/>
      </c>
      <c r="M843" s="1" t="str">
        <f aca="false">IF(Suiza_DE_CN_ID!A193="","",IFERROR(INDEX(Gamma_Catalogo!$C$3:$C$1451,MATCH(Suiza_DE_CN_ID!D193,Gamma_Catalogo!$A$3:$A$1451,0)),"Revisar Ip Code"))</f>
        <v/>
      </c>
      <c r="N843" s="1" t="str">
        <f aca="false">IF(Suiza_DE_CN_ID!A193="","",IFERROR(INDEX(Gamma_Catalogo!$E$3:$E$1451,MATCH(Suiza_DE_CN_ID!D193,Gamma_Catalogo!$A$3:$A$1451,0)),"Revisar Ip Code"))</f>
        <v/>
      </c>
      <c r="O843" s="1" t="str">
        <f aca="false">IF(Suiza_DE_CN_ID!A193="","","Suiza")</f>
        <v/>
      </c>
    </row>
    <row r="844" customFormat="false" ht="15" hidden="false" customHeight="true" outlineLevel="0" collapsed="false">
      <c r="A844" s="1" t="str">
        <f aca="false">IF(Suiza_DE_CN_ID!A194="","",IFERROR(INDEX(Mercados!$C$2:$C$32,MATCH(Suiza_DE_CN_ID!B194,Mercados!$A$2:$A$32,0)),"Revisar Tscode"))</f>
        <v/>
      </c>
      <c r="B844" s="1" t="str">
        <f aca="false">IF(Suiza_DE_CN_ID!A194="","",Suiza_DE_CN_ID!A194)</f>
        <v/>
      </c>
      <c r="C844" s="1" t="str">
        <f aca="false">IF(Suiza_DE_CN_ID!A194="","",Suiza_DE_CN_ID!C194)</f>
        <v/>
      </c>
      <c r="D844" s="1" t="str">
        <f aca="false">IF(Suiza_DE_CN_ID!A194="","",Suiza_DE_CN_ID!D194)</f>
        <v/>
      </c>
      <c r="E844" s="1" t="str">
        <f aca="false">IF(Suiza_DE_CN_ID!A194="","",Suiza_DE_CN_ID!E194)</f>
        <v/>
      </c>
      <c r="F844" s="1" t="str">
        <f aca="false">IF(Suiza_DE_CN_ID!A194="","",Suiza_DE_CN_ID!G194)</f>
        <v/>
      </c>
      <c r="I844" s="1" t="str">
        <f aca="false">IF(Suiza_DE_CN_ID!A194="","",Suiza_DE_CN_ID!H194)</f>
        <v/>
      </c>
      <c r="J844" s="1" t="str">
        <f aca="false">IF(Suiza_DE_CN_ID!A194="","",Suiza_DE_CN_ID!I194)</f>
        <v/>
      </c>
      <c r="K844" s="1" t="str">
        <f aca="false">IF(Suiza_DE_CN_ID!A194="","",UPPER(Suiza_DE_CN_ID!J194))</f>
        <v/>
      </c>
      <c r="L844" s="1" t="str">
        <f aca="false">IF(Suiza_DE_CN_ID!A194="","",IFERROR(INDEX(Gamma_Catalogo!$D$3:$D$1451,MATCH(Suiza_DE_CN_ID!D194,Gamma_Catalogo!$A$3:$A$1451,0)),"Revisar Ip Code"))</f>
        <v/>
      </c>
      <c r="M844" s="1" t="str">
        <f aca="false">IF(Suiza_DE_CN_ID!A194="","",IFERROR(INDEX(Gamma_Catalogo!$C$3:$C$1451,MATCH(Suiza_DE_CN_ID!D194,Gamma_Catalogo!$A$3:$A$1451,0)),"Revisar Ip Code"))</f>
        <v/>
      </c>
      <c r="N844" s="1" t="str">
        <f aca="false">IF(Suiza_DE_CN_ID!A194="","",IFERROR(INDEX(Gamma_Catalogo!$E$3:$E$1451,MATCH(Suiza_DE_CN_ID!D194,Gamma_Catalogo!$A$3:$A$1451,0)),"Revisar Ip Code"))</f>
        <v/>
      </c>
      <c r="O844" s="1" t="str">
        <f aca="false">IF(Suiza_DE_CN_ID!A194="","","Suiza")</f>
        <v/>
      </c>
    </row>
    <row r="845" customFormat="false" ht="15" hidden="false" customHeight="true" outlineLevel="0" collapsed="false">
      <c r="A845" s="1" t="str">
        <f aca="false">IF(Suiza_DE_CN_ID!A195="","",IFERROR(INDEX(Mercados!$C$2:$C$32,MATCH(Suiza_DE_CN_ID!B195,Mercados!$A$2:$A$32,0)),"Revisar Tscode"))</f>
        <v/>
      </c>
      <c r="B845" s="1" t="str">
        <f aca="false">IF(Suiza_DE_CN_ID!A195="","",Suiza_DE_CN_ID!A195)</f>
        <v/>
      </c>
      <c r="C845" s="1" t="str">
        <f aca="false">IF(Suiza_DE_CN_ID!A195="","",Suiza_DE_CN_ID!C195)</f>
        <v/>
      </c>
      <c r="D845" s="1" t="str">
        <f aca="false">IF(Suiza_DE_CN_ID!A195="","",Suiza_DE_CN_ID!D195)</f>
        <v/>
      </c>
      <c r="E845" s="1" t="str">
        <f aca="false">IF(Suiza_DE_CN_ID!A195="","",Suiza_DE_CN_ID!E195)</f>
        <v/>
      </c>
      <c r="F845" s="1" t="str">
        <f aca="false">IF(Suiza_DE_CN_ID!A195="","",Suiza_DE_CN_ID!G195)</f>
        <v/>
      </c>
      <c r="I845" s="1" t="str">
        <f aca="false">IF(Suiza_DE_CN_ID!A195="","",Suiza_DE_CN_ID!H195)</f>
        <v/>
      </c>
      <c r="J845" s="1" t="str">
        <f aca="false">IF(Suiza_DE_CN_ID!A195="","",Suiza_DE_CN_ID!I195)</f>
        <v/>
      </c>
      <c r="K845" s="1" t="str">
        <f aca="false">IF(Suiza_DE_CN_ID!A195="","",UPPER(Suiza_DE_CN_ID!J195))</f>
        <v/>
      </c>
      <c r="L845" s="1" t="str">
        <f aca="false">IF(Suiza_DE_CN_ID!A195="","",IFERROR(INDEX(Gamma_Catalogo!$D$3:$D$1451,MATCH(Suiza_DE_CN_ID!D195,Gamma_Catalogo!$A$3:$A$1451,0)),"Revisar Ip Code"))</f>
        <v/>
      </c>
      <c r="M845" s="1" t="str">
        <f aca="false">IF(Suiza_DE_CN_ID!A195="","",IFERROR(INDEX(Gamma_Catalogo!$C$3:$C$1451,MATCH(Suiza_DE_CN_ID!D195,Gamma_Catalogo!$A$3:$A$1451,0)),"Revisar Ip Code"))</f>
        <v/>
      </c>
      <c r="N845" s="1" t="str">
        <f aca="false">IF(Suiza_DE_CN_ID!A195="","",IFERROR(INDEX(Gamma_Catalogo!$E$3:$E$1451,MATCH(Suiza_DE_CN_ID!D195,Gamma_Catalogo!$A$3:$A$1451,0)),"Revisar Ip Code"))</f>
        <v/>
      </c>
      <c r="O845" s="1" t="str">
        <f aca="false">IF(Suiza_DE_CN_ID!A195="","","Suiza")</f>
        <v/>
      </c>
    </row>
    <row r="846" customFormat="false" ht="15" hidden="false" customHeight="true" outlineLevel="0" collapsed="false">
      <c r="A846" s="1" t="str">
        <f aca="false">IF(Suiza_DE_CN_ID!A196="","",IFERROR(INDEX(Mercados!$C$2:$C$32,MATCH(Suiza_DE_CN_ID!B196,Mercados!$A$2:$A$32,0)),"Revisar Tscode"))</f>
        <v/>
      </c>
      <c r="B846" s="1" t="str">
        <f aca="false">IF(Suiza_DE_CN_ID!A196="","",Suiza_DE_CN_ID!A196)</f>
        <v/>
      </c>
      <c r="C846" s="1" t="str">
        <f aca="false">IF(Suiza_DE_CN_ID!A196="","",Suiza_DE_CN_ID!C196)</f>
        <v/>
      </c>
      <c r="D846" s="1" t="str">
        <f aca="false">IF(Suiza_DE_CN_ID!A196="","",Suiza_DE_CN_ID!D196)</f>
        <v/>
      </c>
      <c r="E846" s="1" t="str">
        <f aca="false">IF(Suiza_DE_CN_ID!A196="","",Suiza_DE_CN_ID!E196)</f>
        <v/>
      </c>
      <c r="F846" s="1" t="str">
        <f aca="false">IF(Suiza_DE_CN_ID!A196="","",Suiza_DE_CN_ID!G196)</f>
        <v/>
      </c>
      <c r="I846" s="1" t="str">
        <f aca="false">IF(Suiza_DE_CN_ID!A196="","",Suiza_DE_CN_ID!H196)</f>
        <v/>
      </c>
      <c r="J846" s="1" t="str">
        <f aca="false">IF(Suiza_DE_CN_ID!A196="","",Suiza_DE_CN_ID!I196)</f>
        <v/>
      </c>
      <c r="K846" s="1" t="str">
        <f aca="false">IF(Suiza_DE_CN_ID!A196="","",UPPER(Suiza_DE_CN_ID!J196))</f>
        <v/>
      </c>
      <c r="L846" s="1" t="str">
        <f aca="false">IF(Suiza_DE_CN_ID!A196="","",IFERROR(INDEX(Gamma_Catalogo!$D$3:$D$1451,MATCH(Suiza_DE_CN_ID!D196,Gamma_Catalogo!$A$3:$A$1451,0)),"Revisar Ip Code"))</f>
        <v/>
      </c>
      <c r="M846" s="1" t="str">
        <f aca="false">IF(Suiza_DE_CN_ID!A196="","",IFERROR(INDEX(Gamma_Catalogo!$C$3:$C$1451,MATCH(Suiza_DE_CN_ID!D196,Gamma_Catalogo!$A$3:$A$1451,0)),"Revisar Ip Code"))</f>
        <v/>
      </c>
      <c r="N846" s="1" t="str">
        <f aca="false">IF(Suiza_DE_CN_ID!A196="","",IFERROR(INDEX(Gamma_Catalogo!$E$3:$E$1451,MATCH(Suiza_DE_CN_ID!D196,Gamma_Catalogo!$A$3:$A$1451,0)),"Revisar Ip Code"))</f>
        <v/>
      </c>
      <c r="O846" s="1" t="str">
        <f aca="false">IF(Suiza_DE_CN_ID!A196="","","Suiza")</f>
        <v/>
      </c>
    </row>
    <row r="847" customFormat="false" ht="15" hidden="false" customHeight="true" outlineLevel="0" collapsed="false">
      <c r="A847" s="1" t="str">
        <f aca="false">IF(Suiza_DE_CN_ID!A197="","",IFERROR(INDEX(Mercados!$C$2:$C$32,MATCH(Suiza_DE_CN_ID!B197,Mercados!$A$2:$A$32,0)),"Revisar Tscode"))</f>
        <v/>
      </c>
      <c r="B847" s="1" t="str">
        <f aca="false">IF(Suiza_DE_CN_ID!A197="","",Suiza_DE_CN_ID!A197)</f>
        <v/>
      </c>
      <c r="C847" s="1" t="str">
        <f aca="false">IF(Suiza_DE_CN_ID!A197="","",Suiza_DE_CN_ID!C197)</f>
        <v/>
      </c>
      <c r="D847" s="1" t="str">
        <f aca="false">IF(Suiza_DE_CN_ID!A197="","",Suiza_DE_CN_ID!D197)</f>
        <v/>
      </c>
      <c r="E847" s="1" t="str">
        <f aca="false">IF(Suiza_DE_CN_ID!A197="","",Suiza_DE_CN_ID!E197)</f>
        <v/>
      </c>
      <c r="F847" s="1" t="str">
        <f aca="false">IF(Suiza_DE_CN_ID!A197="","",Suiza_DE_CN_ID!G197)</f>
        <v/>
      </c>
      <c r="I847" s="1" t="str">
        <f aca="false">IF(Suiza_DE_CN_ID!A197="","",Suiza_DE_CN_ID!H197)</f>
        <v/>
      </c>
      <c r="J847" s="1" t="str">
        <f aca="false">IF(Suiza_DE_CN_ID!A197="","",Suiza_DE_CN_ID!I197)</f>
        <v/>
      </c>
      <c r="K847" s="1" t="str">
        <f aca="false">IF(Suiza_DE_CN_ID!A197="","",UPPER(Suiza_DE_CN_ID!J197))</f>
        <v/>
      </c>
      <c r="L847" s="1" t="str">
        <f aca="false">IF(Suiza_DE_CN_ID!A197="","",IFERROR(INDEX(Gamma_Catalogo!$D$3:$D$1451,MATCH(Suiza_DE_CN_ID!D197,Gamma_Catalogo!$A$3:$A$1451,0)),"Revisar Ip Code"))</f>
        <v/>
      </c>
      <c r="M847" s="1" t="str">
        <f aca="false">IF(Suiza_DE_CN_ID!A197="","",IFERROR(INDEX(Gamma_Catalogo!$C$3:$C$1451,MATCH(Suiza_DE_CN_ID!D197,Gamma_Catalogo!$A$3:$A$1451,0)),"Revisar Ip Code"))</f>
        <v/>
      </c>
      <c r="N847" s="1" t="str">
        <f aca="false">IF(Suiza_DE_CN_ID!A197="","",IFERROR(INDEX(Gamma_Catalogo!$E$3:$E$1451,MATCH(Suiza_DE_CN_ID!D197,Gamma_Catalogo!$A$3:$A$1451,0)),"Revisar Ip Code"))</f>
        <v/>
      </c>
      <c r="O847" s="1" t="str">
        <f aca="false">IF(Suiza_DE_CN_ID!A197="","","Suiza")</f>
        <v/>
      </c>
    </row>
    <row r="848" customFormat="false" ht="15" hidden="false" customHeight="true" outlineLevel="0" collapsed="false">
      <c r="A848" s="1" t="str">
        <f aca="false">IF(Suiza_DE_CN_ID!A198="","",IFERROR(INDEX(Mercados!$C$2:$C$32,MATCH(Suiza_DE_CN_ID!B198,Mercados!$A$2:$A$32,0)),"Revisar Tscode"))</f>
        <v/>
      </c>
      <c r="B848" s="1" t="str">
        <f aca="false">IF(Suiza_DE_CN_ID!A198="","",Suiza_DE_CN_ID!A198)</f>
        <v/>
      </c>
      <c r="C848" s="1" t="str">
        <f aca="false">IF(Suiza_DE_CN_ID!A198="","",Suiza_DE_CN_ID!C198)</f>
        <v/>
      </c>
      <c r="D848" s="1" t="str">
        <f aca="false">IF(Suiza_DE_CN_ID!A198="","",Suiza_DE_CN_ID!D198)</f>
        <v/>
      </c>
      <c r="E848" s="1" t="str">
        <f aca="false">IF(Suiza_DE_CN_ID!A198="","",Suiza_DE_CN_ID!E198)</f>
        <v/>
      </c>
      <c r="F848" s="1" t="str">
        <f aca="false">IF(Suiza_DE_CN_ID!A198="","",Suiza_DE_CN_ID!G198)</f>
        <v/>
      </c>
      <c r="I848" s="1" t="str">
        <f aca="false">IF(Suiza_DE_CN_ID!A198="","",Suiza_DE_CN_ID!H198)</f>
        <v/>
      </c>
      <c r="J848" s="1" t="str">
        <f aca="false">IF(Suiza_DE_CN_ID!A198="","",Suiza_DE_CN_ID!I198)</f>
        <v/>
      </c>
      <c r="K848" s="1" t="str">
        <f aca="false">IF(Suiza_DE_CN_ID!A198="","",UPPER(Suiza_DE_CN_ID!J198))</f>
        <v/>
      </c>
      <c r="L848" s="1" t="str">
        <f aca="false">IF(Suiza_DE_CN_ID!A198="","",IFERROR(INDEX(Gamma_Catalogo!$D$3:$D$1451,MATCH(Suiza_DE_CN_ID!D198,Gamma_Catalogo!$A$3:$A$1451,0)),"Revisar Ip Code"))</f>
        <v/>
      </c>
      <c r="M848" s="1" t="str">
        <f aca="false">IF(Suiza_DE_CN_ID!A198="","",IFERROR(INDEX(Gamma_Catalogo!$C$3:$C$1451,MATCH(Suiza_DE_CN_ID!D198,Gamma_Catalogo!$A$3:$A$1451,0)),"Revisar Ip Code"))</f>
        <v/>
      </c>
      <c r="N848" s="1" t="str">
        <f aca="false">IF(Suiza_DE_CN_ID!A198="","",IFERROR(INDEX(Gamma_Catalogo!$E$3:$E$1451,MATCH(Suiza_DE_CN_ID!D198,Gamma_Catalogo!$A$3:$A$1451,0)),"Revisar Ip Code"))</f>
        <v/>
      </c>
      <c r="O848" s="1" t="str">
        <f aca="false">IF(Suiza_DE_CN_ID!A198="","","Suiza")</f>
        <v/>
      </c>
    </row>
    <row r="849" customFormat="false" ht="15" hidden="false" customHeight="true" outlineLevel="0" collapsed="false">
      <c r="A849" s="1" t="str">
        <f aca="false">IF(Suiza_DE_CN_ID!A199="","",IFERROR(INDEX(Mercados!$C$2:$C$32,MATCH(Suiza_DE_CN_ID!B199,Mercados!$A$2:$A$32,0)),"Revisar Tscode"))</f>
        <v/>
      </c>
      <c r="B849" s="1" t="str">
        <f aca="false">IF(Suiza_DE_CN_ID!A199="","",Suiza_DE_CN_ID!A199)</f>
        <v/>
      </c>
      <c r="C849" s="1" t="str">
        <f aca="false">IF(Suiza_DE_CN_ID!A199="","",Suiza_DE_CN_ID!C199)</f>
        <v/>
      </c>
      <c r="D849" s="1" t="str">
        <f aca="false">IF(Suiza_DE_CN_ID!A199="","",Suiza_DE_CN_ID!D199)</f>
        <v/>
      </c>
      <c r="E849" s="1" t="str">
        <f aca="false">IF(Suiza_DE_CN_ID!A199="","",Suiza_DE_CN_ID!E199)</f>
        <v/>
      </c>
      <c r="F849" s="1" t="str">
        <f aca="false">IF(Suiza_DE_CN_ID!A199="","",Suiza_DE_CN_ID!G199)</f>
        <v/>
      </c>
      <c r="I849" s="1" t="str">
        <f aca="false">IF(Suiza_DE_CN_ID!A199="","",Suiza_DE_CN_ID!H199)</f>
        <v/>
      </c>
      <c r="J849" s="1" t="str">
        <f aca="false">IF(Suiza_DE_CN_ID!A199="","",Suiza_DE_CN_ID!I199)</f>
        <v/>
      </c>
      <c r="K849" s="1" t="str">
        <f aca="false">IF(Suiza_DE_CN_ID!A199="","",UPPER(Suiza_DE_CN_ID!J199))</f>
        <v/>
      </c>
      <c r="L849" s="1" t="str">
        <f aca="false">IF(Suiza_DE_CN_ID!A199="","",IFERROR(INDEX(Gamma_Catalogo!$D$3:$D$1451,MATCH(Suiza_DE_CN_ID!D199,Gamma_Catalogo!$A$3:$A$1451,0)),"Revisar Ip Code"))</f>
        <v/>
      </c>
      <c r="M849" s="1" t="str">
        <f aca="false">IF(Suiza_DE_CN_ID!A199="","",IFERROR(INDEX(Gamma_Catalogo!$C$3:$C$1451,MATCH(Suiza_DE_CN_ID!D199,Gamma_Catalogo!$A$3:$A$1451,0)),"Revisar Ip Code"))</f>
        <v/>
      </c>
      <c r="N849" s="1" t="str">
        <f aca="false">IF(Suiza_DE_CN_ID!A199="","",IFERROR(INDEX(Gamma_Catalogo!$E$3:$E$1451,MATCH(Suiza_DE_CN_ID!D199,Gamma_Catalogo!$A$3:$A$1451,0)),"Revisar Ip Code"))</f>
        <v/>
      </c>
      <c r="O849" s="1" t="str">
        <f aca="false">IF(Suiza_DE_CN_ID!A199="","","Suiza")</f>
        <v/>
      </c>
    </row>
    <row r="850" customFormat="false" ht="15" hidden="false" customHeight="true" outlineLevel="0" collapsed="false">
      <c r="A850" s="1" t="str">
        <f aca="false">IF(Suiza_DE_CN_ID!A200="","",IFERROR(INDEX(Mercados!$C$2:$C$32,MATCH(Suiza_DE_CN_ID!B200,Mercados!$A$2:$A$32,0)),"Revisar Tscode"))</f>
        <v/>
      </c>
      <c r="B850" s="1" t="str">
        <f aca="false">IF(Suiza_DE_CN_ID!A200="","",Suiza_DE_CN_ID!A200)</f>
        <v/>
      </c>
      <c r="C850" s="1" t="str">
        <f aca="false">IF(Suiza_DE_CN_ID!A200="","",Suiza_DE_CN_ID!C200)</f>
        <v/>
      </c>
      <c r="D850" s="1" t="str">
        <f aca="false">IF(Suiza_DE_CN_ID!A200="","",Suiza_DE_CN_ID!D200)</f>
        <v/>
      </c>
      <c r="E850" s="1" t="str">
        <f aca="false">IF(Suiza_DE_CN_ID!A200="","",Suiza_DE_CN_ID!E200)</f>
        <v/>
      </c>
      <c r="F850" s="1" t="str">
        <f aca="false">IF(Suiza_DE_CN_ID!A200="","",Suiza_DE_CN_ID!G200)</f>
        <v/>
      </c>
      <c r="I850" s="1" t="str">
        <f aca="false">IF(Suiza_DE_CN_ID!A200="","",Suiza_DE_CN_ID!H200)</f>
        <v/>
      </c>
      <c r="J850" s="1" t="str">
        <f aca="false">IF(Suiza_DE_CN_ID!A200="","",Suiza_DE_CN_ID!I200)</f>
        <v/>
      </c>
      <c r="K850" s="1" t="str">
        <f aca="false">IF(Suiza_DE_CN_ID!A200="","",UPPER(Suiza_DE_CN_ID!J200))</f>
        <v/>
      </c>
      <c r="L850" s="1" t="str">
        <f aca="false">IF(Suiza_DE_CN_ID!A200="","",IFERROR(INDEX(Gamma_Catalogo!$D$3:$D$1451,MATCH(Suiza_DE_CN_ID!D200,Gamma_Catalogo!$A$3:$A$1451,0)),"Revisar Ip Code"))</f>
        <v/>
      </c>
      <c r="M850" s="1" t="str">
        <f aca="false">IF(Suiza_DE_CN_ID!A200="","",IFERROR(INDEX(Gamma_Catalogo!$C$3:$C$1451,MATCH(Suiza_DE_CN_ID!D200,Gamma_Catalogo!$A$3:$A$1451,0)),"Revisar Ip Code"))</f>
        <v/>
      </c>
      <c r="N850" s="1" t="str">
        <f aca="false">IF(Suiza_DE_CN_ID!A200="","",IFERROR(INDEX(Gamma_Catalogo!$E$3:$E$1451,MATCH(Suiza_DE_CN_ID!D200,Gamma_Catalogo!$A$3:$A$1451,0)),"Revisar Ip Code"))</f>
        <v/>
      </c>
      <c r="O850" s="1" t="str">
        <f aca="false">IF(Suiza_DE_CN_ID!A200="","","Suiza")</f>
        <v/>
      </c>
    </row>
    <row r="851" customFormat="false" ht="15" hidden="false" customHeight="true" outlineLevel="0" collapsed="false">
      <c r="A851" s="1" t="str">
        <f aca="false">IF(Suiza_DE_CN_ID!A201="","",IFERROR(INDEX(Mercados!$C$2:$C$32,MATCH(Suiza_DE_CN_ID!B201,Mercados!$A$2:$A$32,0)),"Revisar Tscode"))</f>
        <v/>
      </c>
      <c r="B851" s="1" t="str">
        <f aca="false">IF(Suiza_DE_CN_ID!A201="","",Suiza_DE_CN_ID!A201)</f>
        <v/>
      </c>
      <c r="C851" s="1" t="str">
        <f aca="false">IF(Suiza_DE_CN_ID!A201="","",Suiza_DE_CN_ID!C201)</f>
        <v/>
      </c>
      <c r="D851" s="1" t="str">
        <f aca="false">IF(Suiza_DE_CN_ID!A201="","",Suiza_DE_CN_ID!D201)</f>
        <v/>
      </c>
      <c r="E851" s="1" t="str">
        <f aca="false">IF(Suiza_DE_CN_ID!A201="","",Suiza_DE_CN_ID!E201)</f>
        <v/>
      </c>
      <c r="F851" s="1" t="str">
        <f aca="false">IF(Suiza_DE_CN_ID!A201="","",Suiza_DE_CN_ID!G201)</f>
        <v/>
      </c>
      <c r="I851" s="1" t="str">
        <f aca="false">IF(Suiza_DE_CN_ID!A201="","",Suiza_DE_CN_ID!H201)</f>
        <v/>
      </c>
      <c r="J851" s="1" t="str">
        <f aca="false">IF(Suiza_DE_CN_ID!A201="","",Suiza_DE_CN_ID!I201)</f>
        <v/>
      </c>
      <c r="K851" s="1" t="str">
        <f aca="false">IF(Suiza_DE_CN_ID!A201="","",UPPER(Suiza_DE_CN_ID!J201))</f>
        <v/>
      </c>
      <c r="L851" s="1" t="str">
        <f aca="false">IF(Suiza_DE_CN_ID!A201="","",IFERROR(INDEX(Gamma_Catalogo!$D$3:$D$1451,MATCH(Suiza_DE_CN_ID!D201,Gamma_Catalogo!$A$3:$A$1451,0)),"Revisar Ip Code"))</f>
        <v/>
      </c>
      <c r="M851" s="1" t="str">
        <f aca="false">IF(Suiza_DE_CN_ID!A201="","",IFERROR(INDEX(Gamma_Catalogo!$C$3:$C$1451,MATCH(Suiza_DE_CN_ID!D201,Gamma_Catalogo!$A$3:$A$1451,0)),"Revisar Ip Code"))</f>
        <v/>
      </c>
      <c r="N851" s="1" t="str">
        <f aca="false">IF(Suiza_DE_CN_ID!A201="","",IFERROR(INDEX(Gamma_Catalogo!$E$3:$E$1451,MATCH(Suiza_DE_CN_ID!D201,Gamma_Catalogo!$A$3:$A$1451,0)),"Revisar Ip Code"))</f>
        <v/>
      </c>
      <c r="O851" s="1" t="str">
        <f aca="false">IF(Suiza_DE_CN_ID!A201="","","Suiza")</f>
        <v/>
      </c>
    </row>
    <row r="852" customFormat="false" ht="15" hidden="false" customHeight="true" outlineLevel="0" collapsed="false">
      <c r="A852" s="1" t="str">
        <f aca="false">IF(Suiza_DE_CN_ID!A202="","",IFERROR(INDEX(Mercados!$C$2:$C$32,MATCH(Suiza_DE_CN_ID!B202,Mercados!$A$2:$A$32,0)),"Revisar Tscode"))</f>
        <v/>
      </c>
      <c r="B852" s="1" t="str">
        <f aca="false">IF(Suiza_DE_CN_ID!A202="","",Suiza_DE_CN_ID!A202)</f>
        <v/>
      </c>
      <c r="C852" s="1" t="str">
        <f aca="false">IF(Suiza_DE_CN_ID!A202="","",Suiza_DE_CN_ID!C202)</f>
        <v/>
      </c>
      <c r="D852" s="1" t="str">
        <f aca="false">IF(Suiza_DE_CN_ID!A202="","",Suiza_DE_CN_ID!D202)</f>
        <v/>
      </c>
      <c r="E852" s="1" t="str">
        <f aca="false">IF(Suiza_DE_CN_ID!A202="","",Suiza_DE_CN_ID!E202)</f>
        <v/>
      </c>
      <c r="F852" s="1" t="str">
        <f aca="false">IF(Suiza_DE_CN_ID!A202="","",Suiza_DE_CN_ID!G202)</f>
        <v/>
      </c>
      <c r="I852" s="1" t="str">
        <f aca="false">IF(Suiza_DE_CN_ID!A202="","",Suiza_DE_CN_ID!H202)</f>
        <v/>
      </c>
      <c r="J852" s="1" t="str">
        <f aca="false">IF(Suiza_DE_CN_ID!A202="","",Suiza_DE_CN_ID!I202)</f>
        <v/>
      </c>
      <c r="K852" s="1" t="str">
        <f aca="false">IF(Suiza_DE_CN_ID!A202="","",UPPER(Suiza_DE_CN_ID!J202))</f>
        <v/>
      </c>
      <c r="L852" s="1" t="str">
        <f aca="false">IF(Suiza_DE_CN_ID!A202="","",IFERROR(INDEX(Gamma_Catalogo!$D$3:$D$1451,MATCH(Suiza_DE_CN_ID!D202,Gamma_Catalogo!$A$3:$A$1451,0)),"Revisar Ip Code"))</f>
        <v/>
      </c>
      <c r="M852" s="1" t="str">
        <f aca="false">IF(Suiza_DE_CN_ID!A202="","",IFERROR(INDEX(Gamma_Catalogo!$C$3:$C$1451,MATCH(Suiza_DE_CN_ID!D202,Gamma_Catalogo!$A$3:$A$1451,0)),"Revisar Ip Code"))</f>
        <v/>
      </c>
      <c r="N852" s="1" t="str">
        <f aca="false">IF(Suiza_DE_CN_ID!A202="","",IFERROR(INDEX(Gamma_Catalogo!$E$3:$E$1451,MATCH(Suiza_DE_CN_ID!D202,Gamma_Catalogo!$A$3:$A$1451,0)),"Revisar Ip Code"))</f>
        <v/>
      </c>
      <c r="O852" s="1" t="str">
        <f aca="false">IF(Suiza_DE_CN_ID!A202="","","Suiza")</f>
        <v/>
      </c>
    </row>
    <row r="853" customFormat="false" ht="15" hidden="false" customHeight="true" outlineLevel="0" collapsed="false">
      <c r="A853" s="1" t="str">
        <f aca="false">IF(Suiza_DE_CN_ID!A203="","",IFERROR(INDEX(Mercados!$C$2:$C$32,MATCH(Suiza_DE_CN_ID!B203,Mercados!$A$2:$A$32,0)),"Revisar Tscode"))</f>
        <v/>
      </c>
      <c r="B853" s="1" t="str">
        <f aca="false">IF(Suiza_DE_CN_ID!A203="","",Suiza_DE_CN_ID!A203)</f>
        <v/>
      </c>
      <c r="C853" s="1" t="str">
        <f aca="false">IF(Suiza_DE_CN_ID!A203="","",Suiza_DE_CN_ID!C203)</f>
        <v/>
      </c>
      <c r="D853" s="1" t="str">
        <f aca="false">IF(Suiza_DE_CN_ID!A203="","",Suiza_DE_CN_ID!D203)</f>
        <v/>
      </c>
      <c r="E853" s="1" t="str">
        <f aca="false">IF(Suiza_DE_CN_ID!A203="","",Suiza_DE_CN_ID!E203)</f>
        <v/>
      </c>
      <c r="F853" s="1" t="str">
        <f aca="false">IF(Suiza_DE_CN_ID!A203="","",Suiza_DE_CN_ID!G203)</f>
        <v/>
      </c>
      <c r="I853" s="1" t="str">
        <f aca="false">IF(Suiza_DE_CN_ID!A203="","",Suiza_DE_CN_ID!H203)</f>
        <v/>
      </c>
      <c r="J853" s="1" t="str">
        <f aca="false">IF(Suiza_DE_CN_ID!A203="","",Suiza_DE_CN_ID!I203)</f>
        <v/>
      </c>
      <c r="K853" s="1" t="str">
        <f aca="false">IF(Suiza_DE_CN_ID!A203="","",UPPER(Suiza_DE_CN_ID!J203))</f>
        <v/>
      </c>
      <c r="L853" s="1" t="str">
        <f aca="false">IF(Suiza_DE_CN_ID!A203="","",IFERROR(INDEX(Gamma_Catalogo!$D$3:$D$1451,MATCH(Suiza_DE_CN_ID!D203,Gamma_Catalogo!$A$3:$A$1451,0)),"Revisar Ip Code"))</f>
        <v/>
      </c>
      <c r="M853" s="1" t="str">
        <f aca="false">IF(Suiza_DE_CN_ID!A203="","",IFERROR(INDEX(Gamma_Catalogo!$C$3:$C$1451,MATCH(Suiza_DE_CN_ID!D203,Gamma_Catalogo!$A$3:$A$1451,0)),"Revisar Ip Code"))</f>
        <v/>
      </c>
      <c r="N853" s="1" t="str">
        <f aca="false">IF(Suiza_DE_CN_ID!A203="","",IFERROR(INDEX(Gamma_Catalogo!$E$3:$E$1451,MATCH(Suiza_DE_CN_ID!D203,Gamma_Catalogo!$A$3:$A$1451,0)),"Revisar Ip Code"))</f>
        <v/>
      </c>
      <c r="O853" s="1" t="str">
        <f aca="false">IF(Suiza_DE_CN_ID!A203="","","Suiza")</f>
        <v/>
      </c>
    </row>
    <row r="854" customFormat="false" ht="15" hidden="false" customHeight="true" outlineLevel="0" collapsed="false">
      <c r="A854" s="1" t="str">
        <f aca="false">IF(Suiza_DE_CN_ID!A204="","",IFERROR(INDEX(Mercados!$C$2:$C$32,MATCH(Suiza_DE_CN_ID!B204,Mercados!$A$2:$A$32,0)),"Revisar Tscode"))</f>
        <v/>
      </c>
      <c r="B854" s="1" t="str">
        <f aca="false">IF(Suiza_DE_CN_ID!A204="","",Suiza_DE_CN_ID!A204)</f>
        <v/>
      </c>
      <c r="C854" s="1" t="str">
        <f aca="false">IF(Suiza_DE_CN_ID!A204="","",Suiza_DE_CN_ID!C204)</f>
        <v/>
      </c>
      <c r="D854" s="1" t="str">
        <f aca="false">IF(Suiza_DE_CN_ID!A204="","",Suiza_DE_CN_ID!D204)</f>
        <v/>
      </c>
      <c r="E854" s="1" t="str">
        <f aca="false">IF(Suiza_DE_CN_ID!A204="","",Suiza_DE_CN_ID!E204)</f>
        <v/>
      </c>
      <c r="F854" s="1" t="str">
        <f aca="false">IF(Suiza_DE_CN_ID!A204="","",Suiza_DE_CN_ID!G204)</f>
        <v/>
      </c>
      <c r="I854" s="1" t="str">
        <f aca="false">IF(Suiza_DE_CN_ID!A204="","",Suiza_DE_CN_ID!H204)</f>
        <v/>
      </c>
      <c r="J854" s="1" t="str">
        <f aca="false">IF(Suiza_DE_CN_ID!A204="","",Suiza_DE_CN_ID!I204)</f>
        <v/>
      </c>
      <c r="K854" s="1" t="str">
        <f aca="false">IF(Suiza_DE_CN_ID!A204="","",UPPER(Suiza_DE_CN_ID!J204))</f>
        <v/>
      </c>
      <c r="L854" s="1" t="str">
        <f aca="false">IF(Suiza_DE_CN_ID!A204="","",IFERROR(INDEX(Gamma_Catalogo!$D$3:$D$1451,MATCH(Suiza_DE_CN_ID!D204,Gamma_Catalogo!$A$3:$A$1451,0)),"Revisar Ip Code"))</f>
        <v/>
      </c>
      <c r="M854" s="1" t="str">
        <f aca="false">IF(Suiza_DE_CN_ID!A204="","",IFERROR(INDEX(Gamma_Catalogo!$C$3:$C$1451,MATCH(Suiza_DE_CN_ID!D204,Gamma_Catalogo!$A$3:$A$1451,0)),"Revisar Ip Code"))</f>
        <v/>
      </c>
      <c r="N854" s="1" t="str">
        <f aca="false">IF(Suiza_DE_CN_ID!A204="","",IFERROR(INDEX(Gamma_Catalogo!$E$3:$E$1451,MATCH(Suiza_DE_CN_ID!D204,Gamma_Catalogo!$A$3:$A$1451,0)),"Revisar Ip Code"))</f>
        <v/>
      </c>
      <c r="O854" s="1" t="str">
        <f aca="false">IF(Suiza_DE_CN_ID!A204="","","Suiza")</f>
        <v/>
      </c>
    </row>
    <row r="855" customFormat="false" ht="15" hidden="false" customHeight="true" outlineLevel="0" collapsed="false">
      <c r="A855" s="1" t="str">
        <f aca="false">IF(Suiza_DE_CN_ID!A205="","",IFERROR(INDEX(Mercados!$C$2:$C$32,MATCH(Suiza_DE_CN_ID!B205,Mercados!$A$2:$A$32,0)),"Revisar Tscode"))</f>
        <v/>
      </c>
      <c r="B855" s="1" t="str">
        <f aca="false">IF(Suiza_DE_CN_ID!A205="","",Suiza_DE_CN_ID!A205)</f>
        <v/>
      </c>
      <c r="C855" s="1" t="str">
        <f aca="false">IF(Suiza_DE_CN_ID!A205="","",Suiza_DE_CN_ID!C205)</f>
        <v/>
      </c>
      <c r="D855" s="1" t="str">
        <f aca="false">IF(Suiza_DE_CN_ID!A205="","",Suiza_DE_CN_ID!D205)</f>
        <v/>
      </c>
      <c r="E855" s="1" t="str">
        <f aca="false">IF(Suiza_DE_CN_ID!A205="","",Suiza_DE_CN_ID!E205)</f>
        <v/>
      </c>
      <c r="F855" s="1" t="str">
        <f aca="false">IF(Suiza_DE_CN_ID!A205="","",Suiza_DE_CN_ID!G205)</f>
        <v/>
      </c>
      <c r="I855" s="1" t="str">
        <f aca="false">IF(Suiza_DE_CN_ID!A205="","",Suiza_DE_CN_ID!H205)</f>
        <v/>
      </c>
      <c r="J855" s="1" t="str">
        <f aca="false">IF(Suiza_DE_CN_ID!A205="","",Suiza_DE_CN_ID!I205)</f>
        <v/>
      </c>
      <c r="K855" s="1" t="str">
        <f aca="false">IF(Suiza_DE_CN_ID!A205="","",UPPER(Suiza_DE_CN_ID!J205))</f>
        <v/>
      </c>
      <c r="L855" s="1" t="str">
        <f aca="false">IF(Suiza_DE_CN_ID!A205="","",IFERROR(INDEX(Gamma_Catalogo!$D$3:$D$1451,MATCH(Suiza_DE_CN_ID!D205,Gamma_Catalogo!$A$3:$A$1451,0)),"Revisar Ip Code"))</f>
        <v/>
      </c>
      <c r="M855" s="1" t="str">
        <f aca="false">IF(Suiza_DE_CN_ID!A205="","",IFERROR(INDEX(Gamma_Catalogo!$C$3:$C$1451,MATCH(Suiza_DE_CN_ID!D205,Gamma_Catalogo!$A$3:$A$1451,0)),"Revisar Ip Code"))</f>
        <v/>
      </c>
      <c r="N855" s="1" t="str">
        <f aca="false">IF(Suiza_DE_CN_ID!A205="","",IFERROR(INDEX(Gamma_Catalogo!$E$3:$E$1451,MATCH(Suiza_DE_CN_ID!D205,Gamma_Catalogo!$A$3:$A$1451,0)),"Revisar Ip Code"))</f>
        <v/>
      </c>
      <c r="O855" s="1" t="str">
        <f aca="false">IF(Suiza_DE_CN_ID!A205="","","Suiza")</f>
        <v/>
      </c>
    </row>
    <row r="856" customFormat="false" ht="15" hidden="false" customHeight="true" outlineLevel="0" collapsed="false">
      <c r="A856" s="1" t="str">
        <f aca="false">IF(Suiza_DE_CN_ID!A206="","",IFERROR(INDEX(Mercados!$C$2:$C$32,MATCH(Suiza_DE_CN_ID!B206,Mercados!$A$2:$A$32,0)),"Revisar Tscode"))</f>
        <v/>
      </c>
      <c r="B856" s="1" t="str">
        <f aca="false">IF(Suiza_DE_CN_ID!A206="","",Suiza_DE_CN_ID!A206)</f>
        <v/>
      </c>
      <c r="C856" s="1" t="str">
        <f aca="false">IF(Suiza_DE_CN_ID!A206="","",Suiza_DE_CN_ID!C206)</f>
        <v/>
      </c>
      <c r="D856" s="1" t="str">
        <f aca="false">IF(Suiza_DE_CN_ID!A206="","",Suiza_DE_CN_ID!D206)</f>
        <v/>
      </c>
      <c r="E856" s="1" t="str">
        <f aca="false">IF(Suiza_DE_CN_ID!A206="","",Suiza_DE_CN_ID!E206)</f>
        <v/>
      </c>
      <c r="F856" s="1" t="str">
        <f aca="false">IF(Suiza_DE_CN_ID!A206="","",Suiza_DE_CN_ID!G206)</f>
        <v/>
      </c>
      <c r="I856" s="1" t="str">
        <f aca="false">IF(Suiza_DE_CN_ID!A206="","",Suiza_DE_CN_ID!H206)</f>
        <v/>
      </c>
      <c r="J856" s="1" t="str">
        <f aca="false">IF(Suiza_DE_CN_ID!A206="","",Suiza_DE_CN_ID!I206)</f>
        <v/>
      </c>
      <c r="K856" s="1" t="str">
        <f aca="false">IF(Suiza_DE_CN_ID!A206="","",UPPER(Suiza_DE_CN_ID!J206))</f>
        <v/>
      </c>
      <c r="L856" s="1" t="str">
        <f aca="false">IF(Suiza_DE_CN_ID!A206="","",IFERROR(INDEX(Gamma_Catalogo!$D$3:$D$1451,MATCH(Suiza_DE_CN_ID!D206,Gamma_Catalogo!$A$3:$A$1451,0)),"Revisar Ip Code"))</f>
        <v/>
      </c>
      <c r="M856" s="1" t="str">
        <f aca="false">IF(Suiza_DE_CN_ID!A206="","",IFERROR(INDEX(Gamma_Catalogo!$C$3:$C$1451,MATCH(Suiza_DE_CN_ID!D206,Gamma_Catalogo!$A$3:$A$1451,0)),"Revisar Ip Code"))</f>
        <v/>
      </c>
      <c r="N856" s="1" t="str">
        <f aca="false">IF(Suiza_DE_CN_ID!A206="","",IFERROR(INDEX(Gamma_Catalogo!$E$3:$E$1451,MATCH(Suiza_DE_CN_ID!D206,Gamma_Catalogo!$A$3:$A$1451,0)),"Revisar Ip Code"))</f>
        <v/>
      </c>
      <c r="O856" s="1" t="str">
        <f aca="false">IF(Suiza_DE_CN_ID!A206="","","Suiza")</f>
        <v/>
      </c>
    </row>
    <row r="857" customFormat="false" ht="15" hidden="false" customHeight="true" outlineLevel="0" collapsed="false">
      <c r="A857" s="1" t="str">
        <f aca="false">IF(Suiza_DE_CN_ID!A207="","",IFERROR(INDEX(Mercados!$C$2:$C$32,MATCH(Suiza_DE_CN_ID!B207,Mercados!$A$2:$A$32,0)),"Revisar Tscode"))</f>
        <v/>
      </c>
      <c r="B857" s="1" t="str">
        <f aca="false">IF(Suiza_DE_CN_ID!A207="","",Suiza_DE_CN_ID!A207)</f>
        <v/>
      </c>
      <c r="C857" s="1" t="str">
        <f aca="false">IF(Suiza_DE_CN_ID!A207="","",Suiza_DE_CN_ID!C207)</f>
        <v/>
      </c>
      <c r="D857" s="1" t="str">
        <f aca="false">IF(Suiza_DE_CN_ID!A207="","",Suiza_DE_CN_ID!D207)</f>
        <v/>
      </c>
      <c r="E857" s="1" t="str">
        <f aca="false">IF(Suiza_DE_CN_ID!A207="","",Suiza_DE_CN_ID!E207)</f>
        <v/>
      </c>
      <c r="F857" s="1" t="str">
        <f aca="false">IF(Suiza_DE_CN_ID!A207="","",Suiza_DE_CN_ID!G207)</f>
        <v/>
      </c>
      <c r="I857" s="1" t="str">
        <f aca="false">IF(Suiza_DE_CN_ID!A207="","",Suiza_DE_CN_ID!H207)</f>
        <v/>
      </c>
      <c r="J857" s="1" t="str">
        <f aca="false">IF(Suiza_DE_CN_ID!A207="","",Suiza_DE_CN_ID!I207)</f>
        <v/>
      </c>
      <c r="K857" s="1" t="str">
        <f aca="false">IF(Suiza_DE_CN_ID!A207="","",UPPER(Suiza_DE_CN_ID!J207))</f>
        <v/>
      </c>
      <c r="L857" s="1" t="str">
        <f aca="false">IF(Suiza_DE_CN_ID!A207="","",IFERROR(INDEX(Gamma_Catalogo!$D$3:$D$1451,MATCH(Suiza_DE_CN_ID!D207,Gamma_Catalogo!$A$3:$A$1451,0)),"Revisar Ip Code"))</f>
        <v/>
      </c>
      <c r="M857" s="1" t="str">
        <f aca="false">IF(Suiza_DE_CN_ID!A207="","",IFERROR(INDEX(Gamma_Catalogo!$C$3:$C$1451,MATCH(Suiza_DE_CN_ID!D207,Gamma_Catalogo!$A$3:$A$1451,0)),"Revisar Ip Code"))</f>
        <v/>
      </c>
      <c r="N857" s="1" t="str">
        <f aca="false">IF(Suiza_DE_CN_ID!A207="","",IFERROR(INDEX(Gamma_Catalogo!$E$3:$E$1451,MATCH(Suiza_DE_CN_ID!D207,Gamma_Catalogo!$A$3:$A$1451,0)),"Revisar Ip Code"))</f>
        <v/>
      </c>
      <c r="O857" s="1" t="str">
        <f aca="false">IF(Suiza_DE_CN_ID!A207="","","Suiza")</f>
        <v/>
      </c>
    </row>
    <row r="858" customFormat="false" ht="15" hidden="false" customHeight="true" outlineLevel="0" collapsed="false">
      <c r="A858" s="1" t="str">
        <f aca="false">IF(Suiza_DE_CN_ID!A208="","",IFERROR(INDEX(Mercados!$C$2:$C$32,MATCH(Suiza_DE_CN_ID!B208,Mercados!$A$2:$A$32,0)),"Revisar Tscode"))</f>
        <v/>
      </c>
      <c r="B858" s="1" t="str">
        <f aca="false">IF(Suiza_DE_CN_ID!A208="","",Suiza_DE_CN_ID!A208)</f>
        <v/>
      </c>
      <c r="C858" s="1" t="str">
        <f aca="false">IF(Suiza_DE_CN_ID!A208="","",Suiza_DE_CN_ID!C208)</f>
        <v/>
      </c>
      <c r="D858" s="1" t="str">
        <f aca="false">IF(Suiza_DE_CN_ID!A208="","",Suiza_DE_CN_ID!D208)</f>
        <v/>
      </c>
      <c r="E858" s="1" t="str">
        <f aca="false">IF(Suiza_DE_CN_ID!A208="","",Suiza_DE_CN_ID!E208)</f>
        <v/>
      </c>
      <c r="F858" s="1" t="str">
        <f aca="false">IF(Suiza_DE_CN_ID!A208="","",Suiza_DE_CN_ID!G208)</f>
        <v/>
      </c>
      <c r="I858" s="1" t="str">
        <f aca="false">IF(Suiza_DE_CN_ID!A208="","",Suiza_DE_CN_ID!H208)</f>
        <v/>
      </c>
      <c r="J858" s="1" t="str">
        <f aca="false">IF(Suiza_DE_CN_ID!A208="","",Suiza_DE_CN_ID!I208)</f>
        <v/>
      </c>
      <c r="K858" s="1" t="str">
        <f aca="false">IF(Suiza_DE_CN_ID!A208="","",UPPER(Suiza_DE_CN_ID!J208))</f>
        <v/>
      </c>
      <c r="L858" s="1" t="str">
        <f aca="false">IF(Suiza_DE_CN_ID!A208="","",IFERROR(INDEX(Gamma_Catalogo!$D$3:$D$1451,MATCH(Suiza_DE_CN_ID!D208,Gamma_Catalogo!$A$3:$A$1451,0)),"Revisar Ip Code"))</f>
        <v/>
      </c>
      <c r="M858" s="1" t="str">
        <f aca="false">IF(Suiza_DE_CN_ID!A208="","",IFERROR(INDEX(Gamma_Catalogo!$C$3:$C$1451,MATCH(Suiza_DE_CN_ID!D208,Gamma_Catalogo!$A$3:$A$1451,0)),"Revisar Ip Code"))</f>
        <v/>
      </c>
      <c r="N858" s="1" t="str">
        <f aca="false">IF(Suiza_DE_CN_ID!A208="","",IFERROR(INDEX(Gamma_Catalogo!$E$3:$E$1451,MATCH(Suiza_DE_CN_ID!D208,Gamma_Catalogo!$A$3:$A$1451,0)),"Revisar Ip Code"))</f>
        <v/>
      </c>
      <c r="O858" s="1" t="str">
        <f aca="false">IF(Suiza_DE_CN_ID!A208="","","Suiza")</f>
        <v/>
      </c>
    </row>
    <row r="859" customFormat="false" ht="15" hidden="false" customHeight="true" outlineLevel="0" collapsed="false">
      <c r="A859" s="1" t="str">
        <f aca="false">IF(Suiza_DE_CN_ID!A209="","",IFERROR(INDEX(Mercados!$C$2:$C$32,MATCH(Suiza_DE_CN_ID!B209,Mercados!$A$2:$A$32,0)),"Revisar Tscode"))</f>
        <v/>
      </c>
      <c r="B859" s="1" t="str">
        <f aca="false">IF(Suiza_DE_CN_ID!A209="","",Suiza_DE_CN_ID!A209)</f>
        <v/>
      </c>
      <c r="C859" s="1" t="str">
        <f aca="false">IF(Suiza_DE_CN_ID!A209="","",Suiza_DE_CN_ID!C209)</f>
        <v/>
      </c>
      <c r="D859" s="1" t="str">
        <f aca="false">IF(Suiza_DE_CN_ID!A209="","",Suiza_DE_CN_ID!D209)</f>
        <v/>
      </c>
      <c r="E859" s="1" t="str">
        <f aca="false">IF(Suiza_DE_CN_ID!A209="","",Suiza_DE_CN_ID!E209)</f>
        <v/>
      </c>
      <c r="F859" s="1" t="str">
        <f aca="false">IF(Suiza_DE_CN_ID!A209="","",Suiza_DE_CN_ID!G209)</f>
        <v/>
      </c>
      <c r="I859" s="1" t="str">
        <f aca="false">IF(Suiza_DE_CN_ID!A209="","",Suiza_DE_CN_ID!H209)</f>
        <v/>
      </c>
      <c r="J859" s="1" t="str">
        <f aca="false">IF(Suiza_DE_CN_ID!A209="","",Suiza_DE_CN_ID!I209)</f>
        <v/>
      </c>
      <c r="K859" s="1" t="str">
        <f aca="false">IF(Suiza_DE_CN_ID!A209="","",UPPER(Suiza_DE_CN_ID!J209))</f>
        <v/>
      </c>
      <c r="L859" s="1" t="str">
        <f aca="false">IF(Suiza_DE_CN_ID!A209="","",IFERROR(INDEX(Gamma_Catalogo!$D$3:$D$1451,MATCH(Suiza_DE_CN_ID!D209,Gamma_Catalogo!$A$3:$A$1451,0)),"Revisar Ip Code"))</f>
        <v/>
      </c>
      <c r="M859" s="1" t="str">
        <f aca="false">IF(Suiza_DE_CN_ID!A209="","",IFERROR(INDEX(Gamma_Catalogo!$C$3:$C$1451,MATCH(Suiza_DE_CN_ID!D209,Gamma_Catalogo!$A$3:$A$1451,0)),"Revisar Ip Code"))</f>
        <v/>
      </c>
      <c r="N859" s="1" t="str">
        <f aca="false">IF(Suiza_DE_CN_ID!A209="","",IFERROR(INDEX(Gamma_Catalogo!$E$3:$E$1451,MATCH(Suiza_DE_CN_ID!D209,Gamma_Catalogo!$A$3:$A$1451,0)),"Revisar Ip Code"))</f>
        <v/>
      </c>
      <c r="O859" s="1" t="str">
        <f aca="false">IF(Suiza_DE_CN_ID!A209="","","Suiza")</f>
        <v/>
      </c>
    </row>
    <row r="860" customFormat="false" ht="15" hidden="false" customHeight="true" outlineLevel="0" collapsed="false">
      <c r="A860" s="1" t="str">
        <f aca="false">IF(Suiza_DE_CN_ID!A210="","",IFERROR(INDEX(Mercados!$C$2:$C$32,MATCH(Suiza_DE_CN_ID!B210,Mercados!$A$2:$A$32,0)),"Revisar Tscode"))</f>
        <v/>
      </c>
      <c r="B860" s="1" t="str">
        <f aca="false">IF(Suiza_DE_CN_ID!A210="","",Suiza_DE_CN_ID!A210)</f>
        <v/>
      </c>
      <c r="C860" s="1" t="str">
        <f aca="false">IF(Suiza_DE_CN_ID!A210="","",Suiza_DE_CN_ID!C210)</f>
        <v/>
      </c>
      <c r="D860" s="1" t="str">
        <f aca="false">IF(Suiza_DE_CN_ID!A210="","",Suiza_DE_CN_ID!D210)</f>
        <v/>
      </c>
      <c r="E860" s="1" t="str">
        <f aca="false">IF(Suiza_DE_CN_ID!A210="","",Suiza_DE_CN_ID!E210)</f>
        <v/>
      </c>
      <c r="F860" s="1" t="str">
        <f aca="false">IF(Suiza_DE_CN_ID!A210="","",Suiza_DE_CN_ID!G210)</f>
        <v/>
      </c>
      <c r="I860" s="1" t="str">
        <f aca="false">IF(Suiza_DE_CN_ID!A210="","",Suiza_DE_CN_ID!H210)</f>
        <v/>
      </c>
      <c r="J860" s="1" t="str">
        <f aca="false">IF(Suiza_DE_CN_ID!A210="","",Suiza_DE_CN_ID!I210)</f>
        <v/>
      </c>
      <c r="K860" s="1" t="str">
        <f aca="false">IF(Suiza_DE_CN_ID!A210="","",UPPER(Suiza_DE_CN_ID!J210))</f>
        <v/>
      </c>
      <c r="L860" s="1" t="str">
        <f aca="false">IF(Suiza_DE_CN_ID!A210="","",IFERROR(INDEX(Gamma_Catalogo!$D$3:$D$1451,MATCH(Suiza_DE_CN_ID!D210,Gamma_Catalogo!$A$3:$A$1451,0)),"Revisar Ip Code"))</f>
        <v/>
      </c>
      <c r="M860" s="1" t="str">
        <f aca="false">IF(Suiza_DE_CN_ID!A210="","",IFERROR(INDEX(Gamma_Catalogo!$C$3:$C$1451,MATCH(Suiza_DE_CN_ID!D210,Gamma_Catalogo!$A$3:$A$1451,0)),"Revisar Ip Code"))</f>
        <v/>
      </c>
      <c r="N860" s="1" t="str">
        <f aca="false">IF(Suiza_DE_CN_ID!A210="","",IFERROR(INDEX(Gamma_Catalogo!$E$3:$E$1451,MATCH(Suiza_DE_CN_ID!D210,Gamma_Catalogo!$A$3:$A$1451,0)),"Revisar Ip Code"))</f>
        <v/>
      </c>
      <c r="O860" s="1" t="str">
        <f aca="false">IF(Suiza_DE_CN_ID!A210="","","Suiza")</f>
        <v/>
      </c>
    </row>
    <row r="861" customFormat="false" ht="15" hidden="false" customHeight="true" outlineLevel="0" collapsed="false">
      <c r="A861" s="1" t="str">
        <f aca="false">IF(Suiza_DE_CN_ID!A211="","",IFERROR(INDEX(Mercados!$C$2:$C$32,MATCH(Suiza_DE_CN_ID!B211,Mercados!$A$2:$A$32,0)),"Revisar Tscode"))</f>
        <v/>
      </c>
      <c r="B861" s="1" t="str">
        <f aca="false">IF(Suiza_DE_CN_ID!A211="","",Suiza_DE_CN_ID!A211)</f>
        <v/>
      </c>
      <c r="C861" s="1" t="str">
        <f aca="false">IF(Suiza_DE_CN_ID!A211="","",Suiza_DE_CN_ID!C211)</f>
        <v/>
      </c>
      <c r="D861" s="1" t="str">
        <f aca="false">IF(Suiza_DE_CN_ID!A211="","",Suiza_DE_CN_ID!D211)</f>
        <v/>
      </c>
      <c r="E861" s="1" t="str">
        <f aca="false">IF(Suiza_DE_CN_ID!A211="","",Suiza_DE_CN_ID!E211)</f>
        <v/>
      </c>
      <c r="F861" s="1" t="str">
        <f aca="false">IF(Suiza_DE_CN_ID!A211="","",Suiza_DE_CN_ID!G211)</f>
        <v/>
      </c>
      <c r="I861" s="1" t="str">
        <f aca="false">IF(Suiza_DE_CN_ID!A211="","",Suiza_DE_CN_ID!H211)</f>
        <v/>
      </c>
      <c r="J861" s="1" t="str">
        <f aca="false">IF(Suiza_DE_CN_ID!A211="","",Suiza_DE_CN_ID!I211)</f>
        <v/>
      </c>
      <c r="K861" s="1" t="str">
        <f aca="false">IF(Suiza_DE_CN_ID!A211="","",UPPER(Suiza_DE_CN_ID!J211))</f>
        <v/>
      </c>
      <c r="L861" s="1" t="str">
        <f aca="false">IF(Suiza_DE_CN_ID!A211="","",IFERROR(INDEX(Gamma_Catalogo!$D$3:$D$1451,MATCH(Suiza_DE_CN_ID!D211,Gamma_Catalogo!$A$3:$A$1451,0)),"Revisar Ip Code"))</f>
        <v/>
      </c>
      <c r="M861" s="1" t="str">
        <f aca="false">IF(Suiza_DE_CN_ID!A211="","",IFERROR(INDEX(Gamma_Catalogo!$C$3:$C$1451,MATCH(Suiza_DE_CN_ID!D211,Gamma_Catalogo!$A$3:$A$1451,0)),"Revisar Ip Code"))</f>
        <v/>
      </c>
      <c r="N861" s="1" t="str">
        <f aca="false">IF(Suiza_DE_CN_ID!A211="","",IFERROR(INDEX(Gamma_Catalogo!$E$3:$E$1451,MATCH(Suiza_DE_CN_ID!D211,Gamma_Catalogo!$A$3:$A$1451,0)),"Revisar Ip Code"))</f>
        <v/>
      </c>
      <c r="O861" s="1" t="str">
        <f aca="false">IF(Suiza_DE_CN_ID!A211="","","Suiza")</f>
        <v/>
      </c>
    </row>
    <row r="862" customFormat="false" ht="15" hidden="false" customHeight="true" outlineLevel="0" collapsed="false">
      <c r="A862" s="1" t="str">
        <f aca="false">IF(Suiza_DE_CN_ID!A212="","",IFERROR(INDEX(Mercados!$C$2:$C$32,MATCH(Suiza_DE_CN_ID!B212,Mercados!$A$2:$A$32,0)),"Revisar Tscode"))</f>
        <v/>
      </c>
      <c r="B862" s="1" t="str">
        <f aca="false">IF(Suiza_DE_CN_ID!A212="","",Suiza_DE_CN_ID!A212)</f>
        <v/>
      </c>
      <c r="C862" s="1" t="str">
        <f aca="false">IF(Suiza_DE_CN_ID!A212="","",Suiza_DE_CN_ID!C212)</f>
        <v/>
      </c>
      <c r="D862" s="1" t="str">
        <f aca="false">IF(Suiza_DE_CN_ID!A212="","",Suiza_DE_CN_ID!D212)</f>
        <v/>
      </c>
      <c r="E862" s="1" t="str">
        <f aca="false">IF(Suiza_DE_CN_ID!A212="","",Suiza_DE_CN_ID!E212)</f>
        <v/>
      </c>
      <c r="F862" s="1" t="str">
        <f aca="false">IF(Suiza_DE_CN_ID!A212="","",Suiza_DE_CN_ID!G212)</f>
        <v/>
      </c>
      <c r="I862" s="1" t="str">
        <f aca="false">IF(Suiza_DE_CN_ID!A212="","",Suiza_DE_CN_ID!H212)</f>
        <v/>
      </c>
      <c r="J862" s="1" t="str">
        <f aca="false">IF(Suiza_DE_CN_ID!A212="","",Suiza_DE_CN_ID!I212)</f>
        <v/>
      </c>
      <c r="K862" s="1" t="str">
        <f aca="false">IF(Suiza_DE_CN_ID!A212="","",UPPER(Suiza_DE_CN_ID!J212))</f>
        <v/>
      </c>
      <c r="L862" s="1" t="str">
        <f aca="false">IF(Suiza_DE_CN_ID!A212="","",IFERROR(INDEX(Gamma_Catalogo!$D$3:$D$1451,MATCH(Suiza_DE_CN_ID!D212,Gamma_Catalogo!$A$3:$A$1451,0)),"Revisar Ip Code"))</f>
        <v/>
      </c>
      <c r="M862" s="1" t="str">
        <f aca="false">IF(Suiza_DE_CN_ID!A212="","",IFERROR(INDEX(Gamma_Catalogo!$C$3:$C$1451,MATCH(Suiza_DE_CN_ID!D212,Gamma_Catalogo!$A$3:$A$1451,0)),"Revisar Ip Code"))</f>
        <v/>
      </c>
      <c r="N862" s="1" t="str">
        <f aca="false">IF(Suiza_DE_CN_ID!A212="","",IFERROR(INDEX(Gamma_Catalogo!$E$3:$E$1451,MATCH(Suiza_DE_CN_ID!D212,Gamma_Catalogo!$A$3:$A$1451,0)),"Revisar Ip Code"))</f>
        <v/>
      </c>
      <c r="O862" s="1" t="str">
        <f aca="false">IF(Suiza_DE_CN_ID!A212="","","Suiza")</f>
        <v/>
      </c>
    </row>
    <row r="863" customFormat="false" ht="15" hidden="false" customHeight="true" outlineLevel="0" collapsed="false">
      <c r="A863" s="1" t="str">
        <f aca="false">IF(Suiza_DE_CN_ID!A213="","",IFERROR(INDEX(Mercados!$C$2:$C$32,MATCH(Suiza_DE_CN_ID!B213,Mercados!$A$2:$A$32,0)),"Revisar Tscode"))</f>
        <v/>
      </c>
      <c r="B863" s="1" t="str">
        <f aca="false">IF(Suiza_DE_CN_ID!A213="","",Suiza_DE_CN_ID!A213)</f>
        <v/>
      </c>
      <c r="C863" s="1" t="str">
        <f aca="false">IF(Suiza_DE_CN_ID!A213="","",Suiza_DE_CN_ID!C213)</f>
        <v/>
      </c>
      <c r="D863" s="1" t="str">
        <f aca="false">IF(Suiza_DE_CN_ID!A213="","",Suiza_DE_CN_ID!D213)</f>
        <v/>
      </c>
      <c r="E863" s="1" t="str">
        <f aca="false">IF(Suiza_DE_CN_ID!A213="","",Suiza_DE_CN_ID!E213)</f>
        <v/>
      </c>
      <c r="F863" s="1" t="str">
        <f aca="false">IF(Suiza_DE_CN_ID!A213="","",Suiza_DE_CN_ID!G213)</f>
        <v/>
      </c>
      <c r="I863" s="1" t="str">
        <f aca="false">IF(Suiza_DE_CN_ID!A213="","",Suiza_DE_CN_ID!H213)</f>
        <v/>
      </c>
      <c r="J863" s="1" t="str">
        <f aca="false">IF(Suiza_DE_CN_ID!A213="","",Suiza_DE_CN_ID!I213)</f>
        <v/>
      </c>
      <c r="K863" s="1" t="str">
        <f aca="false">IF(Suiza_DE_CN_ID!A213="","",UPPER(Suiza_DE_CN_ID!J213))</f>
        <v/>
      </c>
      <c r="L863" s="1" t="str">
        <f aca="false">IF(Suiza_DE_CN_ID!A213="","",IFERROR(INDEX(Gamma_Catalogo!$D$3:$D$1451,MATCH(Suiza_DE_CN_ID!D213,Gamma_Catalogo!$A$3:$A$1451,0)),"Revisar Ip Code"))</f>
        <v/>
      </c>
      <c r="M863" s="1" t="str">
        <f aca="false">IF(Suiza_DE_CN_ID!A213="","",IFERROR(INDEX(Gamma_Catalogo!$C$3:$C$1451,MATCH(Suiza_DE_CN_ID!D213,Gamma_Catalogo!$A$3:$A$1451,0)),"Revisar Ip Code"))</f>
        <v/>
      </c>
      <c r="N863" s="1" t="str">
        <f aca="false">IF(Suiza_DE_CN_ID!A213="","",IFERROR(INDEX(Gamma_Catalogo!$E$3:$E$1451,MATCH(Suiza_DE_CN_ID!D213,Gamma_Catalogo!$A$3:$A$1451,0)),"Revisar Ip Code"))</f>
        <v/>
      </c>
      <c r="O863" s="1" t="str">
        <f aca="false">IF(Suiza_DE_CN_ID!A213="","","Suiza")</f>
        <v/>
      </c>
    </row>
    <row r="864" customFormat="false" ht="15" hidden="false" customHeight="true" outlineLevel="0" collapsed="false">
      <c r="A864" s="1" t="str">
        <f aca="false">IF(Suiza_DE_CN_ID!A214="","",IFERROR(INDEX(Mercados!$C$2:$C$32,MATCH(Suiza_DE_CN_ID!B214,Mercados!$A$2:$A$32,0)),"Revisar Tscode"))</f>
        <v/>
      </c>
      <c r="B864" s="1" t="str">
        <f aca="false">IF(Suiza_DE_CN_ID!A214="","",Suiza_DE_CN_ID!A214)</f>
        <v/>
      </c>
      <c r="C864" s="1" t="str">
        <f aca="false">IF(Suiza_DE_CN_ID!A214="","",Suiza_DE_CN_ID!C214)</f>
        <v/>
      </c>
      <c r="D864" s="1" t="str">
        <f aca="false">IF(Suiza_DE_CN_ID!A214="","",Suiza_DE_CN_ID!D214)</f>
        <v/>
      </c>
      <c r="E864" s="1" t="str">
        <f aca="false">IF(Suiza_DE_CN_ID!A214="","",Suiza_DE_CN_ID!E214)</f>
        <v/>
      </c>
      <c r="F864" s="1" t="str">
        <f aca="false">IF(Suiza_DE_CN_ID!A214="","",Suiza_DE_CN_ID!G214)</f>
        <v/>
      </c>
      <c r="I864" s="1" t="str">
        <f aca="false">IF(Suiza_DE_CN_ID!A214="","",Suiza_DE_CN_ID!H214)</f>
        <v/>
      </c>
      <c r="J864" s="1" t="str">
        <f aca="false">IF(Suiza_DE_CN_ID!A214="","",Suiza_DE_CN_ID!I214)</f>
        <v/>
      </c>
      <c r="K864" s="1" t="str">
        <f aca="false">IF(Suiza_DE_CN_ID!A214="","",UPPER(Suiza_DE_CN_ID!J214))</f>
        <v/>
      </c>
      <c r="L864" s="1" t="str">
        <f aca="false">IF(Suiza_DE_CN_ID!A214="","",IFERROR(INDEX(Gamma_Catalogo!$D$3:$D$1451,MATCH(Suiza_DE_CN_ID!D214,Gamma_Catalogo!$A$3:$A$1451,0)),"Revisar Ip Code"))</f>
        <v/>
      </c>
      <c r="M864" s="1" t="str">
        <f aca="false">IF(Suiza_DE_CN_ID!A214="","",IFERROR(INDEX(Gamma_Catalogo!$C$3:$C$1451,MATCH(Suiza_DE_CN_ID!D214,Gamma_Catalogo!$A$3:$A$1451,0)),"Revisar Ip Code"))</f>
        <v/>
      </c>
      <c r="N864" s="1" t="str">
        <f aca="false">IF(Suiza_DE_CN_ID!A214="","",IFERROR(INDEX(Gamma_Catalogo!$E$3:$E$1451,MATCH(Suiza_DE_CN_ID!D214,Gamma_Catalogo!$A$3:$A$1451,0)),"Revisar Ip Code"))</f>
        <v/>
      </c>
      <c r="O864" s="1" t="str">
        <f aca="false">IF(Suiza_DE_CN_ID!A214="","","Suiza")</f>
        <v/>
      </c>
    </row>
    <row r="865" customFormat="false" ht="15" hidden="false" customHeight="true" outlineLevel="0" collapsed="false">
      <c r="A865" s="1" t="str">
        <f aca="false">IF(Suiza_DE_CN_ID!A215="","",IFERROR(INDEX(Mercados!$C$2:$C$32,MATCH(Suiza_DE_CN_ID!B215,Mercados!$A$2:$A$32,0)),"Revisar Tscode"))</f>
        <v/>
      </c>
      <c r="B865" s="1" t="str">
        <f aca="false">IF(Suiza_DE_CN_ID!A215="","",Suiza_DE_CN_ID!A215)</f>
        <v/>
      </c>
      <c r="C865" s="1" t="str">
        <f aca="false">IF(Suiza_DE_CN_ID!A215="","",Suiza_DE_CN_ID!C215)</f>
        <v/>
      </c>
      <c r="D865" s="1" t="str">
        <f aca="false">IF(Suiza_DE_CN_ID!A215="","",Suiza_DE_CN_ID!D215)</f>
        <v/>
      </c>
      <c r="E865" s="1" t="str">
        <f aca="false">IF(Suiza_DE_CN_ID!A215="","",Suiza_DE_CN_ID!E215)</f>
        <v/>
      </c>
      <c r="F865" s="1" t="str">
        <f aca="false">IF(Suiza_DE_CN_ID!A215="","",Suiza_DE_CN_ID!G215)</f>
        <v/>
      </c>
      <c r="I865" s="1" t="str">
        <f aca="false">IF(Suiza_DE_CN_ID!A215="","",Suiza_DE_CN_ID!H215)</f>
        <v/>
      </c>
      <c r="J865" s="1" t="str">
        <f aca="false">IF(Suiza_DE_CN_ID!A215="","",Suiza_DE_CN_ID!I215)</f>
        <v/>
      </c>
      <c r="K865" s="1" t="str">
        <f aca="false">IF(Suiza_DE_CN_ID!A215="","",UPPER(Suiza_DE_CN_ID!J215))</f>
        <v/>
      </c>
      <c r="L865" s="1" t="str">
        <f aca="false">IF(Suiza_DE_CN_ID!A215="","",IFERROR(INDEX(Gamma_Catalogo!$D$3:$D$1451,MATCH(Suiza_DE_CN_ID!D215,Gamma_Catalogo!$A$3:$A$1451,0)),"Revisar Ip Code"))</f>
        <v/>
      </c>
      <c r="M865" s="1" t="str">
        <f aca="false">IF(Suiza_DE_CN_ID!A215="","",IFERROR(INDEX(Gamma_Catalogo!$C$3:$C$1451,MATCH(Suiza_DE_CN_ID!D215,Gamma_Catalogo!$A$3:$A$1451,0)),"Revisar Ip Code"))</f>
        <v/>
      </c>
      <c r="N865" s="1" t="str">
        <f aca="false">IF(Suiza_DE_CN_ID!A215="","",IFERROR(INDEX(Gamma_Catalogo!$E$3:$E$1451,MATCH(Suiza_DE_CN_ID!D215,Gamma_Catalogo!$A$3:$A$1451,0)),"Revisar Ip Code"))</f>
        <v/>
      </c>
      <c r="O865" s="1" t="str">
        <f aca="false">IF(Suiza_DE_CN_ID!A215="","","Suiza")</f>
        <v/>
      </c>
    </row>
    <row r="866" customFormat="false" ht="15" hidden="false" customHeight="true" outlineLevel="0" collapsed="false">
      <c r="A866" s="1" t="str">
        <f aca="false">IF(Suiza_DE_CN_ID!A216="","",IFERROR(INDEX(Mercados!$C$2:$C$32,MATCH(Suiza_DE_CN_ID!B216,Mercados!$A$2:$A$32,0)),"Revisar Tscode"))</f>
        <v/>
      </c>
      <c r="B866" s="1" t="str">
        <f aca="false">IF(Suiza_DE_CN_ID!A216="","",Suiza_DE_CN_ID!A216)</f>
        <v/>
      </c>
      <c r="C866" s="1" t="str">
        <f aca="false">IF(Suiza_DE_CN_ID!A216="","",Suiza_DE_CN_ID!C216)</f>
        <v/>
      </c>
      <c r="D866" s="1" t="str">
        <f aca="false">IF(Suiza_DE_CN_ID!A216="","",Suiza_DE_CN_ID!D216)</f>
        <v/>
      </c>
      <c r="E866" s="1" t="str">
        <f aca="false">IF(Suiza_DE_CN_ID!A216="","",Suiza_DE_CN_ID!E216)</f>
        <v/>
      </c>
      <c r="F866" s="1" t="str">
        <f aca="false">IF(Suiza_DE_CN_ID!A216="","",Suiza_DE_CN_ID!G216)</f>
        <v/>
      </c>
      <c r="I866" s="1" t="str">
        <f aca="false">IF(Suiza_DE_CN_ID!A216="","",Suiza_DE_CN_ID!H216)</f>
        <v/>
      </c>
      <c r="J866" s="1" t="str">
        <f aca="false">IF(Suiza_DE_CN_ID!A216="","",Suiza_DE_CN_ID!I216)</f>
        <v/>
      </c>
      <c r="K866" s="1" t="str">
        <f aca="false">IF(Suiza_DE_CN_ID!A216="","",UPPER(Suiza_DE_CN_ID!J216))</f>
        <v/>
      </c>
      <c r="L866" s="1" t="str">
        <f aca="false">IF(Suiza_DE_CN_ID!A216="","",IFERROR(INDEX(Gamma_Catalogo!$D$3:$D$1451,MATCH(Suiza_DE_CN_ID!D216,Gamma_Catalogo!$A$3:$A$1451,0)),"Revisar Ip Code"))</f>
        <v/>
      </c>
      <c r="M866" s="1" t="str">
        <f aca="false">IF(Suiza_DE_CN_ID!A216="","",IFERROR(INDEX(Gamma_Catalogo!$C$3:$C$1451,MATCH(Suiza_DE_CN_ID!D216,Gamma_Catalogo!$A$3:$A$1451,0)),"Revisar Ip Code"))</f>
        <v/>
      </c>
      <c r="N866" s="1" t="str">
        <f aca="false">IF(Suiza_DE_CN_ID!A216="","",IFERROR(INDEX(Gamma_Catalogo!$E$3:$E$1451,MATCH(Suiza_DE_CN_ID!D216,Gamma_Catalogo!$A$3:$A$1451,0)),"Revisar Ip Code"))</f>
        <v/>
      </c>
      <c r="O866" s="1" t="str">
        <f aca="false">IF(Suiza_DE_CN_ID!A216="","","Suiza")</f>
        <v/>
      </c>
    </row>
    <row r="867" customFormat="false" ht="15" hidden="false" customHeight="true" outlineLevel="0" collapsed="false">
      <c r="A867" s="1" t="str">
        <f aca="false">IF(Suiza_DE_CN_ID!A217="","",IFERROR(INDEX(Mercados!$C$2:$C$32,MATCH(Suiza_DE_CN_ID!B217,Mercados!$A$2:$A$32,0)),"Revisar Tscode"))</f>
        <v/>
      </c>
      <c r="B867" s="1" t="str">
        <f aca="false">IF(Suiza_DE_CN_ID!A217="","",Suiza_DE_CN_ID!A217)</f>
        <v/>
      </c>
      <c r="C867" s="1" t="str">
        <f aca="false">IF(Suiza_DE_CN_ID!A217="","",Suiza_DE_CN_ID!C217)</f>
        <v/>
      </c>
      <c r="D867" s="1" t="str">
        <f aca="false">IF(Suiza_DE_CN_ID!A217="","",Suiza_DE_CN_ID!D217)</f>
        <v/>
      </c>
      <c r="E867" s="1" t="str">
        <f aca="false">IF(Suiza_DE_CN_ID!A217="","",Suiza_DE_CN_ID!E217)</f>
        <v/>
      </c>
      <c r="F867" s="1" t="str">
        <f aca="false">IF(Suiza_DE_CN_ID!A217="","",Suiza_DE_CN_ID!G217)</f>
        <v/>
      </c>
      <c r="I867" s="1" t="str">
        <f aca="false">IF(Suiza_DE_CN_ID!A217="","",Suiza_DE_CN_ID!H217)</f>
        <v/>
      </c>
      <c r="J867" s="1" t="str">
        <f aca="false">IF(Suiza_DE_CN_ID!A217="","",Suiza_DE_CN_ID!I217)</f>
        <v/>
      </c>
      <c r="K867" s="1" t="str">
        <f aca="false">IF(Suiza_DE_CN_ID!A217="","",UPPER(Suiza_DE_CN_ID!J217))</f>
        <v/>
      </c>
      <c r="L867" s="1" t="str">
        <f aca="false">IF(Suiza_DE_CN_ID!A217="","",IFERROR(INDEX(Gamma_Catalogo!$D$3:$D$1451,MATCH(Suiza_DE_CN_ID!D217,Gamma_Catalogo!$A$3:$A$1451,0)),"Revisar Ip Code"))</f>
        <v/>
      </c>
      <c r="M867" s="1" t="str">
        <f aca="false">IF(Suiza_DE_CN_ID!A217="","",IFERROR(INDEX(Gamma_Catalogo!$C$3:$C$1451,MATCH(Suiza_DE_CN_ID!D217,Gamma_Catalogo!$A$3:$A$1451,0)),"Revisar Ip Code"))</f>
        <v/>
      </c>
      <c r="N867" s="1" t="str">
        <f aca="false">IF(Suiza_DE_CN_ID!A217="","",IFERROR(INDEX(Gamma_Catalogo!$E$3:$E$1451,MATCH(Suiza_DE_CN_ID!D217,Gamma_Catalogo!$A$3:$A$1451,0)),"Revisar Ip Code"))</f>
        <v/>
      </c>
      <c r="O867" s="1" t="str">
        <f aca="false">IF(Suiza_DE_CN_ID!A217="","","Suiza")</f>
        <v/>
      </c>
    </row>
    <row r="868" customFormat="false" ht="15" hidden="false" customHeight="true" outlineLevel="0" collapsed="false">
      <c r="A868" s="1" t="str">
        <f aca="false">IF(Suiza_DE_CN_ID!A218="","",IFERROR(INDEX(Mercados!$C$2:$C$32,MATCH(Suiza_DE_CN_ID!B218,Mercados!$A$2:$A$32,0)),"Revisar Tscode"))</f>
        <v/>
      </c>
      <c r="B868" s="1" t="str">
        <f aca="false">IF(Suiza_DE_CN_ID!A218="","",Suiza_DE_CN_ID!A218)</f>
        <v/>
      </c>
      <c r="C868" s="1" t="str">
        <f aca="false">IF(Suiza_DE_CN_ID!A218="","",Suiza_DE_CN_ID!C218)</f>
        <v/>
      </c>
      <c r="D868" s="1" t="str">
        <f aca="false">IF(Suiza_DE_CN_ID!A218="","",Suiza_DE_CN_ID!D218)</f>
        <v/>
      </c>
      <c r="E868" s="1" t="str">
        <f aca="false">IF(Suiza_DE_CN_ID!A218="","",Suiza_DE_CN_ID!E218)</f>
        <v/>
      </c>
      <c r="F868" s="1" t="str">
        <f aca="false">IF(Suiza_DE_CN_ID!A218="","",Suiza_DE_CN_ID!G218)</f>
        <v/>
      </c>
      <c r="I868" s="1" t="str">
        <f aca="false">IF(Suiza_DE_CN_ID!A218="","",Suiza_DE_CN_ID!H218)</f>
        <v/>
      </c>
      <c r="J868" s="1" t="str">
        <f aca="false">IF(Suiza_DE_CN_ID!A218="","",Suiza_DE_CN_ID!I218)</f>
        <v/>
      </c>
      <c r="K868" s="1" t="str">
        <f aca="false">IF(Suiza_DE_CN_ID!A218="","",UPPER(Suiza_DE_CN_ID!J218))</f>
        <v/>
      </c>
      <c r="L868" s="1" t="str">
        <f aca="false">IF(Suiza_DE_CN_ID!A218="","",IFERROR(INDEX(Gamma_Catalogo!$D$3:$D$1451,MATCH(Suiza_DE_CN_ID!D218,Gamma_Catalogo!$A$3:$A$1451,0)),"Revisar Ip Code"))</f>
        <v/>
      </c>
      <c r="M868" s="1" t="str">
        <f aca="false">IF(Suiza_DE_CN_ID!A218="","",IFERROR(INDEX(Gamma_Catalogo!$C$3:$C$1451,MATCH(Suiza_DE_CN_ID!D218,Gamma_Catalogo!$A$3:$A$1451,0)),"Revisar Ip Code"))</f>
        <v/>
      </c>
      <c r="N868" s="1" t="str">
        <f aca="false">IF(Suiza_DE_CN_ID!A218="","",IFERROR(INDEX(Gamma_Catalogo!$E$3:$E$1451,MATCH(Suiza_DE_CN_ID!D218,Gamma_Catalogo!$A$3:$A$1451,0)),"Revisar Ip Code"))</f>
        <v/>
      </c>
      <c r="O868" s="1" t="str">
        <f aca="false">IF(Suiza_DE_CN_ID!A218="","","Suiza")</f>
        <v/>
      </c>
    </row>
    <row r="869" customFormat="false" ht="15" hidden="false" customHeight="true" outlineLevel="0" collapsed="false">
      <c r="A869" s="1" t="str">
        <f aca="false">IF(Suiza_DE_CN_ID!A219="","",IFERROR(INDEX(Mercados!$C$2:$C$32,MATCH(Suiza_DE_CN_ID!B219,Mercados!$A$2:$A$32,0)),"Revisar Tscode"))</f>
        <v/>
      </c>
      <c r="B869" s="1" t="str">
        <f aca="false">IF(Suiza_DE_CN_ID!A219="","",Suiza_DE_CN_ID!A219)</f>
        <v/>
      </c>
      <c r="C869" s="1" t="str">
        <f aca="false">IF(Suiza_DE_CN_ID!A219="","",Suiza_DE_CN_ID!C219)</f>
        <v/>
      </c>
      <c r="D869" s="1" t="str">
        <f aca="false">IF(Suiza_DE_CN_ID!A219="","",Suiza_DE_CN_ID!D219)</f>
        <v/>
      </c>
      <c r="E869" s="1" t="str">
        <f aca="false">IF(Suiza_DE_CN_ID!A219="","",Suiza_DE_CN_ID!E219)</f>
        <v/>
      </c>
      <c r="F869" s="1" t="str">
        <f aca="false">IF(Suiza_DE_CN_ID!A219="","",Suiza_DE_CN_ID!G219)</f>
        <v/>
      </c>
      <c r="I869" s="1" t="str">
        <f aca="false">IF(Suiza_DE_CN_ID!A219="","",Suiza_DE_CN_ID!H219)</f>
        <v/>
      </c>
      <c r="J869" s="1" t="str">
        <f aca="false">IF(Suiza_DE_CN_ID!A219="","",Suiza_DE_CN_ID!I219)</f>
        <v/>
      </c>
      <c r="K869" s="1" t="str">
        <f aca="false">IF(Suiza_DE_CN_ID!A219="","",UPPER(Suiza_DE_CN_ID!J219))</f>
        <v/>
      </c>
      <c r="L869" s="1" t="str">
        <f aca="false">IF(Suiza_DE_CN_ID!A219="","",IFERROR(INDEX(Gamma_Catalogo!$D$3:$D$1451,MATCH(Suiza_DE_CN_ID!D219,Gamma_Catalogo!$A$3:$A$1451,0)),"Revisar Ip Code"))</f>
        <v/>
      </c>
      <c r="M869" s="1" t="str">
        <f aca="false">IF(Suiza_DE_CN_ID!A219="","",IFERROR(INDEX(Gamma_Catalogo!$C$3:$C$1451,MATCH(Suiza_DE_CN_ID!D219,Gamma_Catalogo!$A$3:$A$1451,0)),"Revisar Ip Code"))</f>
        <v/>
      </c>
      <c r="N869" s="1" t="str">
        <f aca="false">IF(Suiza_DE_CN_ID!A219="","",IFERROR(INDEX(Gamma_Catalogo!$E$3:$E$1451,MATCH(Suiza_DE_CN_ID!D219,Gamma_Catalogo!$A$3:$A$1451,0)),"Revisar Ip Code"))</f>
        <v/>
      </c>
      <c r="O869" s="1" t="str">
        <f aca="false">IF(Suiza_DE_CN_ID!A219="","","Suiza")</f>
        <v/>
      </c>
    </row>
    <row r="870" customFormat="false" ht="15" hidden="false" customHeight="true" outlineLevel="0" collapsed="false">
      <c r="A870" s="1" t="str">
        <f aca="false">IF(Suiza_DE_CN_ID!A220="","",IFERROR(INDEX(Mercados!$C$2:$C$32,MATCH(Suiza_DE_CN_ID!B220,Mercados!$A$2:$A$32,0)),"Revisar Tscode"))</f>
        <v/>
      </c>
      <c r="B870" s="1" t="str">
        <f aca="false">IF(Suiza_DE_CN_ID!A220="","",Suiza_DE_CN_ID!A220)</f>
        <v/>
      </c>
      <c r="C870" s="1" t="str">
        <f aca="false">IF(Suiza_DE_CN_ID!A220="","",Suiza_DE_CN_ID!C220)</f>
        <v/>
      </c>
      <c r="D870" s="1" t="str">
        <f aca="false">IF(Suiza_DE_CN_ID!A220="","",Suiza_DE_CN_ID!D220)</f>
        <v/>
      </c>
      <c r="E870" s="1" t="str">
        <f aca="false">IF(Suiza_DE_CN_ID!A220="","",Suiza_DE_CN_ID!E220)</f>
        <v/>
      </c>
      <c r="F870" s="1" t="str">
        <f aca="false">IF(Suiza_DE_CN_ID!A220="","",Suiza_DE_CN_ID!G220)</f>
        <v/>
      </c>
      <c r="I870" s="1" t="str">
        <f aca="false">IF(Suiza_DE_CN_ID!A220="","",Suiza_DE_CN_ID!H220)</f>
        <v/>
      </c>
      <c r="J870" s="1" t="str">
        <f aca="false">IF(Suiza_DE_CN_ID!A220="","",Suiza_DE_CN_ID!I220)</f>
        <v/>
      </c>
      <c r="K870" s="1" t="str">
        <f aca="false">IF(Suiza_DE_CN_ID!A220="","",UPPER(Suiza_DE_CN_ID!J220))</f>
        <v/>
      </c>
      <c r="L870" s="1" t="str">
        <f aca="false">IF(Suiza_DE_CN_ID!A220="","",IFERROR(INDEX(Gamma_Catalogo!$D$3:$D$1451,MATCH(Suiza_DE_CN_ID!D220,Gamma_Catalogo!$A$3:$A$1451,0)),"Revisar Ip Code"))</f>
        <v/>
      </c>
      <c r="M870" s="1" t="str">
        <f aca="false">IF(Suiza_DE_CN_ID!A220="","",IFERROR(INDEX(Gamma_Catalogo!$C$3:$C$1451,MATCH(Suiza_DE_CN_ID!D220,Gamma_Catalogo!$A$3:$A$1451,0)),"Revisar Ip Code"))</f>
        <v/>
      </c>
      <c r="N870" s="1" t="str">
        <f aca="false">IF(Suiza_DE_CN_ID!A220="","",IFERROR(INDEX(Gamma_Catalogo!$E$3:$E$1451,MATCH(Suiza_DE_CN_ID!D220,Gamma_Catalogo!$A$3:$A$1451,0)),"Revisar Ip Code"))</f>
        <v/>
      </c>
      <c r="O870" s="1" t="str">
        <f aca="false">IF(Suiza_DE_CN_ID!A220="","","Suiza")</f>
        <v/>
      </c>
    </row>
    <row r="871" customFormat="false" ht="15" hidden="false" customHeight="true" outlineLevel="0" collapsed="false">
      <c r="A871" s="1" t="str">
        <f aca="false">IF(Suiza_DE_CN_ID!A221="","",IFERROR(INDEX(Mercados!$C$2:$C$32,MATCH(Suiza_DE_CN_ID!B221,Mercados!$A$2:$A$32,0)),"Revisar Tscode"))</f>
        <v/>
      </c>
      <c r="B871" s="1" t="str">
        <f aca="false">IF(Suiza_DE_CN_ID!A221="","",Suiza_DE_CN_ID!A221)</f>
        <v/>
      </c>
      <c r="C871" s="1" t="str">
        <f aca="false">IF(Suiza_DE_CN_ID!A221="","",Suiza_DE_CN_ID!C221)</f>
        <v/>
      </c>
      <c r="D871" s="1" t="str">
        <f aca="false">IF(Suiza_DE_CN_ID!A221="","",Suiza_DE_CN_ID!D221)</f>
        <v/>
      </c>
      <c r="E871" s="1" t="str">
        <f aca="false">IF(Suiza_DE_CN_ID!A221="","",Suiza_DE_CN_ID!E221)</f>
        <v/>
      </c>
      <c r="F871" s="1" t="str">
        <f aca="false">IF(Suiza_DE_CN_ID!A221="","",Suiza_DE_CN_ID!G221)</f>
        <v/>
      </c>
      <c r="I871" s="1" t="str">
        <f aca="false">IF(Suiza_DE_CN_ID!A221="","",Suiza_DE_CN_ID!H221)</f>
        <v/>
      </c>
      <c r="J871" s="1" t="str">
        <f aca="false">IF(Suiza_DE_CN_ID!A221="","",Suiza_DE_CN_ID!I221)</f>
        <v/>
      </c>
      <c r="K871" s="1" t="str">
        <f aca="false">IF(Suiza_DE_CN_ID!A221="","",UPPER(Suiza_DE_CN_ID!J221))</f>
        <v/>
      </c>
      <c r="L871" s="1" t="str">
        <f aca="false">IF(Suiza_DE_CN_ID!A221="","",IFERROR(INDEX(Gamma_Catalogo!$D$3:$D$1451,MATCH(Suiza_DE_CN_ID!D221,Gamma_Catalogo!$A$3:$A$1451,0)),"Revisar Ip Code"))</f>
        <v/>
      </c>
      <c r="M871" s="1" t="str">
        <f aca="false">IF(Suiza_DE_CN_ID!A221="","",IFERROR(INDEX(Gamma_Catalogo!$C$3:$C$1451,MATCH(Suiza_DE_CN_ID!D221,Gamma_Catalogo!$A$3:$A$1451,0)),"Revisar Ip Code"))</f>
        <v/>
      </c>
      <c r="N871" s="1" t="str">
        <f aca="false">IF(Suiza_DE_CN_ID!A221="","",IFERROR(INDEX(Gamma_Catalogo!$E$3:$E$1451,MATCH(Suiza_DE_CN_ID!D221,Gamma_Catalogo!$A$3:$A$1451,0)),"Revisar Ip Code"))</f>
        <v/>
      </c>
      <c r="O871" s="1" t="str">
        <f aca="false">IF(Suiza_DE_CN_ID!A221="","","Suiza")</f>
        <v/>
      </c>
    </row>
    <row r="872" customFormat="false" ht="15" hidden="false" customHeight="true" outlineLevel="0" collapsed="false">
      <c r="A872" s="1" t="str">
        <f aca="false">IF(Suiza_DE_CN_ID!A222="","",IFERROR(INDEX(Mercados!$C$2:$C$32,MATCH(Suiza_DE_CN_ID!B222,Mercados!$A$2:$A$32,0)),"Revisar Tscode"))</f>
        <v/>
      </c>
      <c r="B872" s="1" t="str">
        <f aca="false">IF(Suiza_DE_CN_ID!A222="","",Suiza_DE_CN_ID!A222)</f>
        <v/>
      </c>
      <c r="C872" s="1" t="str">
        <f aca="false">IF(Suiza_DE_CN_ID!A222="","",Suiza_DE_CN_ID!C222)</f>
        <v/>
      </c>
      <c r="D872" s="1" t="str">
        <f aca="false">IF(Suiza_DE_CN_ID!A222="","",Suiza_DE_CN_ID!D222)</f>
        <v/>
      </c>
      <c r="E872" s="1" t="str">
        <f aca="false">IF(Suiza_DE_CN_ID!A222="","",Suiza_DE_CN_ID!E222)</f>
        <v/>
      </c>
      <c r="F872" s="1" t="str">
        <f aca="false">IF(Suiza_DE_CN_ID!A222="","",Suiza_DE_CN_ID!G222)</f>
        <v/>
      </c>
      <c r="I872" s="1" t="str">
        <f aca="false">IF(Suiza_DE_CN_ID!A222="","",Suiza_DE_CN_ID!H222)</f>
        <v/>
      </c>
      <c r="J872" s="1" t="str">
        <f aca="false">IF(Suiza_DE_CN_ID!A222="","",Suiza_DE_CN_ID!I222)</f>
        <v/>
      </c>
      <c r="K872" s="1" t="str">
        <f aca="false">IF(Suiza_DE_CN_ID!A222="","",UPPER(Suiza_DE_CN_ID!J222))</f>
        <v/>
      </c>
      <c r="L872" s="1" t="str">
        <f aca="false">IF(Suiza_DE_CN_ID!A222="","",IFERROR(INDEX(Gamma_Catalogo!$D$3:$D$1451,MATCH(Suiza_DE_CN_ID!D222,Gamma_Catalogo!$A$3:$A$1451,0)),"Revisar Ip Code"))</f>
        <v/>
      </c>
      <c r="M872" s="1" t="str">
        <f aca="false">IF(Suiza_DE_CN_ID!A222="","",IFERROR(INDEX(Gamma_Catalogo!$C$3:$C$1451,MATCH(Suiza_DE_CN_ID!D222,Gamma_Catalogo!$A$3:$A$1451,0)),"Revisar Ip Code"))</f>
        <v/>
      </c>
      <c r="N872" s="1" t="str">
        <f aca="false">IF(Suiza_DE_CN_ID!A222="","",IFERROR(INDEX(Gamma_Catalogo!$E$3:$E$1451,MATCH(Suiza_DE_CN_ID!D222,Gamma_Catalogo!$A$3:$A$1451,0)),"Revisar Ip Code"))</f>
        <v/>
      </c>
      <c r="O872" s="1" t="str">
        <f aca="false">IF(Suiza_DE_CN_ID!A222="","","Suiza")</f>
        <v/>
      </c>
    </row>
    <row r="873" customFormat="false" ht="15" hidden="false" customHeight="true" outlineLevel="0" collapsed="false">
      <c r="A873" s="1" t="str">
        <f aca="false">IF(Suiza_DE_CN_ID!A223="","",IFERROR(INDEX(Mercados!$C$2:$C$32,MATCH(Suiza_DE_CN_ID!B223,Mercados!$A$2:$A$32,0)),"Revisar Tscode"))</f>
        <v/>
      </c>
      <c r="B873" s="1" t="str">
        <f aca="false">IF(Suiza_DE_CN_ID!A223="","",Suiza_DE_CN_ID!A223)</f>
        <v/>
      </c>
      <c r="C873" s="1" t="str">
        <f aca="false">IF(Suiza_DE_CN_ID!A223="","",Suiza_DE_CN_ID!C223)</f>
        <v/>
      </c>
      <c r="D873" s="1" t="str">
        <f aca="false">IF(Suiza_DE_CN_ID!A223="","",Suiza_DE_CN_ID!D223)</f>
        <v/>
      </c>
      <c r="E873" s="1" t="str">
        <f aca="false">IF(Suiza_DE_CN_ID!A223="","",Suiza_DE_CN_ID!E223)</f>
        <v/>
      </c>
      <c r="F873" s="1" t="str">
        <f aca="false">IF(Suiza_DE_CN_ID!A223="","",Suiza_DE_CN_ID!G223)</f>
        <v/>
      </c>
      <c r="I873" s="1" t="str">
        <f aca="false">IF(Suiza_DE_CN_ID!A223="","",Suiza_DE_CN_ID!H223)</f>
        <v/>
      </c>
      <c r="J873" s="1" t="str">
        <f aca="false">IF(Suiza_DE_CN_ID!A223="","",Suiza_DE_CN_ID!I223)</f>
        <v/>
      </c>
      <c r="K873" s="1" t="str">
        <f aca="false">IF(Suiza_DE_CN_ID!A223="","",UPPER(Suiza_DE_CN_ID!J223))</f>
        <v/>
      </c>
      <c r="L873" s="1" t="str">
        <f aca="false">IF(Suiza_DE_CN_ID!A223="","",IFERROR(INDEX(Gamma_Catalogo!$D$3:$D$1451,MATCH(Suiza_DE_CN_ID!D223,Gamma_Catalogo!$A$3:$A$1451,0)),"Revisar Ip Code"))</f>
        <v/>
      </c>
      <c r="M873" s="1" t="str">
        <f aca="false">IF(Suiza_DE_CN_ID!A223="","",IFERROR(INDEX(Gamma_Catalogo!$C$3:$C$1451,MATCH(Suiza_DE_CN_ID!D223,Gamma_Catalogo!$A$3:$A$1451,0)),"Revisar Ip Code"))</f>
        <v/>
      </c>
      <c r="N873" s="1" t="str">
        <f aca="false">IF(Suiza_DE_CN_ID!A223="","",IFERROR(INDEX(Gamma_Catalogo!$E$3:$E$1451,MATCH(Suiza_DE_CN_ID!D223,Gamma_Catalogo!$A$3:$A$1451,0)),"Revisar Ip Code"))</f>
        <v/>
      </c>
      <c r="O873" s="1" t="str">
        <f aca="false">IF(Suiza_DE_CN_ID!A223="","","Suiza")</f>
        <v/>
      </c>
    </row>
    <row r="874" customFormat="false" ht="15" hidden="false" customHeight="true" outlineLevel="0" collapsed="false">
      <c r="A874" s="1" t="str">
        <f aca="false">IF(Suiza_DE_CN_ID!A224="","",IFERROR(INDEX(Mercados!$C$2:$C$32,MATCH(Suiza_DE_CN_ID!B224,Mercados!$A$2:$A$32,0)),"Revisar Tscode"))</f>
        <v/>
      </c>
      <c r="B874" s="1" t="str">
        <f aca="false">IF(Suiza_DE_CN_ID!A224="","",Suiza_DE_CN_ID!A224)</f>
        <v/>
      </c>
      <c r="C874" s="1" t="str">
        <f aca="false">IF(Suiza_DE_CN_ID!A224="","",Suiza_DE_CN_ID!C224)</f>
        <v/>
      </c>
      <c r="D874" s="1" t="str">
        <f aca="false">IF(Suiza_DE_CN_ID!A224="","",Suiza_DE_CN_ID!D224)</f>
        <v/>
      </c>
      <c r="E874" s="1" t="str">
        <f aca="false">IF(Suiza_DE_CN_ID!A224="","",Suiza_DE_CN_ID!E224)</f>
        <v/>
      </c>
      <c r="F874" s="1" t="str">
        <f aca="false">IF(Suiza_DE_CN_ID!A224="","",Suiza_DE_CN_ID!G224)</f>
        <v/>
      </c>
      <c r="I874" s="1" t="str">
        <f aca="false">IF(Suiza_DE_CN_ID!A224="","",Suiza_DE_CN_ID!H224)</f>
        <v/>
      </c>
      <c r="J874" s="1" t="str">
        <f aca="false">IF(Suiza_DE_CN_ID!A224="","",Suiza_DE_CN_ID!I224)</f>
        <v/>
      </c>
      <c r="K874" s="1" t="str">
        <f aca="false">IF(Suiza_DE_CN_ID!A224="","",UPPER(Suiza_DE_CN_ID!J224))</f>
        <v/>
      </c>
      <c r="L874" s="1" t="str">
        <f aca="false">IF(Suiza_DE_CN_ID!A224="","",IFERROR(INDEX(Gamma_Catalogo!$D$3:$D$1451,MATCH(Suiza_DE_CN_ID!D224,Gamma_Catalogo!$A$3:$A$1451,0)),"Revisar Ip Code"))</f>
        <v/>
      </c>
      <c r="M874" s="1" t="str">
        <f aca="false">IF(Suiza_DE_CN_ID!A224="","",IFERROR(INDEX(Gamma_Catalogo!$C$3:$C$1451,MATCH(Suiza_DE_CN_ID!D224,Gamma_Catalogo!$A$3:$A$1451,0)),"Revisar Ip Code"))</f>
        <v/>
      </c>
      <c r="N874" s="1" t="str">
        <f aca="false">IF(Suiza_DE_CN_ID!A224="","",IFERROR(INDEX(Gamma_Catalogo!$E$3:$E$1451,MATCH(Suiza_DE_CN_ID!D224,Gamma_Catalogo!$A$3:$A$1451,0)),"Revisar Ip Code"))</f>
        <v/>
      </c>
      <c r="O874" s="1" t="str">
        <f aca="false">IF(Suiza_DE_CN_ID!A224="","","Suiza")</f>
        <v/>
      </c>
    </row>
    <row r="875" customFormat="false" ht="15" hidden="false" customHeight="true" outlineLevel="0" collapsed="false">
      <c r="A875" s="1" t="str">
        <f aca="false">IF(Suiza_DE_CN_ID!A225="","",IFERROR(INDEX(Mercados!$C$2:$C$32,MATCH(Suiza_DE_CN_ID!B225,Mercados!$A$2:$A$32,0)),"Revisar Tscode"))</f>
        <v/>
      </c>
      <c r="B875" s="1" t="str">
        <f aca="false">IF(Suiza_DE_CN_ID!A225="","",Suiza_DE_CN_ID!A225)</f>
        <v/>
      </c>
      <c r="C875" s="1" t="str">
        <f aca="false">IF(Suiza_DE_CN_ID!A225="","",Suiza_DE_CN_ID!C225)</f>
        <v/>
      </c>
      <c r="D875" s="1" t="str">
        <f aca="false">IF(Suiza_DE_CN_ID!A225="","",Suiza_DE_CN_ID!D225)</f>
        <v/>
      </c>
      <c r="E875" s="1" t="str">
        <f aca="false">IF(Suiza_DE_CN_ID!A225="","",Suiza_DE_CN_ID!E225)</f>
        <v/>
      </c>
      <c r="F875" s="1" t="str">
        <f aca="false">IF(Suiza_DE_CN_ID!A225="","",Suiza_DE_CN_ID!G225)</f>
        <v/>
      </c>
      <c r="I875" s="1" t="str">
        <f aca="false">IF(Suiza_DE_CN_ID!A225="","",Suiza_DE_CN_ID!H225)</f>
        <v/>
      </c>
      <c r="J875" s="1" t="str">
        <f aca="false">IF(Suiza_DE_CN_ID!A225="","",Suiza_DE_CN_ID!I225)</f>
        <v/>
      </c>
      <c r="K875" s="1" t="str">
        <f aca="false">IF(Suiza_DE_CN_ID!A225="","",UPPER(Suiza_DE_CN_ID!J225))</f>
        <v/>
      </c>
      <c r="L875" s="1" t="str">
        <f aca="false">IF(Suiza_DE_CN_ID!A225="","",IFERROR(INDEX(Gamma_Catalogo!$D$3:$D$1451,MATCH(Suiza_DE_CN_ID!D225,Gamma_Catalogo!$A$3:$A$1451,0)),"Revisar Ip Code"))</f>
        <v/>
      </c>
      <c r="M875" s="1" t="str">
        <f aca="false">IF(Suiza_DE_CN_ID!A225="","",IFERROR(INDEX(Gamma_Catalogo!$C$3:$C$1451,MATCH(Suiza_DE_CN_ID!D225,Gamma_Catalogo!$A$3:$A$1451,0)),"Revisar Ip Code"))</f>
        <v/>
      </c>
      <c r="N875" s="1" t="str">
        <f aca="false">IF(Suiza_DE_CN_ID!A225="","",IFERROR(INDEX(Gamma_Catalogo!$E$3:$E$1451,MATCH(Suiza_DE_CN_ID!D225,Gamma_Catalogo!$A$3:$A$1451,0)),"Revisar Ip Code"))</f>
        <v/>
      </c>
      <c r="O875" s="1" t="str">
        <f aca="false">IF(Suiza_DE_CN_ID!A225="","","Suiza")</f>
        <v/>
      </c>
    </row>
    <row r="876" customFormat="false" ht="15" hidden="false" customHeight="true" outlineLevel="0" collapsed="false">
      <c r="A876" s="1" t="str">
        <f aca="false">IF(Suiza_DE_CN_ID!A226="","",IFERROR(INDEX(Mercados!$C$2:$C$32,MATCH(Suiza_DE_CN_ID!B226,Mercados!$A$2:$A$32,0)),"Revisar Tscode"))</f>
        <v/>
      </c>
      <c r="B876" s="1" t="str">
        <f aca="false">IF(Suiza_DE_CN_ID!A226="","",Suiza_DE_CN_ID!A226)</f>
        <v/>
      </c>
      <c r="C876" s="1" t="str">
        <f aca="false">IF(Suiza_DE_CN_ID!A226="","",Suiza_DE_CN_ID!C226)</f>
        <v/>
      </c>
      <c r="D876" s="1" t="str">
        <f aca="false">IF(Suiza_DE_CN_ID!A226="","",Suiza_DE_CN_ID!D226)</f>
        <v/>
      </c>
      <c r="E876" s="1" t="str">
        <f aca="false">IF(Suiza_DE_CN_ID!A226="","",Suiza_DE_CN_ID!E226)</f>
        <v/>
      </c>
      <c r="F876" s="1" t="str">
        <f aca="false">IF(Suiza_DE_CN_ID!A226="","",Suiza_DE_CN_ID!G226)</f>
        <v/>
      </c>
      <c r="I876" s="1" t="str">
        <f aca="false">IF(Suiza_DE_CN_ID!A226="","",Suiza_DE_CN_ID!H226)</f>
        <v/>
      </c>
      <c r="J876" s="1" t="str">
        <f aca="false">IF(Suiza_DE_CN_ID!A226="","",Suiza_DE_CN_ID!I226)</f>
        <v/>
      </c>
      <c r="K876" s="1" t="str">
        <f aca="false">IF(Suiza_DE_CN_ID!A226="","",UPPER(Suiza_DE_CN_ID!J226))</f>
        <v/>
      </c>
      <c r="L876" s="1" t="str">
        <f aca="false">IF(Suiza_DE_CN_ID!A226="","",IFERROR(INDEX(Gamma_Catalogo!$D$3:$D$1451,MATCH(Suiza_DE_CN_ID!D226,Gamma_Catalogo!$A$3:$A$1451,0)),"Revisar Ip Code"))</f>
        <v/>
      </c>
      <c r="M876" s="1" t="str">
        <f aca="false">IF(Suiza_DE_CN_ID!A226="","",IFERROR(INDEX(Gamma_Catalogo!$C$3:$C$1451,MATCH(Suiza_DE_CN_ID!D226,Gamma_Catalogo!$A$3:$A$1451,0)),"Revisar Ip Code"))</f>
        <v/>
      </c>
      <c r="N876" s="1" t="str">
        <f aca="false">IF(Suiza_DE_CN_ID!A226="","",IFERROR(INDEX(Gamma_Catalogo!$E$3:$E$1451,MATCH(Suiza_DE_CN_ID!D226,Gamma_Catalogo!$A$3:$A$1451,0)),"Revisar Ip Code"))</f>
        <v/>
      </c>
      <c r="O876" s="1" t="str">
        <f aca="false">IF(Suiza_DE_CN_ID!A226="","","Suiza")</f>
        <v/>
      </c>
    </row>
    <row r="877" customFormat="false" ht="15" hidden="false" customHeight="true" outlineLevel="0" collapsed="false">
      <c r="A877" s="1" t="str">
        <f aca="false">IF(Suiza_DE_CN_ID!A227="","",IFERROR(INDEX(Mercados!$C$2:$C$32,MATCH(Suiza_DE_CN_ID!B227,Mercados!$A$2:$A$32,0)),"Revisar Tscode"))</f>
        <v/>
      </c>
      <c r="B877" s="1" t="str">
        <f aca="false">IF(Suiza_DE_CN_ID!A227="","",Suiza_DE_CN_ID!A227)</f>
        <v/>
      </c>
      <c r="C877" s="1" t="str">
        <f aca="false">IF(Suiza_DE_CN_ID!A227="","",Suiza_DE_CN_ID!C227)</f>
        <v/>
      </c>
      <c r="D877" s="1" t="str">
        <f aca="false">IF(Suiza_DE_CN_ID!A227="","",Suiza_DE_CN_ID!D227)</f>
        <v/>
      </c>
      <c r="E877" s="1" t="str">
        <f aca="false">IF(Suiza_DE_CN_ID!A227="","",Suiza_DE_CN_ID!E227)</f>
        <v/>
      </c>
      <c r="F877" s="1" t="str">
        <f aca="false">IF(Suiza_DE_CN_ID!A227="","",Suiza_DE_CN_ID!G227)</f>
        <v/>
      </c>
      <c r="I877" s="1" t="str">
        <f aca="false">IF(Suiza_DE_CN_ID!A227="","",Suiza_DE_CN_ID!H227)</f>
        <v/>
      </c>
      <c r="J877" s="1" t="str">
        <f aca="false">IF(Suiza_DE_CN_ID!A227="","",Suiza_DE_CN_ID!I227)</f>
        <v/>
      </c>
      <c r="K877" s="1" t="str">
        <f aca="false">IF(Suiza_DE_CN_ID!A227="","",UPPER(Suiza_DE_CN_ID!J227))</f>
        <v/>
      </c>
      <c r="L877" s="1" t="str">
        <f aca="false">IF(Suiza_DE_CN_ID!A227="","",IFERROR(INDEX(Gamma_Catalogo!$D$3:$D$1451,MATCH(Suiza_DE_CN_ID!D227,Gamma_Catalogo!$A$3:$A$1451,0)),"Revisar Ip Code"))</f>
        <v/>
      </c>
      <c r="M877" s="1" t="str">
        <f aca="false">IF(Suiza_DE_CN_ID!A227="","",IFERROR(INDEX(Gamma_Catalogo!$C$3:$C$1451,MATCH(Suiza_DE_CN_ID!D227,Gamma_Catalogo!$A$3:$A$1451,0)),"Revisar Ip Code"))</f>
        <v/>
      </c>
      <c r="N877" s="1" t="str">
        <f aca="false">IF(Suiza_DE_CN_ID!A227="","",IFERROR(INDEX(Gamma_Catalogo!$E$3:$E$1451,MATCH(Suiza_DE_CN_ID!D227,Gamma_Catalogo!$A$3:$A$1451,0)),"Revisar Ip Code"))</f>
        <v/>
      </c>
      <c r="O877" s="1" t="str">
        <f aca="false">IF(Suiza_DE_CN_ID!A227="","","Suiza")</f>
        <v/>
      </c>
    </row>
    <row r="878" customFormat="false" ht="15" hidden="false" customHeight="true" outlineLevel="0" collapsed="false">
      <c r="A878" s="1" t="str">
        <f aca="false">IF(Suiza_DE_CN_ID!A228="","",IFERROR(INDEX(Mercados!$C$2:$C$32,MATCH(Suiza_DE_CN_ID!B228,Mercados!$A$2:$A$32,0)),"Revisar Tscode"))</f>
        <v/>
      </c>
      <c r="B878" s="1" t="str">
        <f aca="false">IF(Suiza_DE_CN_ID!A228="","",Suiza_DE_CN_ID!A228)</f>
        <v/>
      </c>
      <c r="C878" s="1" t="str">
        <f aca="false">IF(Suiza_DE_CN_ID!A228="","",Suiza_DE_CN_ID!C228)</f>
        <v/>
      </c>
      <c r="D878" s="1" t="str">
        <f aca="false">IF(Suiza_DE_CN_ID!A228="","",Suiza_DE_CN_ID!D228)</f>
        <v/>
      </c>
      <c r="E878" s="1" t="str">
        <f aca="false">IF(Suiza_DE_CN_ID!A228="","",Suiza_DE_CN_ID!E228)</f>
        <v/>
      </c>
      <c r="F878" s="1" t="str">
        <f aca="false">IF(Suiza_DE_CN_ID!A228="","",Suiza_DE_CN_ID!G228)</f>
        <v/>
      </c>
      <c r="I878" s="1" t="str">
        <f aca="false">IF(Suiza_DE_CN_ID!A228="","",Suiza_DE_CN_ID!H228)</f>
        <v/>
      </c>
      <c r="J878" s="1" t="str">
        <f aca="false">IF(Suiza_DE_CN_ID!A228="","",Suiza_DE_CN_ID!I228)</f>
        <v/>
      </c>
      <c r="K878" s="1" t="str">
        <f aca="false">IF(Suiza_DE_CN_ID!A228="","",UPPER(Suiza_DE_CN_ID!J228))</f>
        <v/>
      </c>
      <c r="L878" s="1" t="str">
        <f aca="false">IF(Suiza_DE_CN_ID!A228="","",IFERROR(INDEX(Gamma_Catalogo!$D$3:$D$1451,MATCH(Suiza_DE_CN_ID!D228,Gamma_Catalogo!$A$3:$A$1451,0)),"Revisar Ip Code"))</f>
        <v/>
      </c>
      <c r="M878" s="1" t="str">
        <f aca="false">IF(Suiza_DE_CN_ID!A228="","",IFERROR(INDEX(Gamma_Catalogo!$C$3:$C$1451,MATCH(Suiza_DE_CN_ID!D228,Gamma_Catalogo!$A$3:$A$1451,0)),"Revisar Ip Code"))</f>
        <v/>
      </c>
      <c r="N878" s="1" t="str">
        <f aca="false">IF(Suiza_DE_CN_ID!A228="","",IFERROR(INDEX(Gamma_Catalogo!$E$3:$E$1451,MATCH(Suiza_DE_CN_ID!D228,Gamma_Catalogo!$A$3:$A$1451,0)),"Revisar Ip Code"))</f>
        <v/>
      </c>
      <c r="O878" s="1" t="str">
        <f aca="false">IF(Suiza_DE_CN_ID!A228="","","Suiza")</f>
        <v/>
      </c>
    </row>
    <row r="879" customFormat="false" ht="15" hidden="false" customHeight="true" outlineLevel="0" collapsed="false">
      <c r="A879" s="1" t="str">
        <f aca="false">IF(Suiza_DE_CN_ID!A229="","",IFERROR(INDEX(Mercados!$C$2:$C$32,MATCH(Suiza_DE_CN_ID!B229,Mercados!$A$2:$A$32,0)),"Revisar Tscode"))</f>
        <v/>
      </c>
      <c r="B879" s="1" t="str">
        <f aca="false">IF(Suiza_DE_CN_ID!A229="","",Suiza_DE_CN_ID!A229)</f>
        <v/>
      </c>
      <c r="C879" s="1" t="str">
        <f aca="false">IF(Suiza_DE_CN_ID!A229="","",Suiza_DE_CN_ID!C229)</f>
        <v/>
      </c>
      <c r="D879" s="1" t="str">
        <f aca="false">IF(Suiza_DE_CN_ID!A229="","",Suiza_DE_CN_ID!D229)</f>
        <v/>
      </c>
      <c r="E879" s="1" t="str">
        <f aca="false">IF(Suiza_DE_CN_ID!A229="","",Suiza_DE_CN_ID!E229)</f>
        <v/>
      </c>
      <c r="F879" s="1" t="str">
        <f aca="false">IF(Suiza_DE_CN_ID!A229="","",Suiza_DE_CN_ID!G229)</f>
        <v/>
      </c>
      <c r="I879" s="1" t="str">
        <f aca="false">IF(Suiza_DE_CN_ID!A229="","",Suiza_DE_CN_ID!H229)</f>
        <v/>
      </c>
      <c r="J879" s="1" t="str">
        <f aca="false">IF(Suiza_DE_CN_ID!A229="","",Suiza_DE_CN_ID!I229)</f>
        <v/>
      </c>
      <c r="K879" s="1" t="str">
        <f aca="false">IF(Suiza_DE_CN_ID!A229="","",UPPER(Suiza_DE_CN_ID!J229))</f>
        <v/>
      </c>
      <c r="L879" s="1" t="str">
        <f aca="false">IF(Suiza_DE_CN_ID!A229="","",IFERROR(INDEX(Gamma_Catalogo!$D$3:$D$1451,MATCH(Suiza_DE_CN_ID!D229,Gamma_Catalogo!$A$3:$A$1451,0)),"Revisar Ip Code"))</f>
        <v/>
      </c>
      <c r="M879" s="1" t="str">
        <f aca="false">IF(Suiza_DE_CN_ID!A229="","",IFERROR(INDEX(Gamma_Catalogo!$C$3:$C$1451,MATCH(Suiza_DE_CN_ID!D229,Gamma_Catalogo!$A$3:$A$1451,0)),"Revisar Ip Code"))</f>
        <v/>
      </c>
      <c r="N879" s="1" t="str">
        <f aca="false">IF(Suiza_DE_CN_ID!A229="","",IFERROR(INDEX(Gamma_Catalogo!$E$3:$E$1451,MATCH(Suiza_DE_CN_ID!D229,Gamma_Catalogo!$A$3:$A$1451,0)),"Revisar Ip Code"))</f>
        <v/>
      </c>
      <c r="O879" s="1" t="str">
        <f aca="false">IF(Suiza_DE_CN_ID!A229="","","Suiza")</f>
        <v/>
      </c>
    </row>
    <row r="880" customFormat="false" ht="15" hidden="false" customHeight="true" outlineLevel="0" collapsed="false">
      <c r="A880" s="1" t="str">
        <f aca="false">IF(Suiza_DE_CN_ID!A230="","",IFERROR(INDEX(Mercados!$C$2:$C$32,MATCH(Suiza_DE_CN_ID!B230,Mercados!$A$2:$A$32,0)),"Revisar Tscode"))</f>
        <v/>
      </c>
      <c r="B880" s="1" t="str">
        <f aca="false">IF(Suiza_DE_CN_ID!A230="","",Suiza_DE_CN_ID!A230)</f>
        <v/>
      </c>
      <c r="C880" s="1" t="str">
        <f aca="false">IF(Suiza_DE_CN_ID!A230="","",Suiza_DE_CN_ID!C230)</f>
        <v/>
      </c>
      <c r="D880" s="1" t="str">
        <f aca="false">IF(Suiza_DE_CN_ID!A230="","",Suiza_DE_CN_ID!D230)</f>
        <v/>
      </c>
      <c r="E880" s="1" t="str">
        <f aca="false">IF(Suiza_DE_CN_ID!A230="","",Suiza_DE_CN_ID!E230)</f>
        <v/>
      </c>
      <c r="F880" s="1" t="str">
        <f aca="false">IF(Suiza_DE_CN_ID!A230="","",Suiza_DE_CN_ID!G230)</f>
        <v/>
      </c>
      <c r="I880" s="1" t="str">
        <f aca="false">IF(Suiza_DE_CN_ID!A230="","",Suiza_DE_CN_ID!H230)</f>
        <v/>
      </c>
      <c r="J880" s="1" t="str">
        <f aca="false">IF(Suiza_DE_CN_ID!A230="","",Suiza_DE_CN_ID!I230)</f>
        <v/>
      </c>
      <c r="K880" s="1" t="str">
        <f aca="false">IF(Suiza_DE_CN_ID!A230="","",UPPER(Suiza_DE_CN_ID!J230))</f>
        <v/>
      </c>
      <c r="L880" s="1" t="str">
        <f aca="false">IF(Suiza_DE_CN_ID!A230="","",IFERROR(INDEX(Gamma_Catalogo!$D$3:$D$1451,MATCH(Suiza_DE_CN_ID!D230,Gamma_Catalogo!$A$3:$A$1451,0)),"Revisar Ip Code"))</f>
        <v/>
      </c>
      <c r="M880" s="1" t="str">
        <f aca="false">IF(Suiza_DE_CN_ID!A230="","",IFERROR(INDEX(Gamma_Catalogo!$C$3:$C$1451,MATCH(Suiza_DE_CN_ID!D230,Gamma_Catalogo!$A$3:$A$1451,0)),"Revisar Ip Code"))</f>
        <v/>
      </c>
      <c r="N880" s="1" t="str">
        <f aca="false">IF(Suiza_DE_CN_ID!A230="","",IFERROR(INDEX(Gamma_Catalogo!$E$3:$E$1451,MATCH(Suiza_DE_CN_ID!D230,Gamma_Catalogo!$A$3:$A$1451,0)),"Revisar Ip Code"))</f>
        <v/>
      </c>
      <c r="O880" s="1" t="str">
        <f aca="false">IF(Suiza_DE_CN_ID!A230="","","Suiza")</f>
        <v/>
      </c>
    </row>
    <row r="881" customFormat="false" ht="15" hidden="false" customHeight="true" outlineLevel="0" collapsed="false">
      <c r="A881" s="1" t="str">
        <f aca="false">IF(Suiza_DE_CN_ID!A231="","",IFERROR(INDEX(Mercados!$C$2:$C$32,MATCH(Suiza_DE_CN_ID!B231,Mercados!$A$2:$A$32,0)),"Revisar Tscode"))</f>
        <v/>
      </c>
      <c r="B881" s="1" t="str">
        <f aca="false">IF(Suiza_DE_CN_ID!A231="","",Suiza_DE_CN_ID!A231)</f>
        <v/>
      </c>
      <c r="C881" s="1" t="str">
        <f aca="false">IF(Suiza_DE_CN_ID!A231="","",Suiza_DE_CN_ID!C231)</f>
        <v/>
      </c>
      <c r="D881" s="1" t="str">
        <f aca="false">IF(Suiza_DE_CN_ID!A231="","",Suiza_DE_CN_ID!D231)</f>
        <v/>
      </c>
      <c r="E881" s="1" t="str">
        <f aca="false">IF(Suiza_DE_CN_ID!A231="","",Suiza_DE_CN_ID!E231)</f>
        <v/>
      </c>
      <c r="F881" s="1" t="str">
        <f aca="false">IF(Suiza_DE_CN_ID!A231="","",Suiza_DE_CN_ID!G231)</f>
        <v/>
      </c>
      <c r="I881" s="1" t="str">
        <f aca="false">IF(Suiza_DE_CN_ID!A231="","",Suiza_DE_CN_ID!H231)</f>
        <v/>
      </c>
      <c r="J881" s="1" t="str">
        <f aca="false">IF(Suiza_DE_CN_ID!A231="","",Suiza_DE_CN_ID!I231)</f>
        <v/>
      </c>
      <c r="K881" s="1" t="str">
        <f aca="false">IF(Suiza_DE_CN_ID!A231="","",UPPER(Suiza_DE_CN_ID!J231))</f>
        <v/>
      </c>
      <c r="L881" s="1" t="str">
        <f aca="false">IF(Suiza_DE_CN_ID!A231="","",IFERROR(INDEX(Gamma_Catalogo!$D$3:$D$1451,MATCH(Suiza_DE_CN_ID!D231,Gamma_Catalogo!$A$3:$A$1451,0)),"Revisar Ip Code"))</f>
        <v/>
      </c>
      <c r="M881" s="1" t="str">
        <f aca="false">IF(Suiza_DE_CN_ID!A231="","",IFERROR(INDEX(Gamma_Catalogo!$C$3:$C$1451,MATCH(Suiza_DE_CN_ID!D231,Gamma_Catalogo!$A$3:$A$1451,0)),"Revisar Ip Code"))</f>
        <v/>
      </c>
      <c r="N881" s="1" t="str">
        <f aca="false">IF(Suiza_DE_CN_ID!A231="","",IFERROR(INDEX(Gamma_Catalogo!$E$3:$E$1451,MATCH(Suiza_DE_CN_ID!D231,Gamma_Catalogo!$A$3:$A$1451,0)),"Revisar Ip Code"))</f>
        <v/>
      </c>
      <c r="O881" s="1" t="str">
        <f aca="false">IF(Suiza_DE_CN_ID!A231="","","Suiza")</f>
        <v/>
      </c>
    </row>
    <row r="882" customFormat="false" ht="15" hidden="false" customHeight="true" outlineLevel="0" collapsed="false">
      <c r="A882" s="1" t="str">
        <f aca="false">IF(Suiza_DE_CN_ID!A232="","",IFERROR(INDEX(Mercados!$C$2:$C$32,MATCH(Suiza_DE_CN_ID!B232,Mercados!$A$2:$A$32,0)),"Revisar Tscode"))</f>
        <v/>
      </c>
      <c r="B882" s="1" t="str">
        <f aca="false">IF(Suiza_DE_CN_ID!A232="","",Suiza_DE_CN_ID!A232)</f>
        <v/>
      </c>
      <c r="C882" s="1" t="str">
        <f aca="false">IF(Suiza_DE_CN_ID!A232="","",Suiza_DE_CN_ID!C232)</f>
        <v/>
      </c>
      <c r="D882" s="1" t="str">
        <f aca="false">IF(Suiza_DE_CN_ID!A232="","",Suiza_DE_CN_ID!D232)</f>
        <v/>
      </c>
      <c r="E882" s="1" t="str">
        <f aca="false">IF(Suiza_DE_CN_ID!A232="","",Suiza_DE_CN_ID!E232)</f>
        <v/>
      </c>
      <c r="F882" s="1" t="str">
        <f aca="false">IF(Suiza_DE_CN_ID!A232="","",Suiza_DE_CN_ID!G232)</f>
        <v/>
      </c>
      <c r="I882" s="1" t="str">
        <f aca="false">IF(Suiza_DE_CN_ID!A232="","",Suiza_DE_CN_ID!H232)</f>
        <v/>
      </c>
      <c r="J882" s="1" t="str">
        <f aca="false">IF(Suiza_DE_CN_ID!A232="","",Suiza_DE_CN_ID!I232)</f>
        <v/>
      </c>
      <c r="K882" s="1" t="str">
        <f aca="false">IF(Suiza_DE_CN_ID!A232="","",UPPER(Suiza_DE_CN_ID!J232))</f>
        <v/>
      </c>
      <c r="L882" s="1" t="str">
        <f aca="false">IF(Suiza_DE_CN_ID!A232="","",IFERROR(INDEX(Gamma_Catalogo!$D$3:$D$1451,MATCH(Suiza_DE_CN_ID!D232,Gamma_Catalogo!$A$3:$A$1451,0)),"Revisar Ip Code"))</f>
        <v/>
      </c>
      <c r="M882" s="1" t="str">
        <f aca="false">IF(Suiza_DE_CN_ID!A232="","",IFERROR(INDEX(Gamma_Catalogo!$C$3:$C$1451,MATCH(Suiza_DE_CN_ID!D232,Gamma_Catalogo!$A$3:$A$1451,0)),"Revisar Ip Code"))</f>
        <v/>
      </c>
      <c r="N882" s="1" t="str">
        <f aca="false">IF(Suiza_DE_CN_ID!A232="","",IFERROR(INDEX(Gamma_Catalogo!$E$3:$E$1451,MATCH(Suiza_DE_CN_ID!D232,Gamma_Catalogo!$A$3:$A$1451,0)),"Revisar Ip Code"))</f>
        <v/>
      </c>
      <c r="O882" s="1" t="str">
        <f aca="false">IF(Suiza_DE_CN_ID!A232="","","Suiza")</f>
        <v/>
      </c>
    </row>
    <row r="883" customFormat="false" ht="15" hidden="false" customHeight="true" outlineLevel="0" collapsed="false">
      <c r="A883" s="1" t="str">
        <f aca="false">IF(Suiza_DE_CN_ID!A233="","",IFERROR(INDEX(Mercados!$C$2:$C$32,MATCH(Suiza_DE_CN_ID!B233,Mercados!$A$2:$A$32,0)),"Revisar Tscode"))</f>
        <v/>
      </c>
      <c r="B883" s="1" t="str">
        <f aca="false">IF(Suiza_DE_CN_ID!A233="","",Suiza_DE_CN_ID!A233)</f>
        <v/>
      </c>
      <c r="C883" s="1" t="str">
        <f aca="false">IF(Suiza_DE_CN_ID!A233="","",Suiza_DE_CN_ID!C233)</f>
        <v/>
      </c>
      <c r="D883" s="1" t="str">
        <f aca="false">IF(Suiza_DE_CN_ID!A233="","",Suiza_DE_CN_ID!D233)</f>
        <v/>
      </c>
      <c r="E883" s="1" t="str">
        <f aca="false">IF(Suiza_DE_CN_ID!A233="","",Suiza_DE_CN_ID!E233)</f>
        <v/>
      </c>
      <c r="F883" s="1" t="str">
        <f aca="false">IF(Suiza_DE_CN_ID!A233="","",Suiza_DE_CN_ID!G233)</f>
        <v/>
      </c>
      <c r="I883" s="1" t="str">
        <f aca="false">IF(Suiza_DE_CN_ID!A233="","",Suiza_DE_CN_ID!H233)</f>
        <v/>
      </c>
      <c r="J883" s="1" t="str">
        <f aca="false">IF(Suiza_DE_CN_ID!A233="","",Suiza_DE_CN_ID!I233)</f>
        <v/>
      </c>
      <c r="K883" s="1" t="str">
        <f aca="false">IF(Suiza_DE_CN_ID!A233="","",UPPER(Suiza_DE_CN_ID!J233))</f>
        <v/>
      </c>
      <c r="L883" s="1" t="str">
        <f aca="false">IF(Suiza_DE_CN_ID!A233="","",IFERROR(INDEX(Gamma_Catalogo!$D$3:$D$1451,MATCH(Suiza_DE_CN_ID!D233,Gamma_Catalogo!$A$3:$A$1451,0)),"Revisar Ip Code"))</f>
        <v/>
      </c>
      <c r="M883" s="1" t="str">
        <f aca="false">IF(Suiza_DE_CN_ID!A233="","",IFERROR(INDEX(Gamma_Catalogo!$C$3:$C$1451,MATCH(Suiza_DE_CN_ID!D233,Gamma_Catalogo!$A$3:$A$1451,0)),"Revisar Ip Code"))</f>
        <v/>
      </c>
      <c r="N883" s="1" t="str">
        <f aca="false">IF(Suiza_DE_CN_ID!A233="","",IFERROR(INDEX(Gamma_Catalogo!$E$3:$E$1451,MATCH(Suiza_DE_CN_ID!D233,Gamma_Catalogo!$A$3:$A$1451,0)),"Revisar Ip Code"))</f>
        <v/>
      </c>
      <c r="O883" s="1" t="str">
        <f aca="false">IF(Suiza_DE_CN_ID!A233="","","Suiza")</f>
        <v/>
      </c>
    </row>
    <row r="884" customFormat="false" ht="15" hidden="false" customHeight="true" outlineLevel="0" collapsed="false">
      <c r="A884" s="1" t="str">
        <f aca="false">IF(Suiza_DE_CN_ID!A234="","",IFERROR(INDEX(Mercados!$C$2:$C$32,MATCH(Suiza_DE_CN_ID!B234,Mercados!$A$2:$A$32,0)),"Revisar Tscode"))</f>
        <v/>
      </c>
      <c r="B884" s="1" t="str">
        <f aca="false">IF(Suiza_DE_CN_ID!A234="","",Suiza_DE_CN_ID!A234)</f>
        <v/>
      </c>
      <c r="C884" s="1" t="str">
        <f aca="false">IF(Suiza_DE_CN_ID!A234="","",Suiza_DE_CN_ID!C234)</f>
        <v/>
      </c>
      <c r="D884" s="1" t="str">
        <f aca="false">IF(Suiza_DE_CN_ID!A234="","",Suiza_DE_CN_ID!D234)</f>
        <v/>
      </c>
      <c r="E884" s="1" t="str">
        <f aca="false">IF(Suiza_DE_CN_ID!A234="","",Suiza_DE_CN_ID!E234)</f>
        <v/>
      </c>
      <c r="F884" s="1" t="str">
        <f aca="false">IF(Suiza_DE_CN_ID!A234="","",Suiza_DE_CN_ID!G234)</f>
        <v/>
      </c>
      <c r="I884" s="1" t="str">
        <f aca="false">IF(Suiza_DE_CN_ID!A234="","",Suiza_DE_CN_ID!H234)</f>
        <v/>
      </c>
      <c r="J884" s="1" t="str">
        <f aca="false">IF(Suiza_DE_CN_ID!A234="","",Suiza_DE_CN_ID!I234)</f>
        <v/>
      </c>
      <c r="K884" s="1" t="str">
        <f aca="false">IF(Suiza_DE_CN_ID!A234="","",UPPER(Suiza_DE_CN_ID!J234))</f>
        <v/>
      </c>
      <c r="L884" s="1" t="str">
        <f aca="false">IF(Suiza_DE_CN_ID!A234="","",IFERROR(INDEX(Gamma_Catalogo!$D$3:$D$1451,MATCH(Suiza_DE_CN_ID!D234,Gamma_Catalogo!$A$3:$A$1451,0)),"Revisar Ip Code"))</f>
        <v/>
      </c>
      <c r="M884" s="1" t="str">
        <f aca="false">IF(Suiza_DE_CN_ID!A234="","",IFERROR(INDEX(Gamma_Catalogo!$C$3:$C$1451,MATCH(Suiza_DE_CN_ID!D234,Gamma_Catalogo!$A$3:$A$1451,0)),"Revisar Ip Code"))</f>
        <v/>
      </c>
      <c r="N884" s="1" t="str">
        <f aca="false">IF(Suiza_DE_CN_ID!A234="","",IFERROR(INDEX(Gamma_Catalogo!$E$3:$E$1451,MATCH(Suiza_DE_CN_ID!D234,Gamma_Catalogo!$A$3:$A$1451,0)),"Revisar Ip Code"))</f>
        <v/>
      </c>
      <c r="O884" s="1" t="str">
        <f aca="false">IF(Suiza_DE_CN_ID!A234="","","Suiza")</f>
        <v/>
      </c>
    </row>
    <row r="885" customFormat="false" ht="15" hidden="false" customHeight="true" outlineLevel="0" collapsed="false">
      <c r="A885" s="1" t="str">
        <f aca="false">IF(Suiza_DE_CN_ID!A235="","",IFERROR(INDEX(Mercados!$C$2:$C$32,MATCH(Suiza_DE_CN_ID!B235,Mercados!$A$2:$A$32,0)),"Revisar Tscode"))</f>
        <v/>
      </c>
      <c r="B885" s="1" t="str">
        <f aca="false">IF(Suiza_DE_CN_ID!A235="","",Suiza_DE_CN_ID!A235)</f>
        <v/>
      </c>
      <c r="C885" s="1" t="str">
        <f aca="false">IF(Suiza_DE_CN_ID!A235="","",Suiza_DE_CN_ID!C235)</f>
        <v/>
      </c>
      <c r="D885" s="1" t="str">
        <f aca="false">IF(Suiza_DE_CN_ID!A235="","",Suiza_DE_CN_ID!D235)</f>
        <v/>
      </c>
      <c r="E885" s="1" t="str">
        <f aca="false">IF(Suiza_DE_CN_ID!A235="","",Suiza_DE_CN_ID!E235)</f>
        <v/>
      </c>
      <c r="F885" s="1" t="str">
        <f aca="false">IF(Suiza_DE_CN_ID!A235="","",Suiza_DE_CN_ID!G235)</f>
        <v/>
      </c>
      <c r="I885" s="1" t="str">
        <f aca="false">IF(Suiza_DE_CN_ID!A235="","",Suiza_DE_CN_ID!H235)</f>
        <v/>
      </c>
      <c r="J885" s="1" t="str">
        <f aca="false">IF(Suiza_DE_CN_ID!A235="","",Suiza_DE_CN_ID!I235)</f>
        <v/>
      </c>
      <c r="K885" s="1" t="str">
        <f aca="false">IF(Suiza_DE_CN_ID!A235="","",UPPER(Suiza_DE_CN_ID!J235))</f>
        <v/>
      </c>
      <c r="L885" s="1" t="str">
        <f aca="false">IF(Suiza_DE_CN_ID!A235="","",IFERROR(INDEX(Gamma_Catalogo!$D$3:$D$1451,MATCH(Suiza_DE_CN_ID!D235,Gamma_Catalogo!$A$3:$A$1451,0)),"Revisar Ip Code"))</f>
        <v/>
      </c>
      <c r="M885" s="1" t="str">
        <f aca="false">IF(Suiza_DE_CN_ID!A235="","",IFERROR(INDEX(Gamma_Catalogo!$C$3:$C$1451,MATCH(Suiza_DE_CN_ID!D235,Gamma_Catalogo!$A$3:$A$1451,0)),"Revisar Ip Code"))</f>
        <v/>
      </c>
      <c r="N885" s="1" t="str">
        <f aca="false">IF(Suiza_DE_CN_ID!A235="","",IFERROR(INDEX(Gamma_Catalogo!$E$3:$E$1451,MATCH(Suiza_DE_CN_ID!D235,Gamma_Catalogo!$A$3:$A$1451,0)),"Revisar Ip Code"))</f>
        <v/>
      </c>
      <c r="O885" s="1" t="str">
        <f aca="false">IF(Suiza_DE_CN_ID!A235="","","Suiza")</f>
        <v/>
      </c>
    </row>
    <row r="886" customFormat="false" ht="15" hidden="false" customHeight="true" outlineLevel="0" collapsed="false">
      <c r="A886" s="1" t="str">
        <f aca="false">IF(Suiza_DE_CN_ID!A236="","",IFERROR(INDEX(Mercados!$C$2:$C$32,MATCH(Suiza_DE_CN_ID!B236,Mercados!$A$2:$A$32,0)),"Revisar Tscode"))</f>
        <v/>
      </c>
      <c r="B886" s="1" t="str">
        <f aca="false">IF(Suiza_DE_CN_ID!A236="","",Suiza_DE_CN_ID!A236)</f>
        <v/>
      </c>
      <c r="C886" s="1" t="str">
        <f aca="false">IF(Suiza_DE_CN_ID!A236="","",Suiza_DE_CN_ID!C236)</f>
        <v/>
      </c>
      <c r="D886" s="1" t="str">
        <f aca="false">IF(Suiza_DE_CN_ID!A236="","",Suiza_DE_CN_ID!D236)</f>
        <v/>
      </c>
      <c r="E886" s="1" t="str">
        <f aca="false">IF(Suiza_DE_CN_ID!A236="","",Suiza_DE_CN_ID!E236)</f>
        <v/>
      </c>
      <c r="F886" s="1" t="str">
        <f aca="false">IF(Suiza_DE_CN_ID!A236="","",Suiza_DE_CN_ID!G236)</f>
        <v/>
      </c>
      <c r="I886" s="1" t="str">
        <f aca="false">IF(Suiza_DE_CN_ID!A236="","",Suiza_DE_CN_ID!H236)</f>
        <v/>
      </c>
      <c r="J886" s="1" t="str">
        <f aca="false">IF(Suiza_DE_CN_ID!A236="","",Suiza_DE_CN_ID!I236)</f>
        <v/>
      </c>
      <c r="K886" s="1" t="str">
        <f aca="false">IF(Suiza_DE_CN_ID!A236="","",UPPER(Suiza_DE_CN_ID!J236))</f>
        <v/>
      </c>
      <c r="L886" s="1" t="str">
        <f aca="false">IF(Suiza_DE_CN_ID!A236="","",IFERROR(INDEX(Gamma_Catalogo!$D$3:$D$1451,MATCH(Suiza_DE_CN_ID!D236,Gamma_Catalogo!$A$3:$A$1451,0)),"Revisar Ip Code"))</f>
        <v/>
      </c>
      <c r="M886" s="1" t="str">
        <f aca="false">IF(Suiza_DE_CN_ID!A236="","",IFERROR(INDEX(Gamma_Catalogo!$C$3:$C$1451,MATCH(Suiza_DE_CN_ID!D236,Gamma_Catalogo!$A$3:$A$1451,0)),"Revisar Ip Code"))</f>
        <v/>
      </c>
      <c r="N886" s="1" t="str">
        <f aca="false">IF(Suiza_DE_CN_ID!A236="","",IFERROR(INDEX(Gamma_Catalogo!$E$3:$E$1451,MATCH(Suiza_DE_CN_ID!D236,Gamma_Catalogo!$A$3:$A$1451,0)),"Revisar Ip Code"))</f>
        <v/>
      </c>
      <c r="O886" s="1" t="str">
        <f aca="false">IF(Suiza_DE_CN_ID!A236="","","Suiza")</f>
        <v/>
      </c>
    </row>
    <row r="887" customFormat="false" ht="15" hidden="false" customHeight="true" outlineLevel="0" collapsed="false">
      <c r="A887" s="1" t="str">
        <f aca="false">IF(Suiza_DE_CN_ID!A237="","",IFERROR(INDEX(Mercados!$C$2:$C$32,MATCH(Suiza_DE_CN_ID!B237,Mercados!$A$2:$A$32,0)),"Revisar Tscode"))</f>
        <v/>
      </c>
      <c r="B887" s="1" t="str">
        <f aca="false">IF(Suiza_DE_CN_ID!A237="","",Suiza_DE_CN_ID!A237)</f>
        <v/>
      </c>
      <c r="C887" s="1" t="str">
        <f aca="false">IF(Suiza_DE_CN_ID!A237="","",Suiza_DE_CN_ID!C237)</f>
        <v/>
      </c>
      <c r="D887" s="1" t="str">
        <f aca="false">IF(Suiza_DE_CN_ID!A237="","",Suiza_DE_CN_ID!D237)</f>
        <v/>
      </c>
      <c r="E887" s="1" t="str">
        <f aca="false">IF(Suiza_DE_CN_ID!A237="","",Suiza_DE_CN_ID!E237)</f>
        <v/>
      </c>
      <c r="F887" s="1" t="str">
        <f aca="false">IF(Suiza_DE_CN_ID!A237="","",Suiza_DE_CN_ID!G237)</f>
        <v/>
      </c>
      <c r="I887" s="1" t="str">
        <f aca="false">IF(Suiza_DE_CN_ID!A237="","",Suiza_DE_CN_ID!H237)</f>
        <v/>
      </c>
      <c r="J887" s="1" t="str">
        <f aca="false">IF(Suiza_DE_CN_ID!A237="","",Suiza_DE_CN_ID!I237)</f>
        <v/>
      </c>
      <c r="K887" s="1" t="str">
        <f aca="false">IF(Suiza_DE_CN_ID!A237="","",UPPER(Suiza_DE_CN_ID!J237))</f>
        <v/>
      </c>
      <c r="L887" s="1" t="str">
        <f aca="false">IF(Suiza_DE_CN_ID!A237="","",IFERROR(INDEX(Gamma_Catalogo!$D$3:$D$1451,MATCH(Suiza_DE_CN_ID!D237,Gamma_Catalogo!$A$3:$A$1451,0)),"Revisar Ip Code"))</f>
        <v/>
      </c>
      <c r="M887" s="1" t="str">
        <f aca="false">IF(Suiza_DE_CN_ID!A237="","",IFERROR(INDEX(Gamma_Catalogo!$C$3:$C$1451,MATCH(Suiza_DE_CN_ID!D237,Gamma_Catalogo!$A$3:$A$1451,0)),"Revisar Ip Code"))</f>
        <v/>
      </c>
      <c r="N887" s="1" t="str">
        <f aca="false">IF(Suiza_DE_CN_ID!A237="","",IFERROR(INDEX(Gamma_Catalogo!$E$3:$E$1451,MATCH(Suiza_DE_CN_ID!D237,Gamma_Catalogo!$A$3:$A$1451,0)),"Revisar Ip Code"))</f>
        <v/>
      </c>
      <c r="O887" s="1" t="str">
        <f aca="false">IF(Suiza_DE_CN_ID!A237="","","Suiza")</f>
        <v/>
      </c>
    </row>
    <row r="888" customFormat="false" ht="15" hidden="false" customHeight="true" outlineLevel="0" collapsed="false">
      <c r="A888" s="1" t="str">
        <f aca="false">IF(Suiza_DE_CN_ID!A238="","",IFERROR(INDEX(Mercados!$C$2:$C$32,MATCH(Suiza_DE_CN_ID!B238,Mercados!$A$2:$A$32,0)),"Revisar Tscode"))</f>
        <v/>
      </c>
      <c r="B888" s="1" t="str">
        <f aca="false">IF(Suiza_DE_CN_ID!A238="","",Suiza_DE_CN_ID!A238)</f>
        <v/>
      </c>
      <c r="C888" s="1" t="str">
        <f aca="false">IF(Suiza_DE_CN_ID!A238="","",Suiza_DE_CN_ID!C238)</f>
        <v/>
      </c>
      <c r="D888" s="1" t="str">
        <f aca="false">IF(Suiza_DE_CN_ID!A238="","",Suiza_DE_CN_ID!D238)</f>
        <v/>
      </c>
      <c r="E888" s="1" t="str">
        <f aca="false">IF(Suiza_DE_CN_ID!A238="","",Suiza_DE_CN_ID!E238)</f>
        <v/>
      </c>
      <c r="F888" s="1" t="str">
        <f aca="false">IF(Suiza_DE_CN_ID!A238="","",Suiza_DE_CN_ID!G238)</f>
        <v/>
      </c>
      <c r="I888" s="1" t="str">
        <f aca="false">IF(Suiza_DE_CN_ID!A238="","",Suiza_DE_CN_ID!H238)</f>
        <v/>
      </c>
      <c r="J888" s="1" t="str">
        <f aca="false">IF(Suiza_DE_CN_ID!A238="","",Suiza_DE_CN_ID!I238)</f>
        <v/>
      </c>
      <c r="K888" s="1" t="str">
        <f aca="false">IF(Suiza_DE_CN_ID!A238="","",UPPER(Suiza_DE_CN_ID!J238))</f>
        <v/>
      </c>
      <c r="L888" s="1" t="str">
        <f aca="false">IF(Suiza_DE_CN_ID!A238="","",IFERROR(INDEX(Gamma_Catalogo!$D$3:$D$1451,MATCH(Suiza_DE_CN_ID!D238,Gamma_Catalogo!$A$3:$A$1451,0)),"Revisar Ip Code"))</f>
        <v/>
      </c>
      <c r="M888" s="1" t="str">
        <f aca="false">IF(Suiza_DE_CN_ID!A238="","",IFERROR(INDEX(Gamma_Catalogo!$C$3:$C$1451,MATCH(Suiza_DE_CN_ID!D238,Gamma_Catalogo!$A$3:$A$1451,0)),"Revisar Ip Code"))</f>
        <v/>
      </c>
      <c r="N888" s="1" t="str">
        <f aca="false">IF(Suiza_DE_CN_ID!A238="","",IFERROR(INDEX(Gamma_Catalogo!$E$3:$E$1451,MATCH(Suiza_DE_CN_ID!D238,Gamma_Catalogo!$A$3:$A$1451,0)),"Revisar Ip Code"))</f>
        <v/>
      </c>
      <c r="O888" s="1" t="str">
        <f aca="false">IF(Suiza_DE_CN_ID!A238="","","Suiza")</f>
        <v/>
      </c>
    </row>
    <row r="889" customFormat="false" ht="15" hidden="false" customHeight="true" outlineLevel="0" collapsed="false">
      <c r="A889" s="1" t="str">
        <f aca="false">IF(Suiza_DE_CN_ID!A239="","",IFERROR(INDEX(Mercados!$C$2:$C$32,MATCH(Suiza_DE_CN_ID!B239,Mercados!$A$2:$A$32,0)),"Revisar Tscode"))</f>
        <v/>
      </c>
      <c r="B889" s="1" t="str">
        <f aca="false">IF(Suiza_DE_CN_ID!A239="","",Suiza_DE_CN_ID!A239)</f>
        <v/>
      </c>
      <c r="C889" s="1" t="str">
        <f aca="false">IF(Suiza_DE_CN_ID!A239="","",Suiza_DE_CN_ID!C239)</f>
        <v/>
      </c>
      <c r="D889" s="1" t="str">
        <f aca="false">IF(Suiza_DE_CN_ID!A239="","",Suiza_DE_CN_ID!D239)</f>
        <v/>
      </c>
      <c r="E889" s="1" t="str">
        <f aca="false">IF(Suiza_DE_CN_ID!A239="","",Suiza_DE_CN_ID!E239)</f>
        <v/>
      </c>
      <c r="F889" s="1" t="str">
        <f aca="false">IF(Suiza_DE_CN_ID!A239="","",Suiza_DE_CN_ID!G239)</f>
        <v/>
      </c>
      <c r="I889" s="1" t="str">
        <f aca="false">IF(Suiza_DE_CN_ID!A239="","",Suiza_DE_CN_ID!H239)</f>
        <v/>
      </c>
      <c r="J889" s="1" t="str">
        <f aca="false">IF(Suiza_DE_CN_ID!A239="","",Suiza_DE_CN_ID!I239)</f>
        <v/>
      </c>
      <c r="K889" s="1" t="str">
        <f aca="false">IF(Suiza_DE_CN_ID!A239="","",UPPER(Suiza_DE_CN_ID!J239))</f>
        <v/>
      </c>
      <c r="L889" s="1" t="str">
        <f aca="false">IF(Suiza_DE_CN_ID!A239="","",IFERROR(INDEX(Gamma_Catalogo!$D$3:$D$1451,MATCH(Suiza_DE_CN_ID!D239,Gamma_Catalogo!$A$3:$A$1451,0)),"Revisar Ip Code"))</f>
        <v/>
      </c>
      <c r="M889" s="1" t="str">
        <f aca="false">IF(Suiza_DE_CN_ID!A239="","",IFERROR(INDEX(Gamma_Catalogo!$C$3:$C$1451,MATCH(Suiza_DE_CN_ID!D239,Gamma_Catalogo!$A$3:$A$1451,0)),"Revisar Ip Code"))</f>
        <v/>
      </c>
      <c r="N889" s="1" t="str">
        <f aca="false">IF(Suiza_DE_CN_ID!A239="","",IFERROR(INDEX(Gamma_Catalogo!$E$3:$E$1451,MATCH(Suiza_DE_CN_ID!D239,Gamma_Catalogo!$A$3:$A$1451,0)),"Revisar Ip Code"))</f>
        <v/>
      </c>
      <c r="O889" s="1" t="str">
        <f aca="false">IF(Suiza_DE_CN_ID!A239="","","Suiza")</f>
        <v/>
      </c>
    </row>
    <row r="890" customFormat="false" ht="15" hidden="false" customHeight="true" outlineLevel="0" collapsed="false">
      <c r="A890" s="1" t="str">
        <f aca="false">IF(Suiza_DE_CN_ID!A240="","",IFERROR(INDEX(Mercados!$C$2:$C$32,MATCH(Suiza_DE_CN_ID!B240,Mercados!$A$2:$A$32,0)),"Revisar Tscode"))</f>
        <v/>
      </c>
      <c r="B890" s="1" t="str">
        <f aca="false">IF(Suiza_DE_CN_ID!A240="","",Suiza_DE_CN_ID!A240)</f>
        <v/>
      </c>
      <c r="C890" s="1" t="str">
        <f aca="false">IF(Suiza_DE_CN_ID!A240="","",Suiza_DE_CN_ID!C240)</f>
        <v/>
      </c>
      <c r="D890" s="1" t="str">
        <f aca="false">IF(Suiza_DE_CN_ID!A240="","",Suiza_DE_CN_ID!D240)</f>
        <v/>
      </c>
      <c r="E890" s="1" t="str">
        <f aca="false">IF(Suiza_DE_CN_ID!A240="","",Suiza_DE_CN_ID!E240)</f>
        <v/>
      </c>
      <c r="F890" s="1" t="str">
        <f aca="false">IF(Suiza_DE_CN_ID!A240="","",Suiza_DE_CN_ID!G240)</f>
        <v/>
      </c>
      <c r="I890" s="1" t="str">
        <f aca="false">IF(Suiza_DE_CN_ID!A240="","",Suiza_DE_CN_ID!H240)</f>
        <v/>
      </c>
      <c r="J890" s="1" t="str">
        <f aca="false">IF(Suiza_DE_CN_ID!A240="","",Suiza_DE_CN_ID!I240)</f>
        <v/>
      </c>
      <c r="K890" s="1" t="str">
        <f aca="false">IF(Suiza_DE_CN_ID!A240="","",UPPER(Suiza_DE_CN_ID!J240))</f>
        <v/>
      </c>
      <c r="L890" s="1" t="str">
        <f aca="false">IF(Suiza_DE_CN_ID!A240="","",IFERROR(INDEX(Gamma_Catalogo!$D$3:$D$1451,MATCH(Suiza_DE_CN_ID!D240,Gamma_Catalogo!$A$3:$A$1451,0)),"Revisar Ip Code"))</f>
        <v/>
      </c>
      <c r="M890" s="1" t="str">
        <f aca="false">IF(Suiza_DE_CN_ID!A240="","",IFERROR(INDEX(Gamma_Catalogo!$C$3:$C$1451,MATCH(Suiza_DE_CN_ID!D240,Gamma_Catalogo!$A$3:$A$1451,0)),"Revisar Ip Code"))</f>
        <v/>
      </c>
      <c r="N890" s="1" t="str">
        <f aca="false">IF(Suiza_DE_CN_ID!A240="","",IFERROR(INDEX(Gamma_Catalogo!$E$3:$E$1451,MATCH(Suiza_DE_CN_ID!D240,Gamma_Catalogo!$A$3:$A$1451,0)),"Revisar Ip Code"))</f>
        <v/>
      </c>
      <c r="O890" s="1" t="str">
        <f aca="false">IF(Suiza_DE_CN_ID!A240="","","Suiza")</f>
        <v/>
      </c>
    </row>
    <row r="891" customFormat="false" ht="15" hidden="false" customHeight="true" outlineLevel="0" collapsed="false">
      <c r="A891" s="1" t="str">
        <f aca="false">IF(Suiza_DE_CN_ID!A241="","",IFERROR(INDEX(Mercados!$C$2:$C$32,MATCH(Suiza_DE_CN_ID!B241,Mercados!$A$2:$A$32,0)),"Revisar Tscode"))</f>
        <v/>
      </c>
      <c r="B891" s="1" t="str">
        <f aca="false">IF(Suiza_DE_CN_ID!A241="","",Suiza_DE_CN_ID!A241)</f>
        <v/>
      </c>
      <c r="C891" s="1" t="str">
        <f aca="false">IF(Suiza_DE_CN_ID!A241="","",Suiza_DE_CN_ID!C241)</f>
        <v/>
      </c>
      <c r="D891" s="1" t="str">
        <f aca="false">IF(Suiza_DE_CN_ID!A241="","",Suiza_DE_CN_ID!D241)</f>
        <v/>
      </c>
      <c r="E891" s="1" t="str">
        <f aca="false">IF(Suiza_DE_CN_ID!A241="","",Suiza_DE_CN_ID!E241)</f>
        <v/>
      </c>
      <c r="F891" s="1" t="str">
        <f aca="false">IF(Suiza_DE_CN_ID!A241="","",Suiza_DE_CN_ID!G241)</f>
        <v/>
      </c>
      <c r="I891" s="1" t="str">
        <f aca="false">IF(Suiza_DE_CN_ID!A241="","",Suiza_DE_CN_ID!H241)</f>
        <v/>
      </c>
      <c r="J891" s="1" t="str">
        <f aca="false">IF(Suiza_DE_CN_ID!A241="","",Suiza_DE_CN_ID!I241)</f>
        <v/>
      </c>
      <c r="K891" s="1" t="str">
        <f aca="false">IF(Suiza_DE_CN_ID!A241="","",UPPER(Suiza_DE_CN_ID!J241))</f>
        <v/>
      </c>
      <c r="L891" s="1" t="str">
        <f aca="false">IF(Suiza_DE_CN_ID!A241="","",IFERROR(INDEX(Gamma_Catalogo!$D$3:$D$1451,MATCH(Suiza_DE_CN_ID!D241,Gamma_Catalogo!$A$3:$A$1451,0)),"Revisar Ip Code"))</f>
        <v/>
      </c>
      <c r="M891" s="1" t="str">
        <f aca="false">IF(Suiza_DE_CN_ID!A241="","",IFERROR(INDEX(Gamma_Catalogo!$C$3:$C$1451,MATCH(Suiza_DE_CN_ID!D241,Gamma_Catalogo!$A$3:$A$1451,0)),"Revisar Ip Code"))</f>
        <v/>
      </c>
      <c r="N891" s="1" t="str">
        <f aca="false">IF(Suiza_DE_CN_ID!A241="","",IFERROR(INDEX(Gamma_Catalogo!$E$3:$E$1451,MATCH(Suiza_DE_CN_ID!D241,Gamma_Catalogo!$A$3:$A$1451,0)),"Revisar Ip Code"))</f>
        <v/>
      </c>
      <c r="O891" s="1" t="str">
        <f aca="false">IF(Suiza_DE_CN_ID!A241="","","Suiza")</f>
        <v/>
      </c>
    </row>
    <row r="892" customFormat="false" ht="15" hidden="false" customHeight="true" outlineLevel="0" collapsed="false">
      <c r="A892" s="1" t="str">
        <f aca="false">IF(Suiza_DE_CN_ID!A242="","",IFERROR(INDEX(Mercados!$C$2:$C$32,MATCH(Suiza_DE_CN_ID!B242,Mercados!$A$2:$A$32,0)),"Revisar Tscode"))</f>
        <v/>
      </c>
      <c r="B892" s="1" t="str">
        <f aca="false">IF(Suiza_DE_CN_ID!A242="","",Suiza_DE_CN_ID!A242)</f>
        <v/>
      </c>
      <c r="C892" s="1" t="str">
        <f aca="false">IF(Suiza_DE_CN_ID!A242="","",Suiza_DE_CN_ID!C242)</f>
        <v/>
      </c>
      <c r="D892" s="1" t="str">
        <f aca="false">IF(Suiza_DE_CN_ID!A242="","",Suiza_DE_CN_ID!D242)</f>
        <v/>
      </c>
      <c r="E892" s="1" t="str">
        <f aca="false">IF(Suiza_DE_CN_ID!A242="","",Suiza_DE_CN_ID!E242)</f>
        <v/>
      </c>
      <c r="F892" s="1" t="str">
        <f aca="false">IF(Suiza_DE_CN_ID!A242="","",Suiza_DE_CN_ID!G242)</f>
        <v/>
      </c>
      <c r="I892" s="1" t="str">
        <f aca="false">IF(Suiza_DE_CN_ID!A242="","",Suiza_DE_CN_ID!H242)</f>
        <v/>
      </c>
      <c r="J892" s="1" t="str">
        <f aca="false">IF(Suiza_DE_CN_ID!A242="","",Suiza_DE_CN_ID!I242)</f>
        <v/>
      </c>
      <c r="K892" s="1" t="str">
        <f aca="false">IF(Suiza_DE_CN_ID!A242="","",UPPER(Suiza_DE_CN_ID!J242))</f>
        <v/>
      </c>
      <c r="L892" s="1" t="str">
        <f aca="false">IF(Suiza_DE_CN_ID!A242="","",IFERROR(INDEX(Gamma_Catalogo!$D$3:$D$1451,MATCH(Suiza_DE_CN_ID!D242,Gamma_Catalogo!$A$3:$A$1451,0)),"Revisar Ip Code"))</f>
        <v/>
      </c>
      <c r="M892" s="1" t="str">
        <f aca="false">IF(Suiza_DE_CN_ID!A242="","",IFERROR(INDEX(Gamma_Catalogo!$C$3:$C$1451,MATCH(Suiza_DE_CN_ID!D242,Gamma_Catalogo!$A$3:$A$1451,0)),"Revisar Ip Code"))</f>
        <v/>
      </c>
      <c r="N892" s="1" t="str">
        <f aca="false">IF(Suiza_DE_CN_ID!A242="","",IFERROR(INDEX(Gamma_Catalogo!$E$3:$E$1451,MATCH(Suiza_DE_CN_ID!D242,Gamma_Catalogo!$A$3:$A$1451,0)),"Revisar Ip Code"))</f>
        <v/>
      </c>
      <c r="O892" s="1" t="str">
        <f aca="false">IF(Suiza_DE_CN_ID!A242="","","Suiza")</f>
        <v/>
      </c>
    </row>
    <row r="893" customFormat="false" ht="15" hidden="false" customHeight="true" outlineLevel="0" collapsed="false">
      <c r="A893" s="1" t="str">
        <f aca="false">IF(Suiza_DE_CN_ID!A243="","",IFERROR(INDEX(Mercados!$C$2:$C$32,MATCH(Suiza_DE_CN_ID!B243,Mercados!$A$2:$A$32,0)),"Revisar Tscode"))</f>
        <v/>
      </c>
      <c r="B893" s="1" t="str">
        <f aca="false">IF(Suiza_DE_CN_ID!A243="","",Suiza_DE_CN_ID!A243)</f>
        <v/>
      </c>
      <c r="C893" s="1" t="str">
        <f aca="false">IF(Suiza_DE_CN_ID!A243="","",Suiza_DE_CN_ID!C243)</f>
        <v/>
      </c>
      <c r="D893" s="1" t="str">
        <f aca="false">IF(Suiza_DE_CN_ID!A243="","",Suiza_DE_CN_ID!D243)</f>
        <v/>
      </c>
      <c r="E893" s="1" t="str">
        <f aca="false">IF(Suiza_DE_CN_ID!A243="","",Suiza_DE_CN_ID!E243)</f>
        <v/>
      </c>
      <c r="F893" s="1" t="str">
        <f aca="false">IF(Suiza_DE_CN_ID!A243="","",Suiza_DE_CN_ID!G243)</f>
        <v/>
      </c>
      <c r="I893" s="1" t="str">
        <f aca="false">IF(Suiza_DE_CN_ID!A243="","",Suiza_DE_CN_ID!H243)</f>
        <v/>
      </c>
      <c r="J893" s="1" t="str">
        <f aca="false">IF(Suiza_DE_CN_ID!A243="","",Suiza_DE_CN_ID!I243)</f>
        <v/>
      </c>
      <c r="K893" s="1" t="str">
        <f aca="false">IF(Suiza_DE_CN_ID!A243="","",UPPER(Suiza_DE_CN_ID!J243))</f>
        <v/>
      </c>
      <c r="L893" s="1" t="str">
        <f aca="false">IF(Suiza_DE_CN_ID!A243="","",IFERROR(INDEX(Gamma_Catalogo!$D$3:$D$1451,MATCH(Suiza_DE_CN_ID!D243,Gamma_Catalogo!$A$3:$A$1451,0)),"Revisar Ip Code"))</f>
        <v/>
      </c>
      <c r="M893" s="1" t="str">
        <f aca="false">IF(Suiza_DE_CN_ID!A243="","",IFERROR(INDEX(Gamma_Catalogo!$C$3:$C$1451,MATCH(Suiza_DE_CN_ID!D243,Gamma_Catalogo!$A$3:$A$1451,0)),"Revisar Ip Code"))</f>
        <v/>
      </c>
      <c r="N893" s="1" t="str">
        <f aca="false">IF(Suiza_DE_CN_ID!A243="","",IFERROR(INDEX(Gamma_Catalogo!$E$3:$E$1451,MATCH(Suiza_DE_CN_ID!D243,Gamma_Catalogo!$A$3:$A$1451,0)),"Revisar Ip Code"))</f>
        <v/>
      </c>
      <c r="O893" s="1" t="str">
        <f aca="false">IF(Suiza_DE_CN_ID!A243="","","Suiza")</f>
        <v/>
      </c>
    </row>
    <row r="894" customFormat="false" ht="15" hidden="false" customHeight="true" outlineLevel="0" collapsed="false">
      <c r="A894" s="1" t="str">
        <f aca="false">IF(Suiza_DE_CN_ID!A244="","",IFERROR(INDEX(Mercados!$C$2:$C$32,MATCH(Suiza_DE_CN_ID!B244,Mercados!$A$2:$A$32,0)),"Revisar Tscode"))</f>
        <v/>
      </c>
      <c r="B894" s="1" t="str">
        <f aca="false">IF(Suiza_DE_CN_ID!A244="","",Suiza_DE_CN_ID!A244)</f>
        <v/>
      </c>
      <c r="C894" s="1" t="str">
        <f aca="false">IF(Suiza_DE_CN_ID!A244="","",Suiza_DE_CN_ID!C244)</f>
        <v/>
      </c>
      <c r="D894" s="1" t="str">
        <f aca="false">IF(Suiza_DE_CN_ID!A244="","",Suiza_DE_CN_ID!D244)</f>
        <v/>
      </c>
      <c r="E894" s="1" t="str">
        <f aca="false">IF(Suiza_DE_CN_ID!A244="","",Suiza_DE_CN_ID!E244)</f>
        <v/>
      </c>
      <c r="F894" s="1" t="str">
        <f aca="false">IF(Suiza_DE_CN_ID!A244="","",Suiza_DE_CN_ID!G244)</f>
        <v/>
      </c>
      <c r="I894" s="1" t="str">
        <f aca="false">IF(Suiza_DE_CN_ID!A244="","",Suiza_DE_CN_ID!H244)</f>
        <v/>
      </c>
      <c r="J894" s="1" t="str">
        <f aca="false">IF(Suiza_DE_CN_ID!A244="","",Suiza_DE_CN_ID!I244)</f>
        <v/>
      </c>
      <c r="K894" s="1" t="str">
        <f aca="false">IF(Suiza_DE_CN_ID!A244="","",UPPER(Suiza_DE_CN_ID!J244))</f>
        <v/>
      </c>
      <c r="L894" s="1" t="str">
        <f aca="false">IF(Suiza_DE_CN_ID!A244="","",IFERROR(INDEX(Gamma_Catalogo!$D$3:$D$1451,MATCH(Suiza_DE_CN_ID!D244,Gamma_Catalogo!$A$3:$A$1451,0)),"Revisar Ip Code"))</f>
        <v/>
      </c>
      <c r="M894" s="1" t="str">
        <f aca="false">IF(Suiza_DE_CN_ID!A244="","",IFERROR(INDEX(Gamma_Catalogo!$C$3:$C$1451,MATCH(Suiza_DE_CN_ID!D244,Gamma_Catalogo!$A$3:$A$1451,0)),"Revisar Ip Code"))</f>
        <v/>
      </c>
      <c r="N894" s="1" t="str">
        <f aca="false">IF(Suiza_DE_CN_ID!A244="","",IFERROR(INDEX(Gamma_Catalogo!$E$3:$E$1451,MATCH(Suiza_DE_CN_ID!D244,Gamma_Catalogo!$A$3:$A$1451,0)),"Revisar Ip Code"))</f>
        <v/>
      </c>
      <c r="O894" s="1" t="str">
        <f aca="false">IF(Suiza_DE_CN_ID!A244="","","Suiza")</f>
        <v/>
      </c>
    </row>
    <row r="895" customFormat="false" ht="15" hidden="false" customHeight="true" outlineLevel="0" collapsed="false">
      <c r="A895" s="1" t="str">
        <f aca="false">IF(Suiza_DE_CN_ID!A245="","",IFERROR(INDEX(Mercados!$C$2:$C$32,MATCH(Suiza_DE_CN_ID!B245,Mercados!$A$2:$A$32,0)),"Revisar Tscode"))</f>
        <v/>
      </c>
      <c r="B895" s="1" t="str">
        <f aca="false">IF(Suiza_DE_CN_ID!A245="","",Suiza_DE_CN_ID!A245)</f>
        <v/>
      </c>
      <c r="C895" s="1" t="str">
        <f aca="false">IF(Suiza_DE_CN_ID!A245="","",Suiza_DE_CN_ID!C245)</f>
        <v/>
      </c>
      <c r="D895" s="1" t="str">
        <f aca="false">IF(Suiza_DE_CN_ID!A245="","",Suiza_DE_CN_ID!D245)</f>
        <v/>
      </c>
      <c r="E895" s="1" t="str">
        <f aca="false">IF(Suiza_DE_CN_ID!A245="","",Suiza_DE_CN_ID!E245)</f>
        <v/>
      </c>
      <c r="F895" s="1" t="str">
        <f aca="false">IF(Suiza_DE_CN_ID!A245="","",Suiza_DE_CN_ID!G245)</f>
        <v/>
      </c>
      <c r="I895" s="1" t="str">
        <f aca="false">IF(Suiza_DE_CN_ID!A245="","",Suiza_DE_CN_ID!H245)</f>
        <v/>
      </c>
      <c r="J895" s="1" t="str">
        <f aca="false">IF(Suiza_DE_CN_ID!A245="","",Suiza_DE_CN_ID!I245)</f>
        <v/>
      </c>
      <c r="K895" s="1" t="str">
        <f aca="false">IF(Suiza_DE_CN_ID!A245="","",UPPER(Suiza_DE_CN_ID!J245))</f>
        <v/>
      </c>
      <c r="L895" s="1" t="str">
        <f aca="false">IF(Suiza_DE_CN_ID!A245="","",IFERROR(INDEX(Gamma_Catalogo!$D$3:$D$1451,MATCH(Suiza_DE_CN_ID!D245,Gamma_Catalogo!$A$3:$A$1451,0)),"Revisar Ip Code"))</f>
        <v/>
      </c>
      <c r="M895" s="1" t="str">
        <f aca="false">IF(Suiza_DE_CN_ID!A245="","",IFERROR(INDEX(Gamma_Catalogo!$C$3:$C$1451,MATCH(Suiza_DE_CN_ID!D245,Gamma_Catalogo!$A$3:$A$1451,0)),"Revisar Ip Code"))</f>
        <v/>
      </c>
      <c r="N895" s="1" t="str">
        <f aca="false">IF(Suiza_DE_CN_ID!A245="","",IFERROR(INDEX(Gamma_Catalogo!$E$3:$E$1451,MATCH(Suiza_DE_CN_ID!D245,Gamma_Catalogo!$A$3:$A$1451,0)),"Revisar Ip Code"))</f>
        <v/>
      </c>
      <c r="O895" s="1" t="str">
        <f aca="false">IF(Suiza_DE_CN_ID!A245="","","Suiza")</f>
        <v/>
      </c>
    </row>
    <row r="896" customFormat="false" ht="15" hidden="false" customHeight="true" outlineLevel="0" collapsed="false">
      <c r="A896" s="1" t="str">
        <f aca="false">IF(Suiza_DE_CN_ID!A246="","",IFERROR(INDEX(Mercados!$C$2:$C$32,MATCH(Suiza_DE_CN_ID!B246,Mercados!$A$2:$A$32,0)),"Revisar Tscode"))</f>
        <v/>
      </c>
      <c r="B896" s="1" t="str">
        <f aca="false">IF(Suiza_DE_CN_ID!A246="","",Suiza_DE_CN_ID!A246)</f>
        <v/>
      </c>
      <c r="C896" s="1" t="str">
        <f aca="false">IF(Suiza_DE_CN_ID!A246="","",Suiza_DE_CN_ID!C246)</f>
        <v/>
      </c>
      <c r="D896" s="1" t="str">
        <f aca="false">IF(Suiza_DE_CN_ID!A246="","",Suiza_DE_CN_ID!D246)</f>
        <v/>
      </c>
      <c r="E896" s="1" t="str">
        <f aca="false">IF(Suiza_DE_CN_ID!A246="","",Suiza_DE_CN_ID!E246)</f>
        <v/>
      </c>
      <c r="F896" s="1" t="str">
        <f aca="false">IF(Suiza_DE_CN_ID!A246="","",Suiza_DE_CN_ID!G246)</f>
        <v/>
      </c>
      <c r="I896" s="1" t="str">
        <f aca="false">IF(Suiza_DE_CN_ID!A246="","",Suiza_DE_CN_ID!H246)</f>
        <v/>
      </c>
      <c r="J896" s="1" t="str">
        <f aca="false">IF(Suiza_DE_CN_ID!A246="","",Suiza_DE_CN_ID!I246)</f>
        <v/>
      </c>
      <c r="K896" s="1" t="str">
        <f aca="false">IF(Suiza_DE_CN_ID!A246="","",UPPER(Suiza_DE_CN_ID!J246))</f>
        <v/>
      </c>
      <c r="L896" s="1" t="str">
        <f aca="false">IF(Suiza_DE_CN_ID!A246="","",IFERROR(INDEX(Gamma_Catalogo!$D$3:$D$1451,MATCH(Suiza_DE_CN_ID!D246,Gamma_Catalogo!$A$3:$A$1451,0)),"Revisar Ip Code"))</f>
        <v/>
      </c>
      <c r="M896" s="1" t="str">
        <f aca="false">IF(Suiza_DE_CN_ID!A246="","",IFERROR(INDEX(Gamma_Catalogo!$C$3:$C$1451,MATCH(Suiza_DE_CN_ID!D246,Gamma_Catalogo!$A$3:$A$1451,0)),"Revisar Ip Code"))</f>
        <v/>
      </c>
      <c r="N896" s="1" t="str">
        <f aca="false">IF(Suiza_DE_CN_ID!A246="","",IFERROR(INDEX(Gamma_Catalogo!$E$3:$E$1451,MATCH(Suiza_DE_CN_ID!D246,Gamma_Catalogo!$A$3:$A$1451,0)),"Revisar Ip Code"))</f>
        <v/>
      </c>
      <c r="O896" s="1" t="str">
        <f aca="false">IF(Suiza_DE_CN_ID!A246="","","Suiza")</f>
        <v/>
      </c>
    </row>
    <row r="897" customFormat="false" ht="15" hidden="false" customHeight="true" outlineLevel="0" collapsed="false">
      <c r="A897" s="1" t="str">
        <f aca="false">IF(Suiza_DE_CN_ID!A247="","",IFERROR(INDEX(Mercados!$C$2:$C$32,MATCH(Suiza_DE_CN_ID!B247,Mercados!$A$2:$A$32,0)),"Revisar Tscode"))</f>
        <v/>
      </c>
      <c r="B897" s="1" t="str">
        <f aca="false">IF(Suiza_DE_CN_ID!A247="","",Suiza_DE_CN_ID!A247)</f>
        <v/>
      </c>
      <c r="C897" s="1" t="str">
        <f aca="false">IF(Suiza_DE_CN_ID!A247="","",Suiza_DE_CN_ID!C247)</f>
        <v/>
      </c>
      <c r="D897" s="1" t="str">
        <f aca="false">IF(Suiza_DE_CN_ID!A247="","",Suiza_DE_CN_ID!D247)</f>
        <v/>
      </c>
      <c r="E897" s="1" t="str">
        <f aca="false">IF(Suiza_DE_CN_ID!A247="","",Suiza_DE_CN_ID!E247)</f>
        <v/>
      </c>
      <c r="F897" s="1" t="str">
        <f aca="false">IF(Suiza_DE_CN_ID!A247="","",Suiza_DE_CN_ID!G247)</f>
        <v/>
      </c>
      <c r="I897" s="1" t="str">
        <f aca="false">IF(Suiza_DE_CN_ID!A247="","",Suiza_DE_CN_ID!H247)</f>
        <v/>
      </c>
      <c r="J897" s="1" t="str">
        <f aca="false">IF(Suiza_DE_CN_ID!A247="","",Suiza_DE_CN_ID!I247)</f>
        <v/>
      </c>
      <c r="K897" s="1" t="str">
        <f aca="false">IF(Suiza_DE_CN_ID!A247="","",UPPER(Suiza_DE_CN_ID!J247))</f>
        <v/>
      </c>
      <c r="L897" s="1" t="str">
        <f aca="false">IF(Suiza_DE_CN_ID!A247="","",IFERROR(INDEX(Gamma_Catalogo!$D$3:$D$1451,MATCH(Suiza_DE_CN_ID!D247,Gamma_Catalogo!$A$3:$A$1451,0)),"Revisar Ip Code"))</f>
        <v/>
      </c>
      <c r="M897" s="1" t="str">
        <f aca="false">IF(Suiza_DE_CN_ID!A247="","",IFERROR(INDEX(Gamma_Catalogo!$C$3:$C$1451,MATCH(Suiza_DE_CN_ID!D247,Gamma_Catalogo!$A$3:$A$1451,0)),"Revisar Ip Code"))</f>
        <v/>
      </c>
      <c r="N897" s="1" t="str">
        <f aca="false">IF(Suiza_DE_CN_ID!A247="","",IFERROR(INDEX(Gamma_Catalogo!$E$3:$E$1451,MATCH(Suiza_DE_CN_ID!D247,Gamma_Catalogo!$A$3:$A$1451,0)),"Revisar Ip Code"))</f>
        <v/>
      </c>
      <c r="O897" s="1" t="str">
        <f aca="false">IF(Suiza_DE_CN_ID!A247="","","Suiza")</f>
        <v/>
      </c>
    </row>
    <row r="898" customFormat="false" ht="15" hidden="false" customHeight="true" outlineLevel="0" collapsed="false">
      <c r="A898" s="1" t="str">
        <f aca="false">IF(Suiza_DE_CN_ID!A248="","",IFERROR(INDEX(Mercados!$C$2:$C$32,MATCH(Suiza_DE_CN_ID!B248,Mercados!$A$2:$A$32,0)),"Revisar Tscode"))</f>
        <v/>
      </c>
      <c r="B898" s="1" t="str">
        <f aca="false">IF(Suiza_DE_CN_ID!A248="","",Suiza_DE_CN_ID!A248)</f>
        <v/>
      </c>
      <c r="C898" s="1" t="str">
        <f aca="false">IF(Suiza_DE_CN_ID!A248="","",Suiza_DE_CN_ID!C248)</f>
        <v/>
      </c>
      <c r="D898" s="1" t="str">
        <f aca="false">IF(Suiza_DE_CN_ID!A248="","",Suiza_DE_CN_ID!D248)</f>
        <v/>
      </c>
      <c r="E898" s="1" t="str">
        <f aca="false">IF(Suiza_DE_CN_ID!A248="","",Suiza_DE_CN_ID!E248)</f>
        <v/>
      </c>
      <c r="F898" s="1" t="str">
        <f aca="false">IF(Suiza_DE_CN_ID!A248="","",Suiza_DE_CN_ID!G248)</f>
        <v/>
      </c>
      <c r="I898" s="1" t="str">
        <f aca="false">IF(Suiza_DE_CN_ID!A248="","",Suiza_DE_CN_ID!H248)</f>
        <v/>
      </c>
      <c r="J898" s="1" t="str">
        <f aca="false">IF(Suiza_DE_CN_ID!A248="","",Suiza_DE_CN_ID!I248)</f>
        <v/>
      </c>
      <c r="K898" s="1" t="str">
        <f aca="false">IF(Suiza_DE_CN_ID!A248="","",UPPER(Suiza_DE_CN_ID!J248))</f>
        <v/>
      </c>
      <c r="L898" s="1" t="str">
        <f aca="false">IF(Suiza_DE_CN_ID!A248="","",IFERROR(INDEX(Gamma_Catalogo!$D$3:$D$1451,MATCH(Suiza_DE_CN_ID!D248,Gamma_Catalogo!$A$3:$A$1451,0)),"Revisar Ip Code"))</f>
        <v/>
      </c>
      <c r="M898" s="1" t="str">
        <f aca="false">IF(Suiza_DE_CN_ID!A248="","",IFERROR(INDEX(Gamma_Catalogo!$C$3:$C$1451,MATCH(Suiza_DE_CN_ID!D248,Gamma_Catalogo!$A$3:$A$1451,0)),"Revisar Ip Code"))</f>
        <v/>
      </c>
      <c r="N898" s="1" t="str">
        <f aca="false">IF(Suiza_DE_CN_ID!A248="","",IFERROR(INDEX(Gamma_Catalogo!$E$3:$E$1451,MATCH(Suiza_DE_CN_ID!D248,Gamma_Catalogo!$A$3:$A$1451,0)),"Revisar Ip Code"))</f>
        <v/>
      </c>
      <c r="O898" s="1" t="str">
        <f aca="false">IF(Suiza_DE_CN_ID!A248="","","Suiza")</f>
        <v/>
      </c>
    </row>
    <row r="899" customFormat="false" ht="15" hidden="false" customHeight="true" outlineLevel="0" collapsed="false">
      <c r="A899" s="1" t="str">
        <f aca="false">IF(Suiza_DE_CN_ID!A249="","",IFERROR(INDEX(Mercados!$C$2:$C$32,MATCH(Suiza_DE_CN_ID!B249,Mercados!$A$2:$A$32,0)),"Revisar Tscode"))</f>
        <v/>
      </c>
      <c r="B899" s="1" t="str">
        <f aca="false">IF(Suiza_DE_CN_ID!A249="","",Suiza_DE_CN_ID!A249)</f>
        <v/>
      </c>
      <c r="C899" s="1" t="str">
        <f aca="false">IF(Suiza_DE_CN_ID!A249="","",Suiza_DE_CN_ID!C249)</f>
        <v/>
      </c>
      <c r="D899" s="1" t="str">
        <f aca="false">IF(Suiza_DE_CN_ID!A249="","",Suiza_DE_CN_ID!D249)</f>
        <v/>
      </c>
      <c r="E899" s="1" t="str">
        <f aca="false">IF(Suiza_DE_CN_ID!A249="","",Suiza_DE_CN_ID!E249)</f>
        <v/>
      </c>
      <c r="F899" s="1" t="str">
        <f aca="false">IF(Suiza_DE_CN_ID!A249="","",Suiza_DE_CN_ID!G249)</f>
        <v/>
      </c>
      <c r="I899" s="1" t="str">
        <f aca="false">IF(Suiza_DE_CN_ID!A249="","",Suiza_DE_CN_ID!H249)</f>
        <v/>
      </c>
      <c r="J899" s="1" t="str">
        <f aca="false">IF(Suiza_DE_CN_ID!A249="","",Suiza_DE_CN_ID!I249)</f>
        <v/>
      </c>
      <c r="K899" s="1" t="str">
        <f aca="false">IF(Suiza_DE_CN_ID!A249="","",UPPER(Suiza_DE_CN_ID!J249))</f>
        <v/>
      </c>
      <c r="L899" s="1" t="str">
        <f aca="false">IF(Suiza_DE_CN_ID!A249="","",IFERROR(INDEX(Gamma_Catalogo!$D$3:$D$1451,MATCH(Suiza_DE_CN_ID!D249,Gamma_Catalogo!$A$3:$A$1451,0)),"Revisar Ip Code"))</f>
        <v/>
      </c>
      <c r="M899" s="1" t="str">
        <f aca="false">IF(Suiza_DE_CN_ID!A249="","",IFERROR(INDEX(Gamma_Catalogo!$C$3:$C$1451,MATCH(Suiza_DE_CN_ID!D249,Gamma_Catalogo!$A$3:$A$1451,0)),"Revisar Ip Code"))</f>
        <v/>
      </c>
      <c r="N899" s="1" t="str">
        <f aca="false">IF(Suiza_DE_CN_ID!A249="","",IFERROR(INDEX(Gamma_Catalogo!$E$3:$E$1451,MATCH(Suiza_DE_CN_ID!D249,Gamma_Catalogo!$A$3:$A$1451,0)),"Revisar Ip Code"))</f>
        <v/>
      </c>
      <c r="O899" s="1" t="str">
        <f aca="false">IF(Suiza_DE_CN_ID!A249="","","Suiza")</f>
        <v/>
      </c>
    </row>
    <row r="900" customFormat="false" ht="15" hidden="false" customHeight="true" outlineLevel="0" collapsed="false">
      <c r="A900" s="1" t="str">
        <f aca="false">IF(Suiza_DE_CN_ID!A250="","",IFERROR(INDEX(Mercados!$C$2:$C$32,MATCH(Suiza_DE_CN_ID!B250,Mercados!$A$2:$A$32,0)),"Revisar Tscode"))</f>
        <v/>
      </c>
      <c r="B900" s="1" t="str">
        <f aca="false">IF(Suiza_DE_CN_ID!A250="","",Suiza_DE_CN_ID!A250)</f>
        <v/>
      </c>
      <c r="C900" s="1" t="str">
        <f aca="false">IF(Suiza_DE_CN_ID!A250="","",Suiza_DE_CN_ID!C250)</f>
        <v/>
      </c>
      <c r="D900" s="1" t="str">
        <f aca="false">IF(Suiza_DE_CN_ID!A250="","",Suiza_DE_CN_ID!D250)</f>
        <v/>
      </c>
      <c r="E900" s="1" t="str">
        <f aca="false">IF(Suiza_DE_CN_ID!A250="","",Suiza_DE_CN_ID!E250)</f>
        <v/>
      </c>
      <c r="F900" s="1" t="str">
        <f aca="false">IF(Suiza_DE_CN_ID!A250="","",Suiza_DE_CN_ID!G250)</f>
        <v/>
      </c>
      <c r="I900" s="1" t="str">
        <f aca="false">IF(Suiza_DE_CN_ID!A250="","",Suiza_DE_CN_ID!H250)</f>
        <v/>
      </c>
      <c r="J900" s="1" t="str">
        <f aca="false">IF(Suiza_DE_CN_ID!A250="","",Suiza_DE_CN_ID!I250)</f>
        <v/>
      </c>
      <c r="K900" s="1" t="str">
        <f aca="false">IF(Suiza_DE_CN_ID!A250="","",UPPER(Suiza_DE_CN_ID!J250))</f>
        <v/>
      </c>
      <c r="L900" s="1" t="str">
        <f aca="false">IF(Suiza_DE_CN_ID!A250="","",IFERROR(INDEX(Gamma_Catalogo!$D$3:$D$1451,MATCH(Suiza_DE_CN_ID!D250,Gamma_Catalogo!$A$3:$A$1451,0)),"Revisar Ip Code"))</f>
        <v/>
      </c>
      <c r="M900" s="1" t="str">
        <f aca="false">IF(Suiza_DE_CN_ID!A250="","",IFERROR(INDEX(Gamma_Catalogo!$C$3:$C$1451,MATCH(Suiza_DE_CN_ID!D250,Gamma_Catalogo!$A$3:$A$1451,0)),"Revisar Ip Code"))</f>
        <v/>
      </c>
      <c r="N900" s="1" t="str">
        <f aca="false">IF(Suiza_DE_CN_ID!A250="","",IFERROR(INDEX(Gamma_Catalogo!$E$3:$E$1451,MATCH(Suiza_DE_CN_ID!D250,Gamma_Catalogo!$A$3:$A$1451,0)),"Revisar Ip Code"))</f>
        <v/>
      </c>
      <c r="O900" s="1" t="str">
        <f aca="false">IF(Suiza_DE_CN_ID!A250="","","Suiza")</f>
        <v/>
      </c>
    </row>
    <row r="901" customFormat="false" ht="15" hidden="false" customHeight="true" outlineLevel="0" collapsed="false">
      <c r="A901" s="1" t="str">
        <f aca="false">IF(Suiza_DE_CN_ID!A251="","",IFERROR(INDEX(Mercados!$C$2:$C$32,MATCH(Suiza_DE_CN_ID!B251,Mercados!$A$2:$A$32,0)),"Revisar Tscode"))</f>
        <v/>
      </c>
      <c r="B901" s="1" t="str">
        <f aca="false">IF(Suiza_DE_CN_ID!A251="","",Suiza_DE_CN_ID!A251)</f>
        <v/>
      </c>
      <c r="C901" s="1" t="str">
        <f aca="false">IF(Suiza_DE_CN_ID!A251="","",Suiza_DE_CN_ID!C251)</f>
        <v/>
      </c>
      <c r="D901" s="1" t="str">
        <f aca="false">IF(Suiza_DE_CN_ID!A251="","",Suiza_DE_CN_ID!D251)</f>
        <v/>
      </c>
      <c r="E901" s="1" t="str">
        <f aca="false">IF(Suiza_DE_CN_ID!A251="","",Suiza_DE_CN_ID!E251)</f>
        <v/>
      </c>
      <c r="F901" s="1" t="str">
        <f aca="false">IF(Suiza_DE_CN_ID!A251="","",Suiza_DE_CN_ID!G251)</f>
        <v/>
      </c>
      <c r="I901" s="1" t="str">
        <f aca="false">IF(Suiza_DE_CN_ID!A251="","",Suiza_DE_CN_ID!H251)</f>
        <v/>
      </c>
      <c r="J901" s="1" t="str">
        <f aca="false">IF(Suiza_DE_CN_ID!A251="","",Suiza_DE_CN_ID!I251)</f>
        <v/>
      </c>
      <c r="K901" s="1" t="str">
        <f aca="false">IF(Suiza_DE_CN_ID!A251="","",UPPER(Suiza_DE_CN_ID!J251))</f>
        <v/>
      </c>
      <c r="L901" s="1" t="str">
        <f aca="false">IF(Suiza_DE_CN_ID!A251="","",IFERROR(INDEX(Gamma_Catalogo!$D$3:$D$1451,MATCH(Suiza_DE_CN_ID!D251,Gamma_Catalogo!$A$3:$A$1451,0)),"Revisar Ip Code"))</f>
        <v/>
      </c>
      <c r="M901" s="1" t="str">
        <f aca="false">IF(Suiza_DE_CN_ID!A251="","",IFERROR(INDEX(Gamma_Catalogo!$C$3:$C$1451,MATCH(Suiza_DE_CN_ID!D251,Gamma_Catalogo!$A$3:$A$1451,0)),"Revisar Ip Code"))</f>
        <v/>
      </c>
      <c r="N901" s="1" t="str">
        <f aca="false">IF(Suiza_DE_CN_ID!A251="","",IFERROR(INDEX(Gamma_Catalogo!$E$3:$E$1451,MATCH(Suiza_DE_CN_ID!D251,Gamma_Catalogo!$A$3:$A$1451,0)),"Revisar Ip Code"))</f>
        <v/>
      </c>
      <c r="O901" s="1" t="str">
        <f aca="false">IF(Suiza_DE_CN_ID!A251="","","Suiza")</f>
        <v/>
      </c>
    </row>
    <row r="902" customFormat="false" ht="15" hidden="false" customHeight="true" outlineLevel="0" collapsed="false">
      <c r="A902" s="1" t="str">
        <f aca="false">IF(Suiza_DE_CN_ID!A252="","",IFERROR(INDEX(Mercados!$C$2:$C$32,MATCH(Suiza_DE_CN_ID!B252,Mercados!$A$2:$A$32,0)),"Revisar Tscode"))</f>
        <v/>
      </c>
      <c r="B902" s="1" t="str">
        <f aca="false">IF(Suiza_DE_CN_ID!A252="","",Suiza_DE_CN_ID!A252)</f>
        <v/>
      </c>
      <c r="C902" s="1" t="str">
        <f aca="false">IF(Suiza_DE_CN_ID!A252="","",Suiza_DE_CN_ID!C252)</f>
        <v/>
      </c>
      <c r="D902" s="1" t="str">
        <f aca="false">IF(Suiza_DE_CN_ID!A252="","",Suiza_DE_CN_ID!D252)</f>
        <v/>
      </c>
      <c r="E902" s="1" t="str">
        <f aca="false">IF(Suiza_DE_CN_ID!A252="","",Suiza_DE_CN_ID!E252)</f>
        <v/>
      </c>
      <c r="F902" s="1" t="str">
        <f aca="false">IF(Suiza_DE_CN_ID!A252="","",Suiza_DE_CN_ID!G252)</f>
        <v/>
      </c>
      <c r="I902" s="1" t="str">
        <f aca="false">IF(Suiza_DE_CN_ID!A252="","",Suiza_DE_CN_ID!H252)</f>
        <v/>
      </c>
      <c r="J902" s="1" t="str">
        <f aca="false">IF(Suiza_DE_CN_ID!A252="","",Suiza_DE_CN_ID!I252)</f>
        <v/>
      </c>
      <c r="K902" s="1" t="str">
        <f aca="false">IF(Suiza_DE_CN_ID!A252="","",UPPER(Suiza_DE_CN_ID!J252))</f>
        <v/>
      </c>
      <c r="L902" s="1" t="str">
        <f aca="false">IF(Suiza_DE_CN_ID!A252="","",IFERROR(INDEX(Gamma_Catalogo!$D$3:$D$1451,MATCH(Suiza_DE_CN_ID!D252,Gamma_Catalogo!$A$3:$A$1451,0)),"Revisar Ip Code"))</f>
        <v/>
      </c>
      <c r="M902" s="1" t="str">
        <f aca="false">IF(Suiza_DE_CN_ID!A252="","",IFERROR(INDEX(Gamma_Catalogo!$C$3:$C$1451,MATCH(Suiza_DE_CN_ID!D252,Gamma_Catalogo!$A$3:$A$1451,0)),"Revisar Ip Code"))</f>
        <v/>
      </c>
      <c r="N902" s="1" t="str">
        <f aca="false">IF(Suiza_DE_CN_ID!A252="","",IFERROR(INDEX(Gamma_Catalogo!$E$3:$E$1451,MATCH(Suiza_DE_CN_ID!D252,Gamma_Catalogo!$A$3:$A$1451,0)),"Revisar Ip Code"))</f>
        <v/>
      </c>
      <c r="O902" s="1" t="str">
        <f aca="false">IF(Suiza_DE_CN_ID!A252="","","Suiza")</f>
        <v/>
      </c>
    </row>
    <row r="903" customFormat="false" ht="15" hidden="false" customHeight="true" outlineLevel="0" collapsed="false">
      <c r="A903" s="1" t="str">
        <f aca="false">IF(Suiza_DE_CN_ID!A253="","",IFERROR(INDEX(Mercados!$C$2:$C$32,MATCH(Suiza_DE_CN_ID!B253,Mercados!$A$2:$A$32,0)),"Revisar Tscode"))</f>
        <v/>
      </c>
      <c r="B903" s="1" t="str">
        <f aca="false">IF(Suiza_DE_CN_ID!A253="","",Suiza_DE_CN_ID!A253)</f>
        <v/>
      </c>
      <c r="C903" s="1" t="str">
        <f aca="false">IF(Suiza_DE_CN_ID!A253="","",Suiza_DE_CN_ID!C253)</f>
        <v/>
      </c>
      <c r="D903" s="1" t="str">
        <f aca="false">IF(Suiza_DE_CN_ID!A253="","",Suiza_DE_CN_ID!D253)</f>
        <v/>
      </c>
      <c r="E903" s="1" t="str">
        <f aca="false">IF(Suiza_DE_CN_ID!A253="","",Suiza_DE_CN_ID!E253)</f>
        <v/>
      </c>
      <c r="F903" s="1" t="str">
        <f aca="false">IF(Suiza_DE_CN_ID!A253="","",Suiza_DE_CN_ID!G253)</f>
        <v/>
      </c>
      <c r="I903" s="1" t="str">
        <f aca="false">IF(Suiza_DE_CN_ID!A253="","",Suiza_DE_CN_ID!H253)</f>
        <v/>
      </c>
      <c r="J903" s="1" t="str">
        <f aca="false">IF(Suiza_DE_CN_ID!A253="","",Suiza_DE_CN_ID!I253)</f>
        <v/>
      </c>
      <c r="K903" s="1" t="str">
        <f aca="false">IF(Suiza_DE_CN_ID!A253="","",UPPER(Suiza_DE_CN_ID!J253))</f>
        <v/>
      </c>
      <c r="L903" s="1" t="str">
        <f aca="false">IF(Suiza_DE_CN_ID!A253="","",IFERROR(INDEX(Gamma_Catalogo!$D$3:$D$1451,MATCH(Suiza_DE_CN_ID!D253,Gamma_Catalogo!$A$3:$A$1451,0)),"Revisar Ip Code"))</f>
        <v/>
      </c>
      <c r="M903" s="1" t="str">
        <f aca="false">IF(Suiza_DE_CN_ID!A253="","",IFERROR(INDEX(Gamma_Catalogo!$C$3:$C$1451,MATCH(Suiza_DE_CN_ID!D253,Gamma_Catalogo!$A$3:$A$1451,0)),"Revisar Ip Code"))</f>
        <v/>
      </c>
      <c r="N903" s="1" t="str">
        <f aca="false">IF(Suiza_DE_CN_ID!A253="","",IFERROR(INDEX(Gamma_Catalogo!$E$3:$E$1451,MATCH(Suiza_DE_CN_ID!D253,Gamma_Catalogo!$A$3:$A$1451,0)),"Revisar Ip Code"))</f>
        <v/>
      </c>
      <c r="O903" s="1" t="str">
        <f aca="false">IF(Suiza_DE_CN_ID!A253="","","Suiza")</f>
        <v/>
      </c>
    </row>
    <row r="904" customFormat="false" ht="15" hidden="false" customHeight="true" outlineLevel="0" collapsed="false">
      <c r="A904" s="1" t="str">
        <f aca="false">IF(Suiza_DE_CN_ID!A254="","",IFERROR(INDEX(Mercados!$C$2:$C$32,MATCH(Suiza_DE_CN_ID!B254,Mercados!$A$2:$A$32,0)),"Revisar Tscode"))</f>
        <v/>
      </c>
      <c r="B904" s="1" t="str">
        <f aca="false">IF(Suiza_DE_CN_ID!A254="","",Suiza_DE_CN_ID!A254)</f>
        <v/>
      </c>
      <c r="C904" s="1" t="str">
        <f aca="false">IF(Suiza_DE_CN_ID!A254="","",Suiza_DE_CN_ID!C254)</f>
        <v/>
      </c>
      <c r="D904" s="1" t="str">
        <f aca="false">IF(Suiza_DE_CN_ID!A254="","",Suiza_DE_CN_ID!D254)</f>
        <v/>
      </c>
      <c r="E904" s="1" t="str">
        <f aca="false">IF(Suiza_DE_CN_ID!A254="","",Suiza_DE_CN_ID!E254)</f>
        <v/>
      </c>
      <c r="F904" s="1" t="str">
        <f aca="false">IF(Suiza_DE_CN_ID!A254="","",Suiza_DE_CN_ID!G254)</f>
        <v/>
      </c>
      <c r="I904" s="1" t="str">
        <f aca="false">IF(Suiza_DE_CN_ID!A254="","",Suiza_DE_CN_ID!H254)</f>
        <v/>
      </c>
      <c r="J904" s="1" t="str">
        <f aca="false">IF(Suiza_DE_CN_ID!A254="","",Suiza_DE_CN_ID!I254)</f>
        <v/>
      </c>
      <c r="K904" s="1" t="str">
        <f aca="false">IF(Suiza_DE_CN_ID!A254="","",UPPER(Suiza_DE_CN_ID!J254))</f>
        <v/>
      </c>
      <c r="L904" s="1" t="str">
        <f aca="false">IF(Suiza_DE_CN_ID!A254="","",IFERROR(INDEX(Gamma_Catalogo!$D$3:$D$1451,MATCH(Suiza_DE_CN_ID!D254,Gamma_Catalogo!$A$3:$A$1451,0)),"Revisar Ip Code"))</f>
        <v/>
      </c>
      <c r="M904" s="1" t="str">
        <f aca="false">IF(Suiza_DE_CN_ID!A254="","",IFERROR(INDEX(Gamma_Catalogo!$C$3:$C$1451,MATCH(Suiza_DE_CN_ID!D254,Gamma_Catalogo!$A$3:$A$1451,0)),"Revisar Ip Code"))</f>
        <v/>
      </c>
      <c r="N904" s="1" t="str">
        <f aca="false">IF(Suiza_DE_CN_ID!A254="","",IFERROR(INDEX(Gamma_Catalogo!$E$3:$E$1451,MATCH(Suiza_DE_CN_ID!D254,Gamma_Catalogo!$A$3:$A$1451,0)),"Revisar Ip Code"))</f>
        <v/>
      </c>
      <c r="O904" s="1" t="str">
        <f aca="false">IF(Suiza_DE_CN_ID!A254="","","Suiza")</f>
        <v/>
      </c>
    </row>
    <row r="905" customFormat="false" ht="15" hidden="false" customHeight="true" outlineLevel="0" collapsed="false">
      <c r="A905" s="1" t="str">
        <f aca="false">IF(Suiza_DE_CN_ID!A255="","",IFERROR(INDEX(Mercados!$C$2:$C$32,MATCH(Suiza_DE_CN_ID!B255,Mercados!$A$2:$A$32,0)),"Revisar Tscode"))</f>
        <v/>
      </c>
      <c r="B905" s="1" t="str">
        <f aca="false">IF(Suiza_DE_CN_ID!A255="","",Suiza_DE_CN_ID!A255)</f>
        <v/>
      </c>
      <c r="C905" s="1" t="str">
        <f aca="false">IF(Suiza_DE_CN_ID!A255="","",Suiza_DE_CN_ID!C255)</f>
        <v/>
      </c>
      <c r="D905" s="1" t="str">
        <f aca="false">IF(Suiza_DE_CN_ID!A255="","",Suiza_DE_CN_ID!D255)</f>
        <v/>
      </c>
      <c r="E905" s="1" t="str">
        <f aca="false">IF(Suiza_DE_CN_ID!A255="","",Suiza_DE_CN_ID!E255)</f>
        <v/>
      </c>
      <c r="F905" s="1" t="str">
        <f aca="false">IF(Suiza_DE_CN_ID!A255="","",Suiza_DE_CN_ID!G255)</f>
        <v/>
      </c>
      <c r="I905" s="1" t="str">
        <f aca="false">IF(Suiza_DE_CN_ID!A255="","",Suiza_DE_CN_ID!H255)</f>
        <v/>
      </c>
      <c r="J905" s="1" t="str">
        <f aca="false">IF(Suiza_DE_CN_ID!A255="","",Suiza_DE_CN_ID!I255)</f>
        <v/>
      </c>
      <c r="K905" s="1" t="str">
        <f aca="false">IF(Suiza_DE_CN_ID!A255="","",UPPER(Suiza_DE_CN_ID!J255))</f>
        <v/>
      </c>
      <c r="L905" s="1" t="str">
        <f aca="false">IF(Suiza_DE_CN_ID!A255="","",IFERROR(INDEX(Gamma_Catalogo!$D$3:$D$1451,MATCH(Suiza_DE_CN_ID!D255,Gamma_Catalogo!$A$3:$A$1451,0)),"Revisar Ip Code"))</f>
        <v/>
      </c>
      <c r="M905" s="1" t="str">
        <f aca="false">IF(Suiza_DE_CN_ID!A255="","",IFERROR(INDEX(Gamma_Catalogo!$C$3:$C$1451,MATCH(Suiza_DE_CN_ID!D255,Gamma_Catalogo!$A$3:$A$1451,0)),"Revisar Ip Code"))</f>
        <v/>
      </c>
      <c r="N905" s="1" t="str">
        <f aca="false">IF(Suiza_DE_CN_ID!A255="","",IFERROR(INDEX(Gamma_Catalogo!$E$3:$E$1451,MATCH(Suiza_DE_CN_ID!D255,Gamma_Catalogo!$A$3:$A$1451,0)),"Revisar Ip Code"))</f>
        <v/>
      </c>
      <c r="O905" s="1" t="str">
        <f aca="false">IF(Suiza_DE_CN_ID!A255="","","Suiza")</f>
        <v/>
      </c>
    </row>
    <row r="906" customFormat="false" ht="15" hidden="false" customHeight="true" outlineLevel="0" collapsed="false">
      <c r="A906" s="1" t="str">
        <f aca="false">IF(Suiza_DE_CN_ID!A256="","",IFERROR(INDEX(Mercados!$C$2:$C$32,MATCH(Suiza_DE_CN_ID!B256,Mercados!$A$2:$A$32,0)),"Revisar Tscode"))</f>
        <v/>
      </c>
      <c r="B906" s="1" t="str">
        <f aca="false">IF(Suiza_DE_CN_ID!A256="","",Suiza_DE_CN_ID!A256)</f>
        <v/>
      </c>
      <c r="C906" s="1" t="str">
        <f aca="false">IF(Suiza_DE_CN_ID!A256="","",Suiza_DE_CN_ID!C256)</f>
        <v/>
      </c>
      <c r="D906" s="1" t="str">
        <f aca="false">IF(Suiza_DE_CN_ID!A256="","",Suiza_DE_CN_ID!D256)</f>
        <v/>
      </c>
      <c r="E906" s="1" t="str">
        <f aca="false">IF(Suiza_DE_CN_ID!A256="","",Suiza_DE_CN_ID!E256)</f>
        <v/>
      </c>
      <c r="F906" s="1" t="str">
        <f aca="false">IF(Suiza_DE_CN_ID!A256="","",Suiza_DE_CN_ID!G256)</f>
        <v/>
      </c>
      <c r="I906" s="1" t="str">
        <f aca="false">IF(Suiza_DE_CN_ID!A256="","",Suiza_DE_CN_ID!H256)</f>
        <v/>
      </c>
      <c r="J906" s="1" t="str">
        <f aca="false">IF(Suiza_DE_CN_ID!A256="","",Suiza_DE_CN_ID!I256)</f>
        <v/>
      </c>
      <c r="K906" s="1" t="str">
        <f aca="false">IF(Suiza_DE_CN_ID!A256="","",UPPER(Suiza_DE_CN_ID!J256))</f>
        <v/>
      </c>
      <c r="L906" s="1" t="str">
        <f aca="false">IF(Suiza_DE_CN_ID!A256="","",IFERROR(INDEX(Gamma_Catalogo!$D$3:$D$1451,MATCH(Suiza_DE_CN_ID!D256,Gamma_Catalogo!$A$3:$A$1451,0)),"Revisar Ip Code"))</f>
        <v/>
      </c>
      <c r="M906" s="1" t="str">
        <f aca="false">IF(Suiza_DE_CN_ID!A256="","",IFERROR(INDEX(Gamma_Catalogo!$C$3:$C$1451,MATCH(Suiza_DE_CN_ID!D256,Gamma_Catalogo!$A$3:$A$1451,0)),"Revisar Ip Code"))</f>
        <v/>
      </c>
      <c r="N906" s="1" t="str">
        <f aca="false">IF(Suiza_DE_CN_ID!A256="","",IFERROR(INDEX(Gamma_Catalogo!$E$3:$E$1451,MATCH(Suiza_DE_CN_ID!D256,Gamma_Catalogo!$A$3:$A$1451,0)),"Revisar Ip Code"))</f>
        <v/>
      </c>
      <c r="O906" s="1" t="str">
        <f aca="false">IF(Suiza_DE_CN_ID!A256="","","Suiza")</f>
        <v/>
      </c>
    </row>
    <row r="907" customFormat="false" ht="15" hidden="false" customHeight="true" outlineLevel="0" collapsed="false">
      <c r="A907" s="1" t="str">
        <f aca="false">IF(Suiza_DE_CN_ID!A257="","",IFERROR(INDEX(Mercados!$C$2:$C$32,MATCH(Suiza_DE_CN_ID!B257,Mercados!$A$2:$A$32,0)),"Revisar Tscode"))</f>
        <v/>
      </c>
      <c r="B907" s="1" t="str">
        <f aca="false">IF(Suiza_DE_CN_ID!A257="","",Suiza_DE_CN_ID!A257)</f>
        <v/>
      </c>
      <c r="C907" s="1" t="str">
        <f aca="false">IF(Suiza_DE_CN_ID!A257="","",Suiza_DE_CN_ID!C257)</f>
        <v/>
      </c>
      <c r="D907" s="1" t="str">
        <f aca="false">IF(Suiza_DE_CN_ID!A257="","",Suiza_DE_CN_ID!D257)</f>
        <v/>
      </c>
      <c r="E907" s="1" t="str">
        <f aca="false">IF(Suiza_DE_CN_ID!A257="","",Suiza_DE_CN_ID!E257)</f>
        <v/>
      </c>
      <c r="F907" s="1" t="str">
        <f aca="false">IF(Suiza_DE_CN_ID!A257="","",Suiza_DE_CN_ID!G257)</f>
        <v/>
      </c>
      <c r="I907" s="1" t="str">
        <f aca="false">IF(Suiza_DE_CN_ID!A257="","",Suiza_DE_CN_ID!H257)</f>
        <v/>
      </c>
      <c r="J907" s="1" t="str">
        <f aca="false">IF(Suiza_DE_CN_ID!A257="","",Suiza_DE_CN_ID!I257)</f>
        <v/>
      </c>
      <c r="K907" s="1" t="str">
        <f aca="false">IF(Suiza_DE_CN_ID!A257="","",UPPER(Suiza_DE_CN_ID!J257))</f>
        <v/>
      </c>
      <c r="L907" s="1" t="str">
        <f aca="false">IF(Suiza_DE_CN_ID!A257="","",IFERROR(INDEX(Gamma_Catalogo!$D$3:$D$1451,MATCH(Suiza_DE_CN_ID!D257,Gamma_Catalogo!$A$3:$A$1451,0)),"Revisar Ip Code"))</f>
        <v/>
      </c>
      <c r="M907" s="1" t="str">
        <f aca="false">IF(Suiza_DE_CN_ID!A257="","",IFERROR(INDEX(Gamma_Catalogo!$C$3:$C$1451,MATCH(Suiza_DE_CN_ID!D257,Gamma_Catalogo!$A$3:$A$1451,0)),"Revisar Ip Code"))</f>
        <v/>
      </c>
      <c r="N907" s="1" t="str">
        <f aca="false">IF(Suiza_DE_CN_ID!A257="","",IFERROR(INDEX(Gamma_Catalogo!$E$3:$E$1451,MATCH(Suiza_DE_CN_ID!D257,Gamma_Catalogo!$A$3:$A$1451,0)),"Revisar Ip Code"))</f>
        <v/>
      </c>
      <c r="O907" s="1" t="str">
        <f aca="false">IF(Suiza_DE_CN_ID!A257="","","Suiza")</f>
        <v/>
      </c>
    </row>
    <row r="908" customFormat="false" ht="15" hidden="false" customHeight="true" outlineLevel="0" collapsed="false">
      <c r="A908" s="1" t="str">
        <f aca="false">IF(Suiza_DE_CN_ID!A258="","",IFERROR(INDEX(Mercados!$C$2:$C$32,MATCH(Suiza_DE_CN_ID!B258,Mercados!$A$2:$A$32,0)),"Revisar Tscode"))</f>
        <v/>
      </c>
      <c r="B908" s="1" t="str">
        <f aca="false">IF(Suiza_DE_CN_ID!A258="","",Suiza_DE_CN_ID!A258)</f>
        <v/>
      </c>
      <c r="C908" s="1" t="str">
        <f aca="false">IF(Suiza_DE_CN_ID!A258="","",Suiza_DE_CN_ID!C258)</f>
        <v/>
      </c>
      <c r="D908" s="1" t="str">
        <f aca="false">IF(Suiza_DE_CN_ID!A258="","",Suiza_DE_CN_ID!D258)</f>
        <v/>
      </c>
      <c r="E908" s="1" t="str">
        <f aca="false">IF(Suiza_DE_CN_ID!A258="","",Suiza_DE_CN_ID!E258)</f>
        <v/>
      </c>
      <c r="F908" s="1" t="str">
        <f aca="false">IF(Suiza_DE_CN_ID!A258="","",Suiza_DE_CN_ID!G258)</f>
        <v/>
      </c>
      <c r="I908" s="1" t="str">
        <f aca="false">IF(Suiza_DE_CN_ID!A258="","",Suiza_DE_CN_ID!H258)</f>
        <v/>
      </c>
      <c r="J908" s="1" t="str">
        <f aca="false">IF(Suiza_DE_CN_ID!A258="","",Suiza_DE_CN_ID!I258)</f>
        <v/>
      </c>
      <c r="K908" s="1" t="str">
        <f aca="false">IF(Suiza_DE_CN_ID!A258="","",UPPER(Suiza_DE_CN_ID!J258))</f>
        <v/>
      </c>
      <c r="L908" s="1" t="str">
        <f aca="false">IF(Suiza_DE_CN_ID!A258="","",IFERROR(INDEX(Gamma_Catalogo!$D$3:$D$1451,MATCH(Suiza_DE_CN_ID!D258,Gamma_Catalogo!$A$3:$A$1451,0)),"Revisar Ip Code"))</f>
        <v/>
      </c>
      <c r="M908" s="1" t="str">
        <f aca="false">IF(Suiza_DE_CN_ID!A258="","",IFERROR(INDEX(Gamma_Catalogo!$C$3:$C$1451,MATCH(Suiza_DE_CN_ID!D258,Gamma_Catalogo!$A$3:$A$1451,0)),"Revisar Ip Code"))</f>
        <v/>
      </c>
      <c r="N908" s="1" t="str">
        <f aca="false">IF(Suiza_DE_CN_ID!A258="","",IFERROR(INDEX(Gamma_Catalogo!$E$3:$E$1451,MATCH(Suiza_DE_CN_ID!D258,Gamma_Catalogo!$A$3:$A$1451,0)),"Revisar Ip Code"))</f>
        <v/>
      </c>
      <c r="O908" s="1" t="str">
        <f aca="false">IF(Suiza_DE_CN_ID!A258="","","Suiza")</f>
        <v/>
      </c>
    </row>
    <row r="909" customFormat="false" ht="15" hidden="false" customHeight="true" outlineLevel="0" collapsed="false">
      <c r="A909" s="1" t="str">
        <f aca="false">IF(Suiza_DE_CN_ID!A259="","",IFERROR(INDEX(Mercados!$C$2:$C$32,MATCH(Suiza_DE_CN_ID!B259,Mercados!$A$2:$A$32,0)),"Revisar Tscode"))</f>
        <v/>
      </c>
      <c r="B909" s="1" t="str">
        <f aca="false">IF(Suiza_DE_CN_ID!A259="","",Suiza_DE_CN_ID!A259)</f>
        <v/>
      </c>
      <c r="C909" s="1" t="str">
        <f aca="false">IF(Suiza_DE_CN_ID!A259="","",Suiza_DE_CN_ID!C259)</f>
        <v/>
      </c>
      <c r="D909" s="1" t="str">
        <f aca="false">IF(Suiza_DE_CN_ID!A259="","",Suiza_DE_CN_ID!D259)</f>
        <v/>
      </c>
      <c r="E909" s="1" t="str">
        <f aca="false">IF(Suiza_DE_CN_ID!A259="","",Suiza_DE_CN_ID!E259)</f>
        <v/>
      </c>
      <c r="F909" s="1" t="str">
        <f aca="false">IF(Suiza_DE_CN_ID!A259="","",Suiza_DE_CN_ID!G259)</f>
        <v/>
      </c>
      <c r="I909" s="1" t="str">
        <f aca="false">IF(Suiza_DE_CN_ID!A259="","",Suiza_DE_CN_ID!H259)</f>
        <v/>
      </c>
      <c r="J909" s="1" t="str">
        <f aca="false">IF(Suiza_DE_CN_ID!A259="","",Suiza_DE_CN_ID!I259)</f>
        <v/>
      </c>
      <c r="K909" s="1" t="str">
        <f aca="false">IF(Suiza_DE_CN_ID!A259="","",UPPER(Suiza_DE_CN_ID!J259))</f>
        <v/>
      </c>
      <c r="L909" s="1" t="str">
        <f aca="false">IF(Suiza_DE_CN_ID!A259="","",IFERROR(INDEX(Gamma_Catalogo!$D$3:$D$1451,MATCH(Suiza_DE_CN_ID!D259,Gamma_Catalogo!$A$3:$A$1451,0)),"Revisar Ip Code"))</f>
        <v/>
      </c>
      <c r="M909" s="1" t="str">
        <f aca="false">IF(Suiza_DE_CN_ID!A259="","",IFERROR(INDEX(Gamma_Catalogo!$C$3:$C$1451,MATCH(Suiza_DE_CN_ID!D259,Gamma_Catalogo!$A$3:$A$1451,0)),"Revisar Ip Code"))</f>
        <v/>
      </c>
      <c r="N909" s="1" t="str">
        <f aca="false">IF(Suiza_DE_CN_ID!A259="","",IFERROR(INDEX(Gamma_Catalogo!$E$3:$E$1451,MATCH(Suiza_DE_CN_ID!D259,Gamma_Catalogo!$A$3:$A$1451,0)),"Revisar Ip Code"))</f>
        <v/>
      </c>
      <c r="O909" s="1" t="str">
        <f aca="false">IF(Suiza_DE_CN_ID!A259="","","Suiza")</f>
        <v/>
      </c>
    </row>
    <row r="910" customFormat="false" ht="15" hidden="false" customHeight="true" outlineLevel="0" collapsed="false">
      <c r="A910" s="1" t="str">
        <f aca="false">IF(Suiza_DE_CN_ID!A260="","",IFERROR(INDEX(Mercados!$C$2:$C$32,MATCH(Suiza_DE_CN_ID!B260,Mercados!$A$2:$A$32,0)),"Revisar Tscode"))</f>
        <v/>
      </c>
      <c r="B910" s="1" t="str">
        <f aca="false">IF(Suiza_DE_CN_ID!A260="","",Suiza_DE_CN_ID!A260)</f>
        <v/>
      </c>
      <c r="C910" s="1" t="str">
        <f aca="false">IF(Suiza_DE_CN_ID!A260="","",Suiza_DE_CN_ID!C260)</f>
        <v/>
      </c>
      <c r="D910" s="1" t="str">
        <f aca="false">IF(Suiza_DE_CN_ID!A260="","",Suiza_DE_CN_ID!D260)</f>
        <v/>
      </c>
      <c r="E910" s="1" t="str">
        <f aca="false">IF(Suiza_DE_CN_ID!A260="","",Suiza_DE_CN_ID!E260)</f>
        <v/>
      </c>
      <c r="F910" s="1" t="str">
        <f aca="false">IF(Suiza_DE_CN_ID!A260="","",Suiza_DE_CN_ID!G260)</f>
        <v/>
      </c>
      <c r="I910" s="1" t="str">
        <f aca="false">IF(Suiza_DE_CN_ID!A260="","",Suiza_DE_CN_ID!H260)</f>
        <v/>
      </c>
      <c r="J910" s="1" t="str">
        <f aca="false">IF(Suiza_DE_CN_ID!A260="","",Suiza_DE_CN_ID!I260)</f>
        <v/>
      </c>
      <c r="K910" s="1" t="str">
        <f aca="false">IF(Suiza_DE_CN_ID!A260="","",UPPER(Suiza_DE_CN_ID!J260))</f>
        <v/>
      </c>
      <c r="L910" s="1" t="str">
        <f aca="false">IF(Suiza_DE_CN_ID!A260="","",IFERROR(INDEX(Gamma_Catalogo!$D$3:$D$1451,MATCH(Suiza_DE_CN_ID!D260,Gamma_Catalogo!$A$3:$A$1451,0)),"Revisar Ip Code"))</f>
        <v/>
      </c>
      <c r="M910" s="1" t="str">
        <f aca="false">IF(Suiza_DE_CN_ID!A260="","",IFERROR(INDEX(Gamma_Catalogo!$C$3:$C$1451,MATCH(Suiza_DE_CN_ID!D260,Gamma_Catalogo!$A$3:$A$1451,0)),"Revisar Ip Code"))</f>
        <v/>
      </c>
      <c r="N910" s="1" t="str">
        <f aca="false">IF(Suiza_DE_CN_ID!A260="","",IFERROR(INDEX(Gamma_Catalogo!$E$3:$E$1451,MATCH(Suiza_DE_CN_ID!D260,Gamma_Catalogo!$A$3:$A$1451,0)),"Revisar Ip Code"))</f>
        <v/>
      </c>
      <c r="O910" s="1" t="str">
        <f aca="false">IF(Suiza_DE_CN_ID!A260="","","Suiza")</f>
        <v/>
      </c>
    </row>
    <row r="911" customFormat="false" ht="15" hidden="false" customHeight="true" outlineLevel="0" collapsed="false">
      <c r="A911" s="1" t="str">
        <f aca="false">IF(Suiza_DE_CN_ID!A261="","",IFERROR(INDEX(Mercados!$C$2:$C$32,MATCH(Suiza_DE_CN_ID!B261,Mercados!$A$2:$A$32,0)),"Revisar Tscode"))</f>
        <v/>
      </c>
      <c r="B911" s="1" t="str">
        <f aca="false">IF(Suiza_DE_CN_ID!A261="","",Suiza_DE_CN_ID!A261)</f>
        <v/>
      </c>
      <c r="C911" s="1" t="str">
        <f aca="false">IF(Suiza_DE_CN_ID!A261="","",Suiza_DE_CN_ID!C261)</f>
        <v/>
      </c>
      <c r="D911" s="1" t="str">
        <f aca="false">IF(Suiza_DE_CN_ID!A261="","",Suiza_DE_CN_ID!D261)</f>
        <v/>
      </c>
      <c r="E911" s="1" t="str">
        <f aca="false">IF(Suiza_DE_CN_ID!A261="","",Suiza_DE_CN_ID!E261)</f>
        <v/>
      </c>
      <c r="F911" s="1" t="str">
        <f aca="false">IF(Suiza_DE_CN_ID!A261="","",Suiza_DE_CN_ID!G261)</f>
        <v/>
      </c>
      <c r="I911" s="1" t="str">
        <f aca="false">IF(Suiza_DE_CN_ID!A261="","",Suiza_DE_CN_ID!H261)</f>
        <v/>
      </c>
      <c r="J911" s="1" t="str">
        <f aca="false">IF(Suiza_DE_CN_ID!A261="","",Suiza_DE_CN_ID!I261)</f>
        <v/>
      </c>
      <c r="K911" s="1" t="str">
        <f aca="false">IF(Suiza_DE_CN_ID!A261="","",UPPER(Suiza_DE_CN_ID!J261))</f>
        <v/>
      </c>
      <c r="L911" s="1" t="str">
        <f aca="false">IF(Suiza_DE_CN_ID!A261="","",IFERROR(INDEX(Gamma_Catalogo!$D$3:$D$1451,MATCH(Suiza_DE_CN_ID!D261,Gamma_Catalogo!$A$3:$A$1451,0)),"Revisar Ip Code"))</f>
        <v/>
      </c>
      <c r="M911" s="1" t="str">
        <f aca="false">IF(Suiza_DE_CN_ID!A261="","",IFERROR(INDEX(Gamma_Catalogo!$C$3:$C$1451,MATCH(Suiza_DE_CN_ID!D261,Gamma_Catalogo!$A$3:$A$1451,0)),"Revisar Ip Code"))</f>
        <v/>
      </c>
      <c r="N911" s="1" t="str">
        <f aca="false">IF(Suiza_DE_CN_ID!A261="","",IFERROR(INDEX(Gamma_Catalogo!$E$3:$E$1451,MATCH(Suiza_DE_CN_ID!D261,Gamma_Catalogo!$A$3:$A$1451,0)),"Revisar Ip Code"))</f>
        <v/>
      </c>
      <c r="O911" s="1" t="str">
        <f aca="false">IF(Suiza_DE_CN_ID!A261="","","Suiza")</f>
        <v/>
      </c>
    </row>
    <row r="912" customFormat="false" ht="15" hidden="false" customHeight="true" outlineLevel="0" collapsed="false">
      <c r="A912" s="1" t="str">
        <f aca="false">IF(Suiza_DE_CN_ID!A262="","",IFERROR(INDEX(Mercados!$C$2:$C$32,MATCH(Suiza_DE_CN_ID!B262,Mercados!$A$2:$A$32,0)),"Revisar Tscode"))</f>
        <v/>
      </c>
      <c r="B912" s="1" t="str">
        <f aca="false">IF(Suiza_DE_CN_ID!A262="","",Suiza_DE_CN_ID!A262)</f>
        <v/>
      </c>
      <c r="C912" s="1" t="str">
        <f aca="false">IF(Suiza_DE_CN_ID!A262="","",Suiza_DE_CN_ID!C262)</f>
        <v/>
      </c>
      <c r="D912" s="1" t="str">
        <f aca="false">IF(Suiza_DE_CN_ID!A262="","",Suiza_DE_CN_ID!D262)</f>
        <v/>
      </c>
      <c r="E912" s="1" t="str">
        <f aca="false">IF(Suiza_DE_CN_ID!A262="","",Suiza_DE_CN_ID!E262)</f>
        <v/>
      </c>
      <c r="F912" s="1" t="str">
        <f aca="false">IF(Suiza_DE_CN_ID!A262="","",Suiza_DE_CN_ID!G262)</f>
        <v/>
      </c>
      <c r="I912" s="1" t="str">
        <f aca="false">IF(Suiza_DE_CN_ID!A262="","",Suiza_DE_CN_ID!H262)</f>
        <v/>
      </c>
      <c r="J912" s="1" t="str">
        <f aca="false">IF(Suiza_DE_CN_ID!A262="","",Suiza_DE_CN_ID!I262)</f>
        <v/>
      </c>
      <c r="K912" s="1" t="str">
        <f aca="false">IF(Suiza_DE_CN_ID!A262="","",UPPER(Suiza_DE_CN_ID!J262))</f>
        <v/>
      </c>
      <c r="L912" s="1" t="str">
        <f aca="false">IF(Suiza_DE_CN_ID!A262="","",IFERROR(INDEX(Gamma_Catalogo!$D$3:$D$1451,MATCH(Suiza_DE_CN_ID!D262,Gamma_Catalogo!$A$3:$A$1451,0)),"Revisar Ip Code"))</f>
        <v/>
      </c>
      <c r="M912" s="1" t="str">
        <f aca="false">IF(Suiza_DE_CN_ID!A262="","",IFERROR(INDEX(Gamma_Catalogo!$C$3:$C$1451,MATCH(Suiza_DE_CN_ID!D262,Gamma_Catalogo!$A$3:$A$1451,0)),"Revisar Ip Code"))</f>
        <v/>
      </c>
      <c r="N912" s="1" t="str">
        <f aca="false">IF(Suiza_DE_CN_ID!A262="","",IFERROR(INDEX(Gamma_Catalogo!$E$3:$E$1451,MATCH(Suiza_DE_CN_ID!D262,Gamma_Catalogo!$A$3:$A$1451,0)),"Revisar Ip Code"))</f>
        <v/>
      </c>
      <c r="O912" s="1" t="str">
        <f aca="false">IF(Suiza_DE_CN_ID!A262="","","Suiza")</f>
        <v/>
      </c>
    </row>
    <row r="913" customFormat="false" ht="15" hidden="false" customHeight="true" outlineLevel="0" collapsed="false">
      <c r="A913" s="1" t="str">
        <f aca="false">IF(Suiza_DE_CN_ID!A263="","",IFERROR(INDEX(Mercados!$C$2:$C$32,MATCH(Suiza_DE_CN_ID!B263,Mercados!$A$2:$A$32,0)),"Revisar Tscode"))</f>
        <v/>
      </c>
      <c r="B913" s="1" t="str">
        <f aca="false">IF(Suiza_DE_CN_ID!A263="","",Suiza_DE_CN_ID!A263)</f>
        <v/>
      </c>
      <c r="C913" s="1" t="str">
        <f aca="false">IF(Suiza_DE_CN_ID!A263="","",Suiza_DE_CN_ID!C263)</f>
        <v/>
      </c>
      <c r="D913" s="1" t="str">
        <f aca="false">IF(Suiza_DE_CN_ID!A263="","",Suiza_DE_CN_ID!D263)</f>
        <v/>
      </c>
      <c r="E913" s="1" t="str">
        <f aca="false">IF(Suiza_DE_CN_ID!A263="","",Suiza_DE_CN_ID!E263)</f>
        <v/>
      </c>
      <c r="F913" s="1" t="str">
        <f aca="false">IF(Suiza_DE_CN_ID!A263="","",Suiza_DE_CN_ID!G263)</f>
        <v/>
      </c>
      <c r="I913" s="1" t="str">
        <f aca="false">IF(Suiza_DE_CN_ID!A263="","",Suiza_DE_CN_ID!H263)</f>
        <v/>
      </c>
      <c r="J913" s="1" t="str">
        <f aca="false">IF(Suiza_DE_CN_ID!A263="","",Suiza_DE_CN_ID!I263)</f>
        <v/>
      </c>
      <c r="K913" s="1" t="str">
        <f aca="false">IF(Suiza_DE_CN_ID!A263="","",UPPER(Suiza_DE_CN_ID!J263))</f>
        <v/>
      </c>
      <c r="L913" s="1" t="str">
        <f aca="false">IF(Suiza_DE_CN_ID!A263="","",IFERROR(INDEX(Gamma_Catalogo!$D$3:$D$1451,MATCH(Suiza_DE_CN_ID!D263,Gamma_Catalogo!$A$3:$A$1451,0)),"Revisar Ip Code"))</f>
        <v/>
      </c>
      <c r="M913" s="1" t="str">
        <f aca="false">IF(Suiza_DE_CN_ID!A263="","",IFERROR(INDEX(Gamma_Catalogo!$C$3:$C$1451,MATCH(Suiza_DE_CN_ID!D263,Gamma_Catalogo!$A$3:$A$1451,0)),"Revisar Ip Code"))</f>
        <v/>
      </c>
      <c r="N913" s="1" t="str">
        <f aca="false">IF(Suiza_DE_CN_ID!A263="","",IFERROR(INDEX(Gamma_Catalogo!$E$3:$E$1451,MATCH(Suiza_DE_CN_ID!D263,Gamma_Catalogo!$A$3:$A$1451,0)),"Revisar Ip Code"))</f>
        <v/>
      </c>
      <c r="O913" s="1" t="str">
        <f aca="false">IF(Suiza_DE_CN_ID!A263="","","Suiza")</f>
        <v/>
      </c>
    </row>
    <row r="914" customFormat="false" ht="15" hidden="false" customHeight="true" outlineLevel="0" collapsed="false">
      <c r="A914" s="1" t="str">
        <f aca="false">IF(Suiza_DE_CN_ID!A264="","",IFERROR(INDEX(Mercados!$C$2:$C$32,MATCH(Suiza_DE_CN_ID!B264,Mercados!$A$2:$A$32,0)),"Revisar Tscode"))</f>
        <v/>
      </c>
      <c r="B914" s="1" t="str">
        <f aca="false">IF(Suiza_DE_CN_ID!A264="","",Suiza_DE_CN_ID!A264)</f>
        <v/>
      </c>
      <c r="C914" s="1" t="str">
        <f aca="false">IF(Suiza_DE_CN_ID!A264="","",Suiza_DE_CN_ID!C264)</f>
        <v/>
      </c>
      <c r="D914" s="1" t="str">
        <f aca="false">IF(Suiza_DE_CN_ID!A264="","",Suiza_DE_CN_ID!D264)</f>
        <v/>
      </c>
      <c r="E914" s="1" t="str">
        <f aca="false">IF(Suiza_DE_CN_ID!A264="","",Suiza_DE_CN_ID!E264)</f>
        <v/>
      </c>
      <c r="F914" s="1" t="str">
        <f aca="false">IF(Suiza_DE_CN_ID!A264="","",Suiza_DE_CN_ID!G264)</f>
        <v/>
      </c>
      <c r="I914" s="1" t="str">
        <f aca="false">IF(Suiza_DE_CN_ID!A264="","",Suiza_DE_CN_ID!H264)</f>
        <v/>
      </c>
      <c r="J914" s="1" t="str">
        <f aca="false">IF(Suiza_DE_CN_ID!A264="","",Suiza_DE_CN_ID!I264)</f>
        <v/>
      </c>
      <c r="K914" s="1" t="str">
        <f aca="false">IF(Suiza_DE_CN_ID!A264="","",UPPER(Suiza_DE_CN_ID!J264))</f>
        <v/>
      </c>
      <c r="L914" s="1" t="str">
        <f aca="false">IF(Suiza_DE_CN_ID!A264="","",IFERROR(INDEX(Gamma_Catalogo!$D$3:$D$1451,MATCH(Suiza_DE_CN_ID!D264,Gamma_Catalogo!$A$3:$A$1451,0)),"Revisar Ip Code"))</f>
        <v/>
      </c>
      <c r="M914" s="1" t="str">
        <f aca="false">IF(Suiza_DE_CN_ID!A264="","",IFERROR(INDEX(Gamma_Catalogo!$C$3:$C$1451,MATCH(Suiza_DE_CN_ID!D264,Gamma_Catalogo!$A$3:$A$1451,0)),"Revisar Ip Code"))</f>
        <v/>
      </c>
      <c r="N914" s="1" t="str">
        <f aca="false">IF(Suiza_DE_CN_ID!A264="","",IFERROR(INDEX(Gamma_Catalogo!$E$3:$E$1451,MATCH(Suiza_DE_CN_ID!D264,Gamma_Catalogo!$A$3:$A$1451,0)),"Revisar Ip Code"))</f>
        <v/>
      </c>
      <c r="O914" s="1" t="str">
        <f aca="false">IF(Suiza_DE_CN_ID!A264="","","Suiza")</f>
        <v/>
      </c>
    </row>
    <row r="915" customFormat="false" ht="15" hidden="false" customHeight="true" outlineLevel="0" collapsed="false">
      <c r="A915" s="1" t="str">
        <f aca="false">IF(Suiza_DE_CN_ID!A265="","",IFERROR(INDEX(Mercados!$C$2:$C$32,MATCH(Suiza_DE_CN_ID!B265,Mercados!$A$2:$A$32,0)),"Revisar Tscode"))</f>
        <v/>
      </c>
      <c r="B915" s="1" t="str">
        <f aca="false">IF(Suiza_DE_CN_ID!A265="","",Suiza_DE_CN_ID!A265)</f>
        <v/>
      </c>
      <c r="C915" s="1" t="str">
        <f aca="false">IF(Suiza_DE_CN_ID!A265="","",Suiza_DE_CN_ID!C265)</f>
        <v/>
      </c>
      <c r="D915" s="1" t="str">
        <f aca="false">IF(Suiza_DE_CN_ID!A265="","",Suiza_DE_CN_ID!D265)</f>
        <v/>
      </c>
      <c r="E915" s="1" t="str">
        <f aca="false">IF(Suiza_DE_CN_ID!A265="","",Suiza_DE_CN_ID!E265)</f>
        <v/>
      </c>
      <c r="F915" s="1" t="str">
        <f aca="false">IF(Suiza_DE_CN_ID!A265="","",Suiza_DE_CN_ID!G265)</f>
        <v/>
      </c>
      <c r="I915" s="1" t="str">
        <f aca="false">IF(Suiza_DE_CN_ID!A265="","",Suiza_DE_CN_ID!H265)</f>
        <v/>
      </c>
      <c r="J915" s="1" t="str">
        <f aca="false">IF(Suiza_DE_CN_ID!A265="","",Suiza_DE_CN_ID!I265)</f>
        <v/>
      </c>
      <c r="K915" s="1" t="str">
        <f aca="false">IF(Suiza_DE_CN_ID!A265="","",UPPER(Suiza_DE_CN_ID!J265))</f>
        <v/>
      </c>
      <c r="L915" s="1" t="str">
        <f aca="false">IF(Suiza_DE_CN_ID!A265="","",IFERROR(INDEX(Gamma_Catalogo!$D$3:$D$1451,MATCH(Suiza_DE_CN_ID!D265,Gamma_Catalogo!$A$3:$A$1451,0)),"Revisar Ip Code"))</f>
        <v/>
      </c>
      <c r="M915" s="1" t="str">
        <f aca="false">IF(Suiza_DE_CN_ID!A265="","",IFERROR(INDEX(Gamma_Catalogo!$C$3:$C$1451,MATCH(Suiza_DE_CN_ID!D265,Gamma_Catalogo!$A$3:$A$1451,0)),"Revisar Ip Code"))</f>
        <v/>
      </c>
      <c r="N915" s="1" t="str">
        <f aca="false">IF(Suiza_DE_CN_ID!A265="","",IFERROR(INDEX(Gamma_Catalogo!$E$3:$E$1451,MATCH(Suiza_DE_CN_ID!D265,Gamma_Catalogo!$A$3:$A$1451,0)),"Revisar Ip Code"))</f>
        <v/>
      </c>
      <c r="O915" s="1" t="str">
        <f aca="false">IF(Suiza_DE_CN_ID!A265="","","Suiza")</f>
        <v/>
      </c>
    </row>
    <row r="916" customFormat="false" ht="15" hidden="false" customHeight="true" outlineLevel="0" collapsed="false">
      <c r="A916" s="1" t="str">
        <f aca="false">IF(Suiza_DE_CN_ID!A266="","",IFERROR(INDEX(Mercados!$C$2:$C$32,MATCH(Suiza_DE_CN_ID!B266,Mercados!$A$2:$A$32,0)),"Revisar Tscode"))</f>
        <v/>
      </c>
      <c r="B916" s="1" t="str">
        <f aca="false">IF(Suiza_DE_CN_ID!A266="","",Suiza_DE_CN_ID!A266)</f>
        <v/>
      </c>
      <c r="C916" s="1" t="str">
        <f aca="false">IF(Suiza_DE_CN_ID!A266="","",Suiza_DE_CN_ID!C266)</f>
        <v/>
      </c>
      <c r="D916" s="1" t="str">
        <f aca="false">IF(Suiza_DE_CN_ID!A266="","",Suiza_DE_CN_ID!D266)</f>
        <v/>
      </c>
      <c r="E916" s="1" t="str">
        <f aca="false">IF(Suiza_DE_CN_ID!A266="","",Suiza_DE_CN_ID!E266)</f>
        <v/>
      </c>
      <c r="F916" s="1" t="str">
        <f aca="false">IF(Suiza_DE_CN_ID!A266="","",Suiza_DE_CN_ID!G266)</f>
        <v/>
      </c>
      <c r="I916" s="1" t="str">
        <f aca="false">IF(Suiza_DE_CN_ID!A266="","",Suiza_DE_CN_ID!H266)</f>
        <v/>
      </c>
      <c r="J916" s="1" t="str">
        <f aca="false">IF(Suiza_DE_CN_ID!A266="","",Suiza_DE_CN_ID!I266)</f>
        <v/>
      </c>
      <c r="K916" s="1" t="str">
        <f aca="false">IF(Suiza_DE_CN_ID!A266="","",UPPER(Suiza_DE_CN_ID!J266))</f>
        <v/>
      </c>
      <c r="L916" s="1" t="str">
        <f aca="false">IF(Suiza_DE_CN_ID!A266="","",IFERROR(INDEX(Gamma_Catalogo!$D$3:$D$1451,MATCH(Suiza_DE_CN_ID!D266,Gamma_Catalogo!$A$3:$A$1451,0)),"Revisar Ip Code"))</f>
        <v/>
      </c>
      <c r="M916" s="1" t="str">
        <f aca="false">IF(Suiza_DE_CN_ID!A266="","",IFERROR(INDEX(Gamma_Catalogo!$C$3:$C$1451,MATCH(Suiza_DE_CN_ID!D266,Gamma_Catalogo!$A$3:$A$1451,0)),"Revisar Ip Code"))</f>
        <v/>
      </c>
      <c r="N916" s="1" t="str">
        <f aca="false">IF(Suiza_DE_CN_ID!A266="","",IFERROR(INDEX(Gamma_Catalogo!$E$3:$E$1451,MATCH(Suiza_DE_CN_ID!D266,Gamma_Catalogo!$A$3:$A$1451,0)),"Revisar Ip Code"))</f>
        <v/>
      </c>
      <c r="O916" s="1" t="str">
        <f aca="false">IF(Suiza_DE_CN_ID!A266="","","Suiza")</f>
        <v/>
      </c>
    </row>
    <row r="917" customFormat="false" ht="15" hidden="false" customHeight="true" outlineLevel="0" collapsed="false">
      <c r="A917" s="1" t="str">
        <f aca="false">IF(Suiza_DE_CN_ID!A267="","",IFERROR(INDEX(Mercados!$C$2:$C$32,MATCH(Suiza_DE_CN_ID!B267,Mercados!$A$2:$A$32,0)),"Revisar Tscode"))</f>
        <v/>
      </c>
      <c r="B917" s="1" t="str">
        <f aca="false">IF(Suiza_DE_CN_ID!A267="","",Suiza_DE_CN_ID!A267)</f>
        <v/>
      </c>
      <c r="C917" s="1" t="str">
        <f aca="false">IF(Suiza_DE_CN_ID!A267="","",Suiza_DE_CN_ID!C267)</f>
        <v/>
      </c>
      <c r="D917" s="1" t="str">
        <f aca="false">IF(Suiza_DE_CN_ID!A267="","",Suiza_DE_CN_ID!D267)</f>
        <v/>
      </c>
      <c r="E917" s="1" t="str">
        <f aca="false">IF(Suiza_DE_CN_ID!A267="","",Suiza_DE_CN_ID!E267)</f>
        <v/>
      </c>
      <c r="F917" s="1" t="str">
        <f aca="false">IF(Suiza_DE_CN_ID!A267="","",Suiza_DE_CN_ID!G267)</f>
        <v/>
      </c>
      <c r="I917" s="1" t="str">
        <f aca="false">IF(Suiza_DE_CN_ID!A267="","",Suiza_DE_CN_ID!H267)</f>
        <v/>
      </c>
      <c r="J917" s="1" t="str">
        <f aca="false">IF(Suiza_DE_CN_ID!A267="","",Suiza_DE_CN_ID!I267)</f>
        <v/>
      </c>
      <c r="K917" s="1" t="str">
        <f aca="false">IF(Suiza_DE_CN_ID!A267="","",UPPER(Suiza_DE_CN_ID!J267))</f>
        <v/>
      </c>
      <c r="L917" s="1" t="str">
        <f aca="false">IF(Suiza_DE_CN_ID!A267="","",IFERROR(INDEX(Gamma_Catalogo!$D$3:$D$1451,MATCH(Suiza_DE_CN_ID!D267,Gamma_Catalogo!$A$3:$A$1451,0)),"Revisar Ip Code"))</f>
        <v/>
      </c>
      <c r="M917" s="1" t="str">
        <f aca="false">IF(Suiza_DE_CN_ID!A267="","",IFERROR(INDEX(Gamma_Catalogo!$C$3:$C$1451,MATCH(Suiza_DE_CN_ID!D267,Gamma_Catalogo!$A$3:$A$1451,0)),"Revisar Ip Code"))</f>
        <v/>
      </c>
      <c r="N917" s="1" t="str">
        <f aca="false">IF(Suiza_DE_CN_ID!A267="","",IFERROR(INDEX(Gamma_Catalogo!$E$3:$E$1451,MATCH(Suiza_DE_CN_ID!D267,Gamma_Catalogo!$A$3:$A$1451,0)),"Revisar Ip Code"))</f>
        <v/>
      </c>
      <c r="O917" s="1" t="str">
        <f aca="false">IF(Suiza_DE_CN_ID!A267="","","Suiza")</f>
        <v/>
      </c>
    </row>
    <row r="918" customFormat="false" ht="15" hidden="false" customHeight="true" outlineLevel="0" collapsed="false">
      <c r="A918" s="1" t="str">
        <f aca="false">IF(Suiza_DE_CN_ID!A268="","",IFERROR(INDEX(Mercados!$C$2:$C$32,MATCH(Suiza_DE_CN_ID!B268,Mercados!$A$2:$A$32,0)),"Revisar Tscode"))</f>
        <v/>
      </c>
      <c r="B918" s="1" t="str">
        <f aca="false">IF(Suiza_DE_CN_ID!A268="","",Suiza_DE_CN_ID!A268)</f>
        <v/>
      </c>
      <c r="C918" s="1" t="str">
        <f aca="false">IF(Suiza_DE_CN_ID!A268="","",Suiza_DE_CN_ID!C268)</f>
        <v/>
      </c>
      <c r="D918" s="1" t="str">
        <f aca="false">IF(Suiza_DE_CN_ID!A268="","",Suiza_DE_CN_ID!D268)</f>
        <v/>
      </c>
      <c r="E918" s="1" t="str">
        <f aca="false">IF(Suiza_DE_CN_ID!A268="","",Suiza_DE_CN_ID!E268)</f>
        <v/>
      </c>
      <c r="F918" s="1" t="str">
        <f aca="false">IF(Suiza_DE_CN_ID!A268="","",Suiza_DE_CN_ID!G268)</f>
        <v/>
      </c>
      <c r="I918" s="1" t="str">
        <f aca="false">IF(Suiza_DE_CN_ID!A268="","",Suiza_DE_CN_ID!H268)</f>
        <v/>
      </c>
      <c r="J918" s="1" t="str">
        <f aca="false">IF(Suiza_DE_CN_ID!A268="","",Suiza_DE_CN_ID!I268)</f>
        <v/>
      </c>
      <c r="K918" s="1" t="str">
        <f aca="false">IF(Suiza_DE_CN_ID!A268="","",UPPER(Suiza_DE_CN_ID!J268))</f>
        <v/>
      </c>
      <c r="L918" s="1" t="str">
        <f aca="false">IF(Suiza_DE_CN_ID!A268="","",IFERROR(INDEX(Gamma_Catalogo!$D$3:$D$1451,MATCH(Suiza_DE_CN_ID!D268,Gamma_Catalogo!$A$3:$A$1451,0)),"Revisar Ip Code"))</f>
        <v/>
      </c>
      <c r="M918" s="1" t="str">
        <f aca="false">IF(Suiza_DE_CN_ID!A268="","",IFERROR(INDEX(Gamma_Catalogo!$C$3:$C$1451,MATCH(Suiza_DE_CN_ID!D268,Gamma_Catalogo!$A$3:$A$1451,0)),"Revisar Ip Code"))</f>
        <v/>
      </c>
      <c r="N918" s="1" t="str">
        <f aca="false">IF(Suiza_DE_CN_ID!A268="","",IFERROR(INDEX(Gamma_Catalogo!$E$3:$E$1451,MATCH(Suiza_DE_CN_ID!D268,Gamma_Catalogo!$A$3:$A$1451,0)),"Revisar Ip Code"))</f>
        <v/>
      </c>
      <c r="O918" s="1" t="str">
        <f aca="false">IF(Suiza_DE_CN_ID!A268="","","Suiza")</f>
        <v/>
      </c>
    </row>
    <row r="919" customFormat="false" ht="15" hidden="false" customHeight="true" outlineLevel="0" collapsed="false">
      <c r="A919" s="1" t="str">
        <f aca="false">IF(Suiza_DE_CN_ID!A269="","",IFERROR(INDEX(Mercados!$C$2:$C$32,MATCH(Suiza_DE_CN_ID!B269,Mercados!$A$2:$A$32,0)),"Revisar Tscode"))</f>
        <v/>
      </c>
      <c r="B919" s="1" t="str">
        <f aca="false">IF(Suiza_DE_CN_ID!A269="","",Suiza_DE_CN_ID!A269)</f>
        <v/>
      </c>
      <c r="C919" s="1" t="str">
        <f aca="false">IF(Suiza_DE_CN_ID!A269="","",Suiza_DE_CN_ID!C269)</f>
        <v/>
      </c>
      <c r="D919" s="1" t="str">
        <f aca="false">IF(Suiza_DE_CN_ID!A269="","",Suiza_DE_CN_ID!D269)</f>
        <v/>
      </c>
      <c r="E919" s="1" t="str">
        <f aca="false">IF(Suiza_DE_CN_ID!A269="","",Suiza_DE_CN_ID!E269)</f>
        <v/>
      </c>
      <c r="F919" s="1" t="str">
        <f aca="false">IF(Suiza_DE_CN_ID!A269="","",Suiza_DE_CN_ID!G269)</f>
        <v/>
      </c>
      <c r="I919" s="1" t="str">
        <f aca="false">IF(Suiza_DE_CN_ID!A269="","",Suiza_DE_CN_ID!H269)</f>
        <v/>
      </c>
      <c r="J919" s="1" t="str">
        <f aca="false">IF(Suiza_DE_CN_ID!A269="","",Suiza_DE_CN_ID!I269)</f>
        <v/>
      </c>
      <c r="K919" s="1" t="str">
        <f aca="false">IF(Suiza_DE_CN_ID!A269="","",UPPER(Suiza_DE_CN_ID!J269))</f>
        <v/>
      </c>
      <c r="L919" s="1" t="str">
        <f aca="false">IF(Suiza_DE_CN_ID!A269="","",IFERROR(INDEX(Gamma_Catalogo!$D$3:$D$1451,MATCH(Suiza_DE_CN_ID!D269,Gamma_Catalogo!$A$3:$A$1451,0)),"Revisar Ip Code"))</f>
        <v/>
      </c>
      <c r="M919" s="1" t="str">
        <f aca="false">IF(Suiza_DE_CN_ID!A269="","",IFERROR(INDEX(Gamma_Catalogo!$C$3:$C$1451,MATCH(Suiza_DE_CN_ID!D269,Gamma_Catalogo!$A$3:$A$1451,0)),"Revisar Ip Code"))</f>
        <v/>
      </c>
      <c r="N919" s="1" t="str">
        <f aca="false">IF(Suiza_DE_CN_ID!A269="","",IFERROR(INDEX(Gamma_Catalogo!$E$3:$E$1451,MATCH(Suiza_DE_CN_ID!D269,Gamma_Catalogo!$A$3:$A$1451,0)),"Revisar Ip Code"))</f>
        <v/>
      </c>
      <c r="O919" s="1" t="str">
        <f aca="false">IF(Suiza_DE_CN_ID!A269="","","Suiza")</f>
        <v/>
      </c>
    </row>
    <row r="920" customFormat="false" ht="15" hidden="false" customHeight="true" outlineLevel="0" collapsed="false">
      <c r="A920" s="1" t="str">
        <f aca="false">IF(Suiza_DE_CN_ID!A270="","",IFERROR(INDEX(Mercados!$C$2:$C$32,MATCH(Suiza_DE_CN_ID!B270,Mercados!$A$2:$A$32,0)),"Revisar Tscode"))</f>
        <v/>
      </c>
      <c r="B920" s="1" t="str">
        <f aca="false">IF(Suiza_DE_CN_ID!A270="","",Suiza_DE_CN_ID!A270)</f>
        <v/>
      </c>
      <c r="C920" s="1" t="str">
        <f aca="false">IF(Suiza_DE_CN_ID!A270="","",Suiza_DE_CN_ID!C270)</f>
        <v/>
      </c>
      <c r="D920" s="1" t="str">
        <f aca="false">IF(Suiza_DE_CN_ID!A270="","",Suiza_DE_CN_ID!D270)</f>
        <v/>
      </c>
      <c r="E920" s="1" t="str">
        <f aca="false">IF(Suiza_DE_CN_ID!A270="","",Suiza_DE_CN_ID!E270)</f>
        <v/>
      </c>
      <c r="F920" s="1" t="str">
        <f aca="false">IF(Suiza_DE_CN_ID!A270="","",Suiza_DE_CN_ID!G270)</f>
        <v/>
      </c>
      <c r="I920" s="1" t="str">
        <f aca="false">IF(Suiza_DE_CN_ID!A270="","",Suiza_DE_CN_ID!H270)</f>
        <v/>
      </c>
      <c r="J920" s="1" t="str">
        <f aca="false">IF(Suiza_DE_CN_ID!A270="","",Suiza_DE_CN_ID!I270)</f>
        <v/>
      </c>
      <c r="K920" s="1" t="str">
        <f aca="false">IF(Suiza_DE_CN_ID!A270="","",UPPER(Suiza_DE_CN_ID!J270))</f>
        <v/>
      </c>
      <c r="L920" s="1" t="str">
        <f aca="false">IF(Suiza_DE_CN_ID!A270="","",IFERROR(INDEX(Gamma_Catalogo!$D$3:$D$1451,MATCH(Suiza_DE_CN_ID!D270,Gamma_Catalogo!$A$3:$A$1451,0)),"Revisar Ip Code"))</f>
        <v/>
      </c>
      <c r="M920" s="1" t="str">
        <f aca="false">IF(Suiza_DE_CN_ID!A270="","",IFERROR(INDEX(Gamma_Catalogo!$C$3:$C$1451,MATCH(Suiza_DE_CN_ID!D270,Gamma_Catalogo!$A$3:$A$1451,0)),"Revisar Ip Code"))</f>
        <v/>
      </c>
      <c r="N920" s="1" t="str">
        <f aca="false">IF(Suiza_DE_CN_ID!A270="","",IFERROR(INDEX(Gamma_Catalogo!$E$3:$E$1451,MATCH(Suiza_DE_CN_ID!D270,Gamma_Catalogo!$A$3:$A$1451,0)),"Revisar Ip Code"))</f>
        <v/>
      </c>
      <c r="O920" s="1" t="str">
        <f aca="false">IF(Suiza_DE_CN_ID!A270="","","Suiza")</f>
        <v/>
      </c>
    </row>
    <row r="921" customFormat="false" ht="15" hidden="false" customHeight="true" outlineLevel="0" collapsed="false">
      <c r="A921" s="1" t="str">
        <f aca="false">IF(Suiza_DE_CN_ID!A271="","",IFERROR(INDEX(Mercados!$C$2:$C$32,MATCH(Suiza_DE_CN_ID!B271,Mercados!$A$2:$A$32,0)),"Revisar Tscode"))</f>
        <v/>
      </c>
      <c r="B921" s="1" t="str">
        <f aca="false">IF(Suiza_DE_CN_ID!A271="","",Suiza_DE_CN_ID!A271)</f>
        <v/>
      </c>
      <c r="C921" s="1" t="str">
        <f aca="false">IF(Suiza_DE_CN_ID!A271="","",Suiza_DE_CN_ID!C271)</f>
        <v/>
      </c>
      <c r="D921" s="1" t="str">
        <f aca="false">IF(Suiza_DE_CN_ID!A271="","",Suiza_DE_CN_ID!D271)</f>
        <v/>
      </c>
      <c r="E921" s="1" t="str">
        <f aca="false">IF(Suiza_DE_CN_ID!A271="","",Suiza_DE_CN_ID!E271)</f>
        <v/>
      </c>
      <c r="F921" s="1" t="str">
        <f aca="false">IF(Suiza_DE_CN_ID!A271="","",Suiza_DE_CN_ID!G271)</f>
        <v/>
      </c>
      <c r="I921" s="1" t="str">
        <f aca="false">IF(Suiza_DE_CN_ID!A271="","",Suiza_DE_CN_ID!H271)</f>
        <v/>
      </c>
      <c r="J921" s="1" t="str">
        <f aca="false">IF(Suiza_DE_CN_ID!A271="","",Suiza_DE_CN_ID!I271)</f>
        <v/>
      </c>
      <c r="K921" s="1" t="str">
        <f aca="false">IF(Suiza_DE_CN_ID!A271="","",UPPER(Suiza_DE_CN_ID!J271))</f>
        <v/>
      </c>
      <c r="L921" s="1" t="str">
        <f aca="false">IF(Suiza_DE_CN_ID!A271="","",IFERROR(INDEX(Gamma_Catalogo!$D$3:$D$1451,MATCH(Suiza_DE_CN_ID!D271,Gamma_Catalogo!$A$3:$A$1451,0)),"Revisar Ip Code"))</f>
        <v/>
      </c>
      <c r="M921" s="1" t="str">
        <f aca="false">IF(Suiza_DE_CN_ID!A271="","",IFERROR(INDEX(Gamma_Catalogo!$C$3:$C$1451,MATCH(Suiza_DE_CN_ID!D271,Gamma_Catalogo!$A$3:$A$1451,0)),"Revisar Ip Code"))</f>
        <v/>
      </c>
      <c r="N921" s="1" t="str">
        <f aca="false">IF(Suiza_DE_CN_ID!A271="","",IFERROR(INDEX(Gamma_Catalogo!$E$3:$E$1451,MATCH(Suiza_DE_CN_ID!D271,Gamma_Catalogo!$A$3:$A$1451,0)),"Revisar Ip Code"))</f>
        <v/>
      </c>
      <c r="O921" s="1" t="str">
        <f aca="false">IF(Suiza_DE_CN_ID!A271="","","Suiza")</f>
        <v/>
      </c>
    </row>
    <row r="922" customFormat="false" ht="15" hidden="false" customHeight="true" outlineLevel="0" collapsed="false">
      <c r="A922" s="1" t="str">
        <f aca="false">IF(Suiza_DE_CN_ID!A272="","",IFERROR(INDEX(Mercados!$C$2:$C$32,MATCH(Suiza_DE_CN_ID!B272,Mercados!$A$2:$A$32,0)),"Revisar Tscode"))</f>
        <v/>
      </c>
      <c r="B922" s="1" t="str">
        <f aca="false">IF(Suiza_DE_CN_ID!A272="","",Suiza_DE_CN_ID!A272)</f>
        <v/>
      </c>
      <c r="C922" s="1" t="str">
        <f aca="false">IF(Suiza_DE_CN_ID!A272="","",Suiza_DE_CN_ID!C272)</f>
        <v/>
      </c>
      <c r="D922" s="1" t="str">
        <f aca="false">IF(Suiza_DE_CN_ID!A272="","",Suiza_DE_CN_ID!D272)</f>
        <v/>
      </c>
      <c r="E922" s="1" t="str">
        <f aca="false">IF(Suiza_DE_CN_ID!A272="","",Suiza_DE_CN_ID!E272)</f>
        <v/>
      </c>
      <c r="F922" s="1" t="str">
        <f aca="false">IF(Suiza_DE_CN_ID!A272="","",Suiza_DE_CN_ID!G272)</f>
        <v/>
      </c>
      <c r="I922" s="1" t="str">
        <f aca="false">IF(Suiza_DE_CN_ID!A272="","",Suiza_DE_CN_ID!H272)</f>
        <v/>
      </c>
      <c r="J922" s="1" t="str">
        <f aca="false">IF(Suiza_DE_CN_ID!A272="","",Suiza_DE_CN_ID!I272)</f>
        <v/>
      </c>
      <c r="K922" s="1" t="str">
        <f aca="false">IF(Suiza_DE_CN_ID!A272="","",UPPER(Suiza_DE_CN_ID!J272))</f>
        <v/>
      </c>
      <c r="L922" s="1" t="str">
        <f aca="false">IF(Suiza_DE_CN_ID!A272="","",IFERROR(INDEX(Gamma_Catalogo!$D$3:$D$1451,MATCH(Suiza_DE_CN_ID!D272,Gamma_Catalogo!$A$3:$A$1451,0)),"Revisar Ip Code"))</f>
        <v/>
      </c>
      <c r="M922" s="1" t="str">
        <f aca="false">IF(Suiza_DE_CN_ID!A272="","",IFERROR(INDEX(Gamma_Catalogo!$C$3:$C$1451,MATCH(Suiza_DE_CN_ID!D272,Gamma_Catalogo!$A$3:$A$1451,0)),"Revisar Ip Code"))</f>
        <v/>
      </c>
      <c r="N922" s="1" t="str">
        <f aca="false">IF(Suiza_DE_CN_ID!A272="","",IFERROR(INDEX(Gamma_Catalogo!$E$3:$E$1451,MATCH(Suiza_DE_CN_ID!D272,Gamma_Catalogo!$A$3:$A$1451,0)),"Revisar Ip Code"))</f>
        <v/>
      </c>
      <c r="O922" s="1" t="str">
        <f aca="false">IF(Suiza_DE_CN_ID!A272="","","Suiza")</f>
        <v/>
      </c>
    </row>
    <row r="923" customFormat="false" ht="15" hidden="false" customHeight="true" outlineLevel="0" collapsed="false">
      <c r="A923" s="1" t="str">
        <f aca="false">IF(Suiza_DE_CN_ID!A273="","",IFERROR(INDEX(Mercados!$C$2:$C$32,MATCH(Suiza_DE_CN_ID!B273,Mercados!$A$2:$A$32,0)),"Revisar Tscode"))</f>
        <v/>
      </c>
      <c r="B923" s="1" t="str">
        <f aca="false">IF(Suiza_DE_CN_ID!A273="","",Suiza_DE_CN_ID!A273)</f>
        <v/>
      </c>
      <c r="C923" s="1" t="str">
        <f aca="false">IF(Suiza_DE_CN_ID!A273="","",Suiza_DE_CN_ID!C273)</f>
        <v/>
      </c>
      <c r="D923" s="1" t="str">
        <f aca="false">IF(Suiza_DE_CN_ID!A273="","",Suiza_DE_CN_ID!D273)</f>
        <v/>
      </c>
      <c r="E923" s="1" t="str">
        <f aca="false">IF(Suiza_DE_CN_ID!A273="","",Suiza_DE_CN_ID!E273)</f>
        <v/>
      </c>
      <c r="F923" s="1" t="str">
        <f aca="false">IF(Suiza_DE_CN_ID!A273="","",Suiza_DE_CN_ID!G273)</f>
        <v/>
      </c>
      <c r="I923" s="1" t="str">
        <f aca="false">IF(Suiza_DE_CN_ID!A273="","",Suiza_DE_CN_ID!H273)</f>
        <v/>
      </c>
      <c r="J923" s="1" t="str">
        <f aca="false">IF(Suiza_DE_CN_ID!A273="","",Suiza_DE_CN_ID!I273)</f>
        <v/>
      </c>
      <c r="K923" s="1" t="str">
        <f aca="false">IF(Suiza_DE_CN_ID!A273="","",UPPER(Suiza_DE_CN_ID!J273))</f>
        <v/>
      </c>
      <c r="L923" s="1" t="str">
        <f aca="false">IF(Suiza_DE_CN_ID!A273="","",IFERROR(INDEX(Gamma_Catalogo!$D$3:$D$1451,MATCH(Suiza_DE_CN_ID!D273,Gamma_Catalogo!$A$3:$A$1451,0)),"Revisar Ip Code"))</f>
        <v/>
      </c>
      <c r="M923" s="1" t="str">
        <f aca="false">IF(Suiza_DE_CN_ID!A273="","",IFERROR(INDEX(Gamma_Catalogo!$C$3:$C$1451,MATCH(Suiza_DE_CN_ID!D273,Gamma_Catalogo!$A$3:$A$1451,0)),"Revisar Ip Code"))</f>
        <v/>
      </c>
      <c r="N923" s="1" t="str">
        <f aca="false">IF(Suiza_DE_CN_ID!A273="","",IFERROR(INDEX(Gamma_Catalogo!$E$3:$E$1451,MATCH(Suiza_DE_CN_ID!D273,Gamma_Catalogo!$A$3:$A$1451,0)),"Revisar Ip Code"))</f>
        <v/>
      </c>
      <c r="O923" s="1" t="str">
        <f aca="false">IF(Suiza_DE_CN_ID!A273="","","Suiza")</f>
        <v/>
      </c>
    </row>
    <row r="924" customFormat="false" ht="15" hidden="false" customHeight="true" outlineLevel="0" collapsed="false">
      <c r="A924" s="1" t="str">
        <f aca="false">IF(Suiza_DE_CN_ID!A274="","",IFERROR(INDEX(Mercados!$C$2:$C$32,MATCH(Suiza_DE_CN_ID!B274,Mercados!$A$2:$A$32,0)),"Revisar Tscode"))</f>
        <v/>
      </c>
      <c r="B924" s="1" t="str">
        <f aca="false">IF(Suiza_DE_CN_ID!A274="","",Suiza_DE_CN_ID!A274)</f>
        <v/>
      </c>
      <c r="C924" s="1" t="str">
        <f aca="false">IF(Suiza_DE_CN_ID!A274="","",Suiza_DE_CN_ID!C274)</f>
        <v/>
      </c>
      <c r="D924" s="1" t="str">
        <f aca="false">IF(Suiza_DE_CN_ID!A274="","",Suiza_DE_CN_ID!D274)</f>
        <v/>
      </c>
      <c r="E924" s="1" t="str">
        <f aca="false">IF(Suiza_DE_CN_ID!A274="","",Suiza_DE_CN_ID!E274)</f>
        <v/>
      </c>
      <c r="F924" s="1" t="str">
        <f aca="false">IF(Suiza_DE_CN_ID!A274="","",Suiza_DE_CN_ID!G274)</f>
        <v/>
      </c>
      <c r="I924" s="1" t="str">
        <f aca="false">IF(Suiza_DE_CN_ID!A274="","",Suiza_DE_CN_ID!H274)</f>
        <v/>
      </c>
      <c r="J924" s="1" t="str">
        <f aca="false">IF(Suiza_DE_CN_ID!A274="","",Suiza_DE_CN_ID!I274)</f>
        <v/>
      </c>
      <c r="K924" s="1" t="str">
        <f aca="false">IF(Suiza_DE_CN_ID!A274="","",UPPER(Suiza_DE_CN_ID!J274))</f>
        <v/>
      </c>
      <c r="L924" s="1" t="str">
        <f aca="false">IF(Suiza_DE_CN_ID!A274="","",IFERROR(INDEX(Gamma_Catalogo!$D$3:$D$1451,MATCH(Suiza_DE_CN_ID!D274,Gamma_Catalogo!$A$3:$A$1451,0)),"Revisar Ip Code"))</f>
        <v/>
      </c>
      <c r="M924" s="1" t="str">
        <f aca="false">IF(Suiza_DE_CN_ID!A274="","",IFERROR(INDEX(Gamma_Catalogo!$C$3:$C$1451,MATCH(Suiza_DE_CN_ID!D274,Gamma_Catalogo!$A$3:$A$1451,0)),"Revisar Ip Code"))</f>
        <v/>
      </c>
      <c r="N924" s="1" t="str">
        <f aca="false">IF(Suiza_DE_CN_ID!A274="","",IFERROR(INDEX(Gamma_Catalogo!$E$3:$E$1451,MATCH(Suiza_DE_CN_ID!D274,Gamma_Catalogo!$A$3:$A$1451,0)),"Revisar Ip Code"))</f>
        <v/>
      </c>
      <c r="O924" s="1" t="str">
        <f aca="false">IF(Suiza_DE_CN_ID!A274="","","Suiza")</f>
        <v/>
      </c>
    </row>
    <row r="925" customFormat="false" ht="15" hidden="false" customHeight="true" outlineLevel="0" collapsed="false">
      <c r="A925" s="1" t="str">
        <f aca="false">IF(Suiza_DE_CN_ID!A275="","",IFERROR(INDEX(Mercados!$C$2:$C$32,MATCH(Suiza_DE_CN_ID!B275,Mercados!$A$2:$A$32,0)),"Revisar Tscode"))</f>
        <v/>
      </c>
      <c r="B925" s="1" t="str">
        <f aca="false">IF(Suiza_DE_CN_ID!A275="","",Suiza_DE_CN_ID!A275)</f>
        <v/>
      </c>
      <c r="C925" s="1" t="str">
        <f aca="false">IF(Suiza_DE_CN_ID!A275="","",Suiza_DE_CN_ID!C275)</f>
        <v/>
      </c>
      <c r="D925" s="1" t="str">
        <f aca="false">IF(Suiza_DE_CN_ID!A275="","",Suiza_DE_CN_ID!D275)</f>
        <v/>
      </c>
      <c r="E925" s="1" t="str">
        <f aca="false">IF(Suiza_DE_CN_ID!A275="","",Suiza_DE_CN_ID!E275)</f>
        <v/>
      </c>
      <c r="F925" s="1" t="str">
        <f aca="false">IF(Suiza_DE_CN_ID!A275="","",Suiza_DE_CN_ID!G275)</f>
        <v/>
      </c>
      <c r="I925" s="1" t="str">
        <f aca="false">IF(Suiza_DE_CN_ID!A275="","",Suiza_DE_CN_ID!H275)</f>
        <v/>
      </c>
      <c r="J925" s="1" t="str">
        <f aca="false">IF(Suiza_DE_CN_ID!A275="","",Suiza_DE_CN_ID!I275)</f>
        <v/>
      </c>
      <c r="K925" s="1" t="str">
        <f aca="false">IF(Suiza_DE_CN_ID!A275="","",UPPER(Suiza_DE_CN_ID!J275))</f>
        <v/>
      </c>
      <c r="L925" s="1" t="str">
        <f aca="false">IF(Suiza_DE_CN_ID!A275="","",IFERROR(INDEX(Gamma_Catalogo!$D$3:$D$1451,MATCH(Suiza_DE_CN_ID!D275,Gamma_Catalogo!$A$3:$A$1451,0)),"Revisar Ip Code"))</f>
        <v/>
      </c>
      <c r="M925" s="1" t="str">
        <f aca="false">IF(Suiza_DE_CN_ID!A275="","",IFERROR(INDEX(Gamma_Catalogo!$C$3:$C$1451,MATCH(Suiza_DE_CN_ID!D275,Gamma_Catalogo!$A$3:$A$1451,0)),"Revisar Ip Code"))</f>
        <v/>
      </c>
      <c r="N925" s="1" t="str">
        <f aca="false">IF(Suiza_DE_CN_ID!A275="","",IFERROR(INDEX(Gamma_Catalogo!$E$3:$E$1451,MATCH(Suiza_DE_CN_ID!D275,Gamma_Catalogo!$A$3:$A$1451,0)),"Revisar Ip Code"))</f>
        <v/>
      </c>
      <c r="O925" s="1" t="str">
        <f aca="false">IF(Suiza_DE_CN_ID!A275="","","Suiza")</f>
        <v/>
      </c>
    </row>
    <row r="926" customFormat="false" ht="15" hidden="false" customHeight="true" outlineLevel="0" collapsed="false">
      <c r="A926" s="1" t="str">
        <f aca="false">IF(Suiza_DE_CN_ID!A276="","",IFERROR(INDEX(Mercados!$C$2:$C$32,MATCH(Suiza_DE_CN_ID!B276,Mercados!$A$2:$A$32,0)),"Revisar Tscode"))</f>
        <v/>
      </c>
      <c r="B926" s="1" t="str">
        <f aca="false">IF(Suiza_DE_CN_ID!A276="","",Suiza_DE_CN_ID!A276)</f>
        <v/>
      </c>
      <c r="C926" s="1" t="str">
        <f aca="false">IF(Suiza_DE_CN_ID!A276="","",Suiza_DE_CN_ID!C276)</f>
        <v/>
      </c>
      <c r="D926" s="1" t="str">
        <f aca="false">IF(Suiza_DE_CN_ID!A276="","",Suiza_DE_CN_ID!D276)</f>
        <v/>
      </c>
      <c r="E926" s="1" t="str">
        <f aca="false">IF(Suiza_DE_CN_ID!A276="","",Suiza_DE_CN_ID!E276)</f>
        <v/>
      </c>
      <c r="F926" s="1" t="str">
        <f aca="false">IF(Suiza_DE_CN_ID!A276="","",Suiza_DE_CN_ID!G276)</f>
        <v/>
      </c>
      <c r="I926" s="1" t="str">
        <f aca="false">IF(Suiza_DE_CN_ID!A276="","",Suiza_DE_CN_ID!H276)</f>
        <v/>
      </c>
      <c r="J926" s="1" t="str">
        <f aca="false">IF(Suiza_DE_CN_ID!A276="","",Suiza_DE_CN_ID!I276)</f>
        <v/>
      </c>
      <c r="K926" s="1" t="str">
        <f aca="false">IF(Suiza_DE_CN_ID!A276="","",UPPER(Suiza_DE_CN_ID!J276))</f>
        <v/>
      </c>
      <c r="L926" s="1" t="str">
        <f aca="false">IF(Suiza_DE_CN_ID!A276="","",IFERROR(INDEX(Gamma_Catalogo!$D$3:$D$1451,MATCH(Suiza_DE_CN_ID!D276,Gamma_Catalogo!$A$3:$A$1451,0)),"Revisar Ip Code"))</f>
        <v/>
      </c>
      <c r="M926" s="1" t="str">
        <f aca="false">IF(Suiza_DE_CN_ID!A276="","",IFERROR(INDEX(Gamma_Catalogo!$C$3:$C$1451,MATCH(Suiza_DE_CN_ID!D276,Gamma_Catalogo!$A$3:$A$1451,0)),"Revisar Ip Code"))</f>
        <v/>
      </c>
      <c r="N926" s="1" t="str">
        <f aca="false">IF(Suiza_DE_CN_ID!A276="","",IFERROR(INDEX(Gamma_Catalogo!$E$3:$E$1451,MATCH(Suiza_DE_CN_ID!D276,Gamma_Catalogo!$A$3:$A$1451,0)),"Revisar Ip Code"))</f>
        <v/>
      </c>
      <c r="O926" s="1" t="str">
        <f aca="false">IF(Suiza_DE_CN_ID!A276="","","Suiza")</f>
        <v/>
      </c>
    </row>
    <row r="927" customFormat="false" ht="15" hidden="false" customHeight="true" outlineLevel="0" collapsed="false">
      <c r="A927" s="1" t="str">
        <f aca="false">IF(Suiza_DE_CN_ID!A277="","",IFERROR(INDEX(Mercados!$C$2:$C$32,MATCH(Suiza_DE_CN_ID!B277,Mercados!$A$2:$A$32,0)),"Revisar Tscode"))</f>
        <v/>
      </c>
      <c r="B927" s="1" t="str">
        <f aca="false">IF(Suiza_DE_CN_ID!A277="","",Suiza_DE_CN_ID!A277)</f>
        <v/>
      </c>
      <c r="C927" s="1" t="str">
        <f aca="false">IF(Suiza_DE_CN_ID!A277="","",Suiza_DE_CN_ID!C277)</f>
        <v/>
      </c>
      <c r="D927" s="1" t="str">
        <f aca="false">IF(Suiza_DE_CN_ID!A277="","",Suiza_DE_CN_ID!D277)</f>
        <v/>
      </c>
      <c r="E927" s="1" t="str">
        <f aca="false">IF(Suiza_DE_CN_ID!A277="","",Suiza_DE_CN_ID!E277)</f>
        <v/>
      </c>
      <c r="F927" s="1" t="str">
        <f aca="false">IF(Suiza_DE_CN_ID!A277="","",Suiza_DE_CN_ID!G277)</f>
        <v/>
      </c>
      <c r="I927" s="1" t="str">
        <f aca="false">IF(Suiza_DE_CN_ID!A277="","",Suiza_DE_CN_ID!H277)</f>
        <v/>
      </c>
      <c r="J927" s="1" t="str">
        <f aca="false">IF(Suiza_DE_CN_ID!A277="","",Suiza_DE_CN_ID!I277)</f>
        <v/>
      </c>
      <c r="K927" s="1" t="str">
        <f aca="false">IF(Suiza_DE_CN_ID!A277="","",UPPER(Suiza_DE_CN_ID!J277))</f>
        <v/>
      </c>
      <c r="L927" s="1" t="str">
        <f aca="false">IF(Suiza_DE_CN_ID!A277="","",IFERROR(INDEX(Gamma_Catalogo!$D$3:$D$1451,MATCH(Suiza_DE_CN_ID!D277,Gamma_Catalogo!$A$3:$A$1451,0)),"Revisar Ip Code"))</f>
        <v/>
      </c>
      <c r="M927" s="1" t="str">
        <f aca="false">IF(Suiza_DE_CN_ID!A277="","",IFERROR(INDEX(Gamma_Catalogo!$C$3:$C$1451,MATCH(Suiza_DE_CN_ID!D277,Gamma_Catalogo!$A$3:$A$1451,0)),"Revisar Ip Code"))</f>
        <v/>
      </c>
      <c r="N927" s="1" t="str">
        <f aca="false">IF(Suiza_DE_CN_ID!A277="","",IFERROR(INDEX(Gamma_Catalogo!$E$3:$E$1451,MATCH(Suiza_DE_CN_ID!D277,Gamma_Catalogo!$A$3:$A$1451,0)),"Revisar Ip Code"))</f>
        <v/>
      </c>
      <c r="O927" s="1" t="str">
        <f aca="false">IF(Suiza_DE_CN_ID!A277="","","Suiza")</f>
        <v/>
      </c>
    </row>
    <row r="928" customFormat="false" ht="15" hidden="false" customHeight="true" outlineLevel="0" collapsed="false">
      <c r="A928" s="1" t="str">
        <f aca="false">IF(Suiza_DE_CN_ID!A278="","",IFERROR(INDEX(Mercados!$C$2:$C$32,MATCH(Suiza_DE_CN_ID!B278,Mercados!$A$2:$A$32,0)),"Revisar Tscode"))</f>
        <v/>
      </c>
      <c r="B928" s="1" t="str">
        <f aca="false">IF(Suiza_DE_CN_ID!A278="","",Suiza_DE_CN_ID!A278)</f>
        <v/>
      </c>
      <c r="C928" s="1" t="str">
        <f aca="false">IF(Suiza_DE_CN_ID!A278="","",Suiza_DE_CN_ID!C278)</f>
        <v/>
      </c>
      <c r="D928" s="1" t="str">
        <f aca="false">IF(Suiza_DE_CN_ID!A278="","",Suiza_DE_CN_ID!D278)</f>
        <v/>
      </c>
      <c r="E928" s="1" t="str">
        <f aca="false">IF(Suiza_DE_CN_ID!A278="","",Suiza_DE_CN_ID!E278)</f>
        <v/>
      </c>
      <c r="F928" s="1" t="str">
        <f aca="false">IF(Suiza_DE_CN_ID!A278="","",Suiza_DE_CN_ID!G278)</f>
        <v/>
      </c>
      <c r="I928" s="1" t="str">
        <f aca="false">IF(Suiza_DE_CN_ID!A278="","",Suiza_DE_CN_ID!H278)</f>
        <v/>
      </c>
      <c r="J928" s="1" t="str">
        <f aca="false">IF(Suiza_DE_CN_ID!A278="","",Suiza_DE_CN_ID!I278)</f>
        <v/>
      </c>
      <c r="K928" s="1" t="str">
        <f aca="false">IF(Suiza_DE_CN_ID!A278="","",UPPER(Suiza_DE_CN_ID!J278))</f>
        <v/>
      </c>
      <c r="L928" s="1" t="str">
        <f aca="false">IF(Suiza_DE_CN_ID!A278="","",IFERROR(INDEX(Gamma_Catalogo!$D$3:$D$1451,MATCH(Suiza_DE_CN_ID!D278,Gamma_Catalogo!$A$3:$A$1451,0)),"Revisar Ip Code"))</f>
        <v/>
      </c>
      <c r="M928" s="1" t="str">
        <f aca="false">IF(Suiza_DE_CN_ID!A278="","",IFERROR(INDEX(Gamma_Catalogo!$C$3:$C$1451,MATCH(Suiza_DE_CN_ID!D278,Gamma_Catalogo!$A$3:$A$1451,0)),"Revisar Ip Code"))</f>
        <v/>
      </c>
      <c r="N928" s="1" t="str">
        <f aca="false">IF(Suiza_DE_CN_ID!A278="","",IFERROR(INDEX(Gamma_Catalogo!$E$3:$E$1451,MATCH(Suiza_DE_CN_ID!D278,Gamma_Catalogo!$A$3:$A$1451,0)),"Revisar Ip Code"))</f>
        <v/>
      </c>
      <c r="O928" s="1" t="str">
        <f aca="false">IF(Suiza_DE_CN_ID!A278="","","Suiza")</f>
        <v/>
      </c>
    </row>
    <row r="929" customFormat="false" ht="15" hidden="false" customHeight="true" outlineLevel="0" collapsed="false">
      <c r="A929" s="1" t="str">
        <f aca="false">IF(Suiza_DE_CN_ID!A279="","",IFERROR(INDEX(Mercados!$C$2:$C$32,MATCH(Suiza_DE_CN_ID!B279,Mercados!$A$2:$A$32,0)),"Revisar Tscode"))</f>
        <v/>
      </c>
      <c r="B929" s="1" t="str">
        <f aca="false">IF(Suiza_DE_CN_ID!A279="","",Suiza_DE_CN_ID!A279)</f>
        <v/>
      </c>
      <c r="C929" s="1" t="str">
        <f aca="false">IF(Suiza_DE_CN_ID!A279="","",Suiza_DE_CN_ID!C279)</f>
        <v/>
      </c>
      <c r="D929" s="1" t="str">
        <f aca="false">IF(Suiza_DE_CN_ID!A279="","",Suiza_DE_CN_ID!D279)</f>
        <v/>
      </c>
      <c r="E929" s="1" t="str">
        <f aca="false">IF(Suiza_DE_CN_ID!A279="","",Suiza_DE_CN_ID!E279)</f>
        <v/>
      </c>
      <c r="F929" s="1" t="str">
        <f aca="false">IF(Suiza_DE_CN_ID!A279="","",Suiza_DE_CN_ID!G279)</f>
        <v/>
      </c>
      <c r="I929" s="1" t="str">
        <f aca="false">IF(Suiza_DE_CN_ID!A279="","",Suiza_DE_CN_ID!H279)</f>
        <v/>
      </c>
      <c r="J929" s="1" t="str">
        <f aca="false">IF(Suiza_DE_CN_ID!A279="","",Suiza_DE_CN_ID!I279)</f>
        <v/>
      </c>
      <c r="K929" s="1" t="str">
        <f aca="false">IF(Suiza_DE_CN_ID!A279="","",UPPER(Suiza_DE_CN_ID!J279))</f>
        <v/>
      </c>
      <c r="L929" s="1" t="str">
        <f aca="false">IF(Suiza_DE_CN_ID!A279="","",IFERROR(INDEX(Gamma_Catalogo!$D$3:$D$1451,MATCH(Suiza_DE_CN_ID!D279,Gamma_Catalogo!$A$3:$A$1451,0)),"Revisar Ip Code"))</f>
        <v/>
      </c>
      <c r="M929" s="1" t="str">
        <f aca="false">IF(Suiza_DE_CN_ID!A279="","",IFERROR(INDEX(Gamma_Catalogo!$C$3:$C$1451,MATCH(Suiza_DE_CN_ID!D279,Gamma_Catalogo!$A$3:$A$1451,0)),"Revisar Ip Code"))</f>
        <v/>
      </c>
      <c r="N929" s="1" t="str">
        <f aca="false">IF(Suiza_DE_CN_ID!A279="","",IFERROR(INDEX(Gamma_Catalogo!$E$3:$E$1451,MATCH(Suiza_DE_CN_ID!D279,Gamma_Catalogo!$A$3:$A$1451,0)),"Revisar Ip Code"))</f>
        <v/>
      </c>
      <c r="O929" s="1" t="str">
        <f aca="false">IF(Suiza_DE_CN_ID!A279="","","Suiza")</f>
        <v/>
      </c>
    </row>
    <row r="930" customFormat="false" ht="15" hidden="false" customHeight="true" outlineLevel="0" collapsed="false">
      <c r="A930" s="1" t="str">
        <f aca="false">IF(Suiza_DE_CN_ID!A280="","",IFERROR(INDEX(Mercados!$C$2:$C$32,MATCH(Suiza_DE_CN_ID!B280,Mercados!$A$2:$A$32,0)),"Revisar Tscode"))</f>
        <v/>
      </c>
      <c r="B930" s="1" t="str">
        <f aca="false">IF(Suiza_DE_CN_ID!A280="","",Suiza_DE_CN_ID!A280)</f>
        <v/>
      </c>
      <c r="C930" s="1" t="str">
        <f aca="false">IF(Suiza_DE_CN_ID!A280="","",Suiza_DE_CN_ID!C280)</f>
        <v/>
      </c>
      <c r="D930" s="1" t="str">
        <f aca="false">IF(Suiza_DE_CN_ID!A280="","",Suiza_DE_CN_ID!D280)</f>
        <v/>
      </c>
      <c r="E930" s="1" t="str">
        <f aca="false">IF(Suiza_DE_CN_ID!A280="","",Suiza_DE_CN_ID!E280)</f>
        <v/>
      </c>
      <c r="F930" s="1" t="str">
        <f aca="false">IF(Suiza_DE_CN_ID!A280="","",Suiza_DE_CN_ID!G280)</f>
        <v/>
      </c>
      <c r="I930" s="1" t="str">
        <f aca="false">IF(Suiza_DE_CN_ID!A280="","",Suiza_DE_CN_ID!H280)</f>
        <v/>
      </c>
      <c r="J930" s="1" t="str">
        <f aca="false">IF(Suiza_DE_CN_ID!A280="","",Suiza_DE_CN_ID!I280)</f>
        <v/>
      </c>
      <c r="K930" s="1" t="str">
        <f aca="false">IF(Suiza_DE_CN_ID!A280="","",UPPER(Suiza_DE_CN_ID!J280))</f>
        <v/>
      </c>
      <c r="L930" s="1" t="str">
        <f aca="false">IF(Suiza_DE_CN_ID!A280="","",IFERROR(INDEX(Gamma_Catalogo!$D$3:$D$1451,MATCH(Suiza_DE_CN_ID!D280,Gamma_Catalogo!$A$3:$A$1451,0)),"Revisar Ip Code"))</f>
        <v/>
      </c>
      <c r="M930" s="1" t="str">
        <f aca="false">IF(Suiza_DE_CN_ID!A280="","",IFERROR(INDEX(Gamma_Catalogo!$C$3:$C$1451,MATCH(Suiza_DE_CN_ID!D280,Gamma_Catalogo!$A$3:$A$1451,0)),"Revisar Ip Code"))</f>
        <v/>
      </c>
      <c r="N930" s="1" t="str">
        <f aca="false">IF(Suiza_DE_CN_ID!A280="","",IFERROR(INDEX(Gamma_Catalogo!$E$3:$E$1451,MATCH(Suiza_DE_CN_ID!D280,Gamma_Catalogo!$A$3:$A$1451,0)),"Revisar Ip Code"))</f>
        <v/>
      </c>
      <c r="O930" s="1" t="str">
        <f aca="false">IF(Suiza_DE_CN_ID!A280="","","Suiza")</f>
        <v/>
      </c>
    </row>
    <row r="931" customFormat="false" ht="15" hidden="false" customHeight="true" outlineLevel="0" collapsed="false">
      <c r="A931" s="1" t="str">
        <f aca="false">IF(Suiza_DE_CN_ID!A281="","",IFERROR(INDEX(Mercados!$C$2:$C$32,MATCH(Suiza_DE_CN_ID!B281,Mercados!$A$2:$A$32,0)),"Revisar Tscode"))</f>
        <v/>
      </c>
      <c r="B931" s="1" t="str">
        <f aca="false">IF(Suiza_DE_CN_ID!A281="","",Suiza_DE_CN_ID!A281)</f>
        <v/>
      </c>
      <c r="C931" s="1" t="str">
        <f aca="false">IF(Suiza_DE_CN_ID!A281="","",Suiza_DE_CN_ID!C281)</f>
        <v/>
      </c>
      <c r="D931" s="1" t="str">
        <f aca="false">IF(Suiza_DE_CN_ID!A281="","",Suiza_DE_CN_ID!D281)</f>
        <v/>
      </c>
      <c r="E931" s="1" t="str">
        <f aca="false">IF(Suiza_DE_CN_ID!A281="","",Suiza_DE_CN_ID!E281)</f>
        <v/>
      </c>
      <c r="F931" s="1" t="str">
        <f aca="false">IF(Suiza_DE_CN_ID!A281="","",Suiza_DE_CN_ID!G281)</f>
        <v/>
      </c>
      <c r="I931" s="1" t="str">
        <f aca="false">IF(Suiza_DE_CN_ID!A281="","",Suiza_DE_CN_ID!H281)</f>
        <v/>
      </c>
      <c r="J931" s="1" t="str">
        <f aca="false">IF(Suiza_DE_CN_ID!A281="","",Suiza_DE_CN_ID!I281)</f>
        <v/>
      </c>
      <c r="K931" s="1" t="str">
        <f aca="false">IF(Suiza_DE_CN_ID!A281="","",UPPER(Suiza_DE_CN_ID!J281))</f>
        <v/>
      </c>
      <c r="L931" s="1" t="str">
        <f aca="false">IF(Suiza_DE_CN_ID!A281="","",IFERROR(INDEX(Gamma_Catalogo!$D$3:$D$1451,MATCH(Suiza_DE_CN_ID!D281,Gamma_Catalogo!$A$3:$A$1451,0)),"Revisar Ip Code"))</f>
        <v/>
      </c>
      <c r="M931" s="1" t="str">
        <f aca="false">IF(Suiza_DE_CN_ID!A281="","",IFERROR(INDEX(Gamma_Catalogo!$C$3:$C$1451,MATCH(Suiza_DE_CN_ID!D281,Gamma_Catalogo!$A$3:$A$1451,0)),"Revisar Ip Code"))</f>
        <v/>
      </c>
      <c r="N931" s="1" t="str">
        <f aca="false">IF(Suiza_DE_CN_ID!A281="","",IFERROR(INDEX(Gamma_Catalogo!$E$3:$E$1451,MATCH(Suiza_DE_CN_ID!D281,Gamma_Catalogo!$A$3:$A$1451,0)),"Revisar Ip Code"))</f>
        <v/>
      </c>
      <c r="O931" s="1" t="str">
        <f aca="false">IF(Suiza_DE_CN_ID!A281="","","Suiza")</f>
        <v/>
      </c>
    </row>
    <row r="932" customFormat="false" ht="15" hidden="false" customHeight="true" outlineLevel="0" collapsed="false">
      <c r="A932" s="1" t="str">
        <f aca="false">IF(Suiza_DE_CN_ID!A282="","",IFERROR(INDEX(Mercados!$C$2:$C$32,MATCH(Suiza_DE_CN_ID!B282,Mercados!$A$2:$A$32,0)),"Revisar Tscode"))</f>
        <v/>
      </c>
      <c r="B932" s="1" t="str">
        <f aca="false">IF(Suiza_DE_CN_ID!A282="","",Suiza_DE_CN_ID!A282)</f>
        <v/>
      </c>
      <c r="C932" s="1" t="str">
        <f aca="false">IF(Suiza_DE_CN_ID!A282="","",Suiza_DE_CN_ID!C282)</f>
        <v/>
      </c>
      <c r="D932" s="1" t="str">
        <f aca="false">IF(Suiza_DE_CN_ID!A282="","",Suiza_DE_CN_ID!D282)</f>
        <v/>
      </c>
      <c r="E932" s="1" t="str">
        <f aca="false">IF(Suiza_DE_CN_ID!A282="","",Suiza_DE_CN_ID!E282)</f>
        <v/>
      </c>
      <c r="F932" s="1" t="str">
        <f aca="false">IF(Suiza_DE_CN_ID!A282="","",Suiza_DE_CN_ID!G282)</f>
        <v/>
      </c>
      <c r="I932" s="1" t="str">
        <f aca="false">IF(Suiza_DE_CN_ID!A282="","",Suiza_DE_CN_ID!H282)</f>
        <v/>
      </c>
      <c r="J932" s="1" t="str">
        <f aca="false">IF(Suiza_DE_CN_ID!A282="","",Suiza_DE_CN_ID!I282)</f>
        <v/>
      </c>
      <c r="K932" s="1" t="str">
        <f aca="false">IF(Suiza_DE_CN_ID!A282="","",UPPER(Suiza_DE_CN_ID!J282))</f>
        <v/>
      </c>
      <c r="L932" s="1" t="str">
        <f aca="false">IF(Suiza_DE_CN_ID!A282="","",IFERROR(INDEX(Gamma_Catalogo!$D$3:$D$1451,MATCH(Suiza_DE_CN_ID!D282,Gamma_Catalogo!$A$3:$A$1451,0)),"Revisar Ip Code"))</f>
        <v/>
      </c>
      <c r="M932" s="1" t="str">
        <f aca="false">IF(Suiza_DE_CN_ID!A282="","",IFERROR(INDEX(Gamma_Catalogo!$C$3:$C$1451,MATCH(Suiza_DE_CN_ID!D282,Gamma_Catalogo!$A$3:$A$1451,0)),"Revisar Ip Code"))</f>
        <v/>
      </c>
      <c r="N932" s="1" t="str">
        <f aca="false">IF(Suiza_DE_CN_ID!A282="","",IFERROR(INDEX(Gamma_Catalogo!$E$3:$E$1451,MATCH(Suiza_DE_CN_ID!D282,Gamma_Catalogo!$A$3:$A$1451,0)),"Revisar Ip Code"))</f>
        <v/>
      </c>
      <c r="O932" s="1" t="str">
        <f aca="false">IF(Suiza_DE_CN_ID!A282="","","Suiza")</f>
        <v/>
      </c>
    </row>
    <row r="933" customFormat="false" ht="15" hidden="false" customHeight="true" outlineLevel="0" collapsed="false">
      <c r="A933" s="1" t="str">
        <f aca="false">IF(Suiza_DE_CN_ID!A283="","",IFERROR(INDEX(Mercados!$C$2:$C$32,MATCH(Suiza_DE_CN_ID!B283,Mercados!$A$2:$A$32,0)),"Revisar Tscode"))</f>
        <v/>
      </c>
      <c r="B933" s="1" t="str">
        <f aca="false">IF(Suiza_DE_CN_ID!A283="","",Suiza_DE_CN_ID!A283)</f>
        <v/>
      </c>
      <c r="C933" s="1" t="str">
        <f aca="false">IF(Suiza_DE_CN_ID!A283="","",Suiza_DE_CN_ID!C283)</f>
        <v/>
      </c>
      <c r="D933" s="1" t="str">
        <f aca="false">IF(Suiza_DE_CN_ID!A283="","",Suiza_DE_CN_ID!D283)</f>
        <v/>
      </c>
      <c r="E933" s="1" t="str">
        <f aca="false">IF(Suiza_DE_CN_ID!A283="","",Suiza_DE_CN_ID!E283)</f>
        <v/>
      </c>
      <c r="F933" s="1" t="str">
        <f aca="false">IF(Suiza_DE_CN_ID!A283="","",Suiza_DE_CN_ID!G283)</f>
        <v/>
      </c>
      <c r="I933" s="1" t="str">
        <f aca="false">IF(Suiza_DE_CN_ID!A283="","",Suiza_DE_CN_ID!H283)</f>
        <v/>
      </c>
      <c r="J933" s="1" t="str">
        <f aca="false">IF(Suiza_DE_CN_ID!A283="","",Suiza_DE_CN_ID!I283)</f>
        <v/>
      </c>
      <c r="K933" s="1" t="str">
        <f aca="false">IF(Suiza_DE_CN_ID!A283="","",UPPER(Suiza_DE_CN_ID!J283))</f>
        <v/>
      </c>
      <c r="L933" s="1" t="str">
        <f aca="false">IF(Suiza_DE_CN_ID!A283="","",IFERROR(INDEX(Gamma_Catalogo!$D$3:$D$1451,MATCH(Suiza_DE_CN_ID!D283,Gamma_Catalogo!$A$3:$A$1451,0)),"Revisar Ip Code"))</f>
        <v/>
      </c>
      <c r="M933" s="1" t="str">
        <f aca="false">IF(Suiza_DE_CN_ID!A283="","",IFERROR(INDEX(Gamma_Catalogo!$C$3:$C$1451,MATCH(Suiza_DE_CN_ID!D283,Gamma_Catalogo!$A$3:$A$1451,0)),"Revisar Ip Code"))</f>
        <v/>
      </c>
      <c r="N933" s="1" t="str">
        <f aca="false">IF(Suiza_DE_CN_ID!A283="","",IFERROR(INDEX(Gamma_Catalogo!$E$3:$E$1451,MATCH(Suiza_DE_CN_ID!D283,Gamma_Catalogo!$A$3:$A$1451,0)),"Revisar Ip Code"))</f>
        <v/>
      </c>
      <c r="O933" s="1" t="str">
        <f aca="false">IF(Suiza_DE_CN_ID!A283="","","Suiza")</f>
        <v/>
      </c>
    </row>
    <row r="934" customFormat="false" ht="15" hidden="false" customHeight="true" outlineLevel="0" collapsed="false">
      <c r="A934" s="1" t="str">
        <f aca="false">IF(Suiza_DE_CN_ID!A284="","",IFERROR(INDEX(Mercados!$C$2:$C$32,MATCH(Suiza_DE_CN_ID!B284,Mercados!$A$2:$A$32,0)),"Revisar Tscode"))</f>
        <v/>
      </c>
      <c r="B934" s="1" t="str">
        <f aca="false">IF(Suiza_DE_CN_ID!A284="","",Suiza_DE_CN_ID!A284)</f>
        <v/>
      </c>
      <c r="C934" s="1" t="str">
        <f aca="false">IF(Suiza_DE_CN_ID!A284="","",Suiza_DE_CN_ID!C284)</f>
        <v/>
      </c>
      <c r="D934" s="1" t="str">
        <f aca="false">IF(Suiza_DE_CN_ID!A284="","",Suiza_DE_CN_ID!D284)</f>
        <v/>
      </c>
      <c r="E934" s="1" t="str">
        <f aca="false">IF(Suiza_DE_CN_ID!A284="","",Suiza_DE_CN_ID!E284)</f>
        <v/>
      </c>
      <c r="F934" s="1" t="str">
        <f aca="false">IF(Suiza_DE_CN_ID!A284="","",Suiza_DE_CN_ID!G284)</f>
        <v/>
      </c>
      <c r="I934" s="1" t="str">
        <f aca="false">IF(Suiza_DE_CN_ID!A284="","",Suiza_DE_CN_ID!H284)</f>
        <v/>
      </c>
      <c r="J934" s="1" t="str">
        <f aca="false">IF(Suiza_DE_CN_ID!A284="","",Suiza_DE_CN_ID!I284)</f>
        <v/>
      </c>
      <c r="K934" s="1" t="str">
        <f aca="false">IF(Suiza_DE_CN_ID!A284="","",UPPER(Suiza_DE_CN_ID!J284))</f>
        <v/>
      </c>
      <c r="L934" s="1" t="str">
        <f aca="false">IF(Suiza_DE_CN_ID!A284="","",IFERROR(INDEX(Gamma_Catalogo!$D$3:$D$1451,MATCH(Suiza_DE_CN_ID!D284,Gamma_Catalogo!$A$3:$A$1451,0)),"Revisar Ip Code"))</f>
        <v/>
      </c>
      <c r="M934" s="1" t="str">
        <f aca="false">IF(Suiza_DE_CN_ID!A284="","",IFERROR(INDEX(Gamma_Catalogo!$C$3:$C$1451,MATCH(Suiza_DE_CN_ID!D284,Gamma_Catalogo!$A$3:$A$1451,0)),"Revisar Ip Code"))</f>
        <v/>
      </c>
      <c r="N934" s="1" t="str">
        <f aca="false">IF(Suiza_DE_CN_ID!A284="","",IFERROR(INDEX(Gamma_Catalogo!$E$3:$E$1451,MATCH(Suiza_DE_CN_ID!D284,Gamma_Catalogo!$A$3:$A$1451,0)),"Revisar Ip Code"))</f>
        <v/>
      </c>
      <c r="O934" s="1" t="str">
        <f aca="false">IF(Suiza_DE_CN_ID!A284="","","Suiza")</f>
        <v/>
      </c>
    </row>
    <row r="935" customFormat="false" ht="15" hidden="false" customHeight="true" outlineLevel="0" collapsed="false">
      <c r="A935" s="1" t="str">
        <f aca="false">IF(Suiza_DE_CN_ID!A285="","",IFERROR(INDEX(Mercados!$C$2:$C$32,MATCH(Suiza_DE_CN_ID!B285,Mercados!$A$2:$A$32,0)),"Revisar Tscode"))</f>
        <v/>
      </c>
      <c r="B935" s="1" t="str">
        <f aca="false">IF(Suiza_DE_CN_ID!A285="","",Suiza_DE_CN_ID!A285)</f>
        <v/>
      </c>
      <c r="C935" s="1" t="str">
        <f aca="false">IF(Suiza_DE_CN_ID!A285="","",Suiza_DE_CN_ID!C285)</f>
        <v/>
      </c>
      <c r="D935" s="1" t="str">
        <f aca="false">IF(Suiza_DE_CN_ID!A285="","",Suiza_DE_CN_ID!D285)</f>
        <v/>
      </c>
      <c r="E935" s="1" t="str">
        <f aca="false">IF(Suiza_DE_CN_ID!A285="","",Suiza_DE_CN_ID!E285)</f>
        <v/>
      </c>
      <c r="F935" s="1" t="str">
        <f aca="false">IF(Suiza_DE_CN_ID!A285="","",Suiza_DE_CN_ID!G285)</f>
        <v/>
      </c>
      <c r="I935" s="1" t="str">
        <f aca="false">IF(Suiza_DE_CN_ID!A285="","",Suiza_DE_CN_ID!H285)</f>
        <v/>
      </c>
      <c r="J935" s="1" t="str">
        <f aca="false">IF(Suiza_DE_CN_ID!A285="","",Suiza_DE_CN_ID!I285)</f>
        <v/>
      </c>
      <c r="K935" s="1" t="str">
        <f aca="false">IF(Suiza_DE_CN_ID!A285="","",UPPER(Suiza_DE_CN_ID!J285))</f>
        <v/>
      </c>
      <c r="L935" s="1" t="str">
        <f aca="false">IF(Suiza_DE_CN_ID!A285="","",IFERROR(INDEX(Gamma_Catalogo!$D$3:$D$1451,MATCH(Suiza_DE_CN_ID!D285,Gamma_Catalogo!$A$3:$A$1451,0)),"Revisar Ip Code"))</f>
        <v/>
      </c>
      <c r="M935" s="1" t="str">
        <f aca="false">IF(Suiza_DE_CN_ID!A285="","",IFERROR(INDEX(Gamma_Catalogo!$C$3:$C$1451,MATCH(Suiza_DE_CN_ID!D285,Gamma_Catalogo!$A$3:$A$1451,0)),"Revisar Ip Code"))</f>
        <v/>
      </c>
      <c r="N935" s="1" t="str">
        <f aca="false">IF(Suiza_DE_CN_ID!A285="","",IFERROR(INDEX(Gamma_Catalogo!$E$3:$E$1451,MATCH(Suiza_DE_CN_ID!D285,Gamma_Catalogo!$A$3:$A$1451,0)),"Revisar Ip Code"))</f>
        <v/>
      </c>
      <c r="O935" s="1" t="str">
        <f aca="false">IF(Suiza_DE_CN_ID!A285="","","Suiza")</f>
        <v/>
      </c>
    </row>
    <row r="936" customFormat="false" ht="15" hidden="false" customHeight="true" outlineLevel="0" collapsed="false">
      <c r="A936" s="1" t="str">
        <f aca="false">IF(Suiza_DE_CN_ID!A286="","",IFERROR(INDEX(Mercados!$C$2:$C$32,MATCH(Suiza_DE_CN_ID!B286,Mercados!$A$2:$A$32,0)),"Revisar Tscode"))</f>
        <v/>
      </c>
      <c r="B936" s="1" t="str">
        <f aca="false">IF(Suiza_DE_CN_ID!A286="","",Suiza_DE_CN_ID!A286)</f>
        <v/>
      </c>
      <c r="C936" s="1" t="str">
        <f aca="false">IF(Suiza_DE_CN_ID!A286="","",Suiza_DE_CN_ID!C286)</f>
        <v/>
      </c>
      <c r="D936" s="1" t="str">
        <f aca="false">IF(Suiza_DE_CN_ID!A286="","",Suiza_DE_CN_ID!D286)</f>
        <v/>
      </c>
      <c r="E936" s="1" t="str">
        <f aca="false">IF(Suiza_DE_CN_ID!A286="","",Suiza_DE_CN_ID!E286)</f>
        <v/>
      </c>
      <c r="F936" s="1" t="str">
        <f aca="false">IF(Suiza_DE_CN_ID!A286="","",Suiza_DE_CN_ID!G286)</f>
        <v/>
      </c>
      <c r="I936" s="1" t="str">
        <f aca="false">IF(Suiza_DE_CN_ID!A286="","",Suiza_DE_CN_ID!H286)</f>
        <v/>
      </c>
      <c r="J936" s="1" t="str">
        <f aca="false">IF(Suiza_DE_CN_ID!A286="","",Suiza_DE_CN_ID!I286)</f>
        <v/>
      </c>
      <c r="K936" s="1" t="str">
        <f aca="false">IF(Suiza_DE_CN_ID!A286="","",UPPER(Suiza_DE_CN_ID!J286))</f>
        <v/>
      </c>
      <c r="L936" s="1" t="str">
        <f aca="false">IF(Suiza_DE_CN_ID!A286="","",IFERROR(INDEX(Gamma_Catalogo!$D$3:$D$1451,MATCH(Suiza_DE_CN_ID!D286,Gamma_Catalogo!$A$3:$A$1451,0)),"Revisar Ip Code"))</f>
        <v/>
      </c>
      <c r="M936" s="1" t="str">
        <f aca="false">IF(Suiza_DE_CN_ID!A286="","",IFERROR(INDEX(Gamma_Catalogo!$C$3:$C$1451,MATCH(Suiza_DE_CN_ID!D286,Gamma_Catalogo!$A$3:$A$1451,0)),"Revisar Ip Code"))</f>
        <v/>
      </c>
      <c r="N936" s="1" t="str">
        <f aca="false">IF(Suiza_DE_CN_ID!A286="","",IFERROR(INDEX(Gamma_Catalogo!$E$3:$E$1451,MATCH(Suiza_DE_CN_ID!D286,Gamma_Catalogo!$A$3:$A$1451,0)),"Revisar Ip Code"))</f>
        <v/>
      </c>
      <c r="O936" s="1" t="str">
        <f aca="false">IF(Suiza_DE_CN_ID!A286="","","Suiza")</f>
        <v/>
      </c>
    </row>
    <row r="937" customFormat="false" ht="15" hidden="false" customHeight="true" outlineLevel="0" collapsed="false">
      <c r="A937" s="1" t="str">
        <f aca="false">IF(Suiza_DE_CN_ID!A287="","",IFERROR(INDEX(Mercados!$C$2:$C$32,MATCH(Suiza_DE_CN_ID!B287,Mercados!$A$2:$A$32,0)),"Revisar Tscode"))</f>
        <v/>
      </c>
      <c r="B937" s="1" t="str">
        <f aca="false">IF(Suiza_DE_CN_ID!A287="","",Suiza_DE_CN_ID!A287)</f>
        <v/>
      </c>
      <c r="C937" s="1" t="str">
        <f aca="false">IF(Suiza_DE_CN_ID!A287="","",Suiza_DE_CN_ID!C287)</f>
        <v/>
      </c>
      <c r="D937" s="1" t="str">
        <f aca="false">IF(Suiza_DE_CN_ID!A287="","",Suiza_DE_CN_ID!D287)</f>
        <v/>
      </c>
      <c r="E937" s="1" t="str">
        <f aca="false">IF(Suiza_DE_CN_ID!A287="","",Suiza_DE_CN_ID!E287)</f>
        <v/>
      </c>
      <c r="F937" s="1" t="str">
        <f aca="false">IF(Suiza_DE_CN_ID!A287="","",Suiza_DE_CN_ID!G287)</f>
        <v/>
      </c>
      <c r="I937" s="1" t="str">
        <f aca="false">IF(Suiza_DE_CN_ID!A287="","",Suiza_DE_CN_ID!H287)</f>
        <v/>
      </c>
      <c r="J937" s="1" t="str">
        <f aca="false">IF(Suiza_DE_CN_ID!A287="","",Suiza_DE_CN_ID!I287)</f>
        <v/>
      </c>
      <c r="K937" s="1" t="str">
        <f aca="false">IF(Suiza_DE_CN_ID!A287="","",UPPER(Suiza_DE_CN_ID!J287))</f>
        <v/>
      </c>
      <c r="L937" s="1" t="str">
        <f aca="false">IF(Suiza_DE_CN_ID!A287="","",IFERROR(INDEX(Gamma_Catalogo!$D$3:$D$1451,MATCH(Suiza_DE_CN_ID!D287,Gamma_Catalogo!$A$3:$A$1451,0)),"Revisar Ip Code"))</f>
        <v/>
      </c>
      <c r="M937" s="1" t="str">
        <f aca="false">IF(Suiza_DE_CN_ID!A287="","",IFERROR(INDEX(Gamma_Catalogo!$C$3:$C$1451,MATCH(Suiza_DE_CN_ID!D287,Gamma_Catalogo!$A$3:$A$1451,0)),"Revisar Ip Code"))</f>
        <v/>
      </c>
      <c r="N937" s="1" t="str">
        <f aca="false">IF(Suiza_DE_CN_ID!A287="","",IFERROR(INDEX(Gamma_Catalogo!$E$3:$E$1451,MATCH(Suiza_DE_CN_ID!D287,Gamma_Catalogo!$A$3:$A$1451,0)),"Revisar Ip Code"))</f>
        <v/>
      </c>
      <c r="O937" s="1" t="str">
        <f aca="false">IF(Suiza_DE_CN_ID!A287="","","Suiza")</f>
        <v/>
      </c>
    </row>
    <row r="938" customFormat="false" ht="15" hidden="false" customHeight="true" outlineLevel="0" collapsed="false">
      <c r="A938" s="1" t="str">
        <f aca="false">IF(Suiza_DE_CN_ID!A288="","",IFERROR(INDEX(Mercados!$C$2:$C$32,MATCH(Suiza_DE_CN_ID!B288,Mercados!$A$2:$A$32,0)),"Revisar Tscode"))</f>
        <v/>
      </c>
      <c r="B938" s="1" t="str">
        <f aca="false">IF(Suiza_DE_CN_ID!A288="","",Suiza_DE_CN_ID!A288)</f>
        <v/>
      </c>
      <c r="C938" s="1" t="str">
        <f aca="false">IF(Suiza_DE_CN_ID!A288="","",Suiza_DE_CN_ID!C288)</f>
        <v/>
      </c>
      <c r="D938" s="1" t="str">
        <f aca="false">IF(Suiza_DE_CN_ID!A288="","",Suiza_DE_CN_ID!D288)</f>
        <v/>
      </c>
      <c r="E938" s="1" t="str">
        <f aca="false">IF(Suiza_DE_CN_ID!A288="","",Suiza_DE_CN_ID!E288)</f>
        <v/>
      </c>
      <c r="F938" s="1" t="str">
        <f aca="false">IF(Suiza_DE_CN_ID!A288="","",Suiza_DE_CN_ID!G288)</f>
        <v/>
      </c>
      <c r="I938" s="1" t="str">
        <f aca="false">IF(Suiza_DE_CN_ID!A288="","",Suiza_DE_CN_ID!H288)</f>
        <v/>
      </c>
      <c r="J938" s="1" t="str">
        <f aca="false">IF(Suiza_DE_CN_ID!A288="","",Suiza_DE_CN_ID!I288)</f>
        <v/>
      </c>
      <c r="K938" s="1" t="str">
        <f aca="false">IF(Suiza_DE_CN_ID!A288="","",UPPER(Suiza_DE_CN_ID!J288))</f>
        <v/>
      </c>
      <c r="L938" s="1" t="str">
        <f aca="false">IF(Suiza_DE_CN_ID!A288="","",IFERROR(INDEX(Gamma_Catalogo!$D$3:$D$1451,MATCH(Suiza_DE_CN_ID!D288,Gamma_Catalogo!$A$3:$A$1451,0)),"Revisar Ip Code"))</f>
        <v/>
      </c>
      <c r="M938" s="1" t="str">
        <f aca="false">IF(Suiza_DE_CN_ID!A288="","",IFERROR(INDEX(Gamma_Catalogo!$C$3:$C$1451,MATCH(Suiza_DE_CN_ID!D288,Gamma_Catalogo!$A$3:$A$1451,0)),"Revisar Ip Code"))</f>
        <v/>
      </c>
      <c r="N938" s="1" t="str">
        <f aca="false">IF(Suiza_DE_CN_ID!A288="","",IFERROR(INDEX(Gamma_Catalogo!$E$3:$E$1451,MATCH(Suiza_DE_CN_ID!D288,Gamma_Catalogo!$A$3:$A$1451,0)),"Revisar Ip Code"))</f>
        <v/>
      </c>
      <c r="O938" s="1" t="str">
        <f aca="false">IF(Suiza_DE_CN_ID!A288="","","Suiza")</f>
        <v/>
      </c>
    </row>
    <row r="939" customFormat="false" ht="15" hidden="false" customHeight="true" outlineLevel="0" collapsed="false">
      <c r="A939" s="1" t="str">
        <f aca="false">IF(Suiza_DE_CN_ID!A289="","",IFERROR(INDEX(Mercados!$C$2:$C$32,MATCH(Suiza_DE_CN_ID!B289,Mercados!$A$2:$A$32,0)),"Revisar Tscode"))</f>
        <v/>
      </c>
      <c r="B939" s="1" t="str">
        <f aca="false">IF(Suiza_DE_CN_ID!A289="","",Suiza_DE_CN_ID!A289)</f>
        <v/>
      </c>
      <c r="C939" s="1" t="str">
        <f aca="false">IF(Suiza_DE_CN_ID!A289="","",Suiza_DE_CN_ID!C289)</f>
        <v/>
      </c>
      <c r="D939" s="1" t="str">
        <f aca="false">IF(Suiza_DE_CN_ID!A289="","",Suiza_DE_CN_ID!D289)</f>
        <v/>
      </c>
      <c r="E939" s="1" t="str">
        <f aca="false">IF(Suiza_DE_CN_ID!A289="","",Suiza_DE_CN_ID!E289)</f>
        <v/>
      </c>
      <c r="F939" s="1" t="str">
        <f aca="false">IF(Suiza_DE_CN_ID!A289="","",Suiza_DE_CN_ID!G289)</f>
        <v/>
      </c>
      <c r="I939" s="1" t="str">
        <f aca="false">IF(Suiza_DE_CN_ID!A289="","",Suiza_DE_CN_ID!H289)</f>
        <v/>
      </c>
      <c r="J939" s="1" t="str">
        <f aca="false">IF(Suiza_DE_CN_ID!A289="","",Suiza_DE_CN_ID!I289)</f>
        <v/>
      </c>
      <c r="K939" s="1" t="str">
        <f aca="false">IF(Suiza_DE_CN_ID!A289="","",UPPER(Suiza_DE_CN_ID!J289))</f>
        <v/>
      </c>
      <c r="L939" s="1" t="str">
        <f aca="false">IF(Suiza_DE_CN_ID!A289="","",IFERROR(INDEX(Gamma_Catalogo!$D$3:$D$1451,MATCH(Suiza_DE_CN_ID!D289,Gamma_Catalogo!$A$3:$A$1451,0)),"Revisar Ip Code"))</f>
        <v/>
      </c>
      <c r="M939" s="1" t="str">
        <f aca="false">IF(Suiza_DE_CN_ID!A289="","",IFERROR(INDEX(Gamma_Catalogo!$C$3:$C$1451,MATCH(Suiza_DE_CN_ID!D289,Gamma_Catalogo!$A$3:$A$1451,0)),"Revisar Ip Code"))</f>
        <v/>
      </c>
      <c r="N939" s="1" t="str">
        <f aca="false">IF(Suiza_DE_CN_ID!A289="","",IFERROR(INDEX(Gamma_Catalogo!$E$3:$E$1451,MATCH(Suiza_DE_CN_ID!D289,Gamma_Catalogo!$A$3:$A$1451,0)),"Revisar Ip Code"))</f>
        <v/>
      </c>
      <c r="O939" s="1" t="str">
        <f aca="false">IF(Suiza_DE_CN_ID!A289="","","Suiza")</f>
        <v/>
      </c>
    </row>
    <row r="940" customFormat="false" ht="15" hidden="false" customHeight="true" outlineLevel="0" collapsed="false">
      <c r="A940" s="1" t="str">
        <f aca="false">IF(Suiza_DE_CN_ID!A290="","",IFERROR(INDEX(Mercados!$C$2:$C$32,MATCH(Suiza_DE_CN_ID!B290,Mercados!$A$2:$A$32,0)),"Revisar Tscode"))</f>
        <v/>
      </c>
      <c r="B940" s="1" t="str">
        <f aca="false">IF(Suiza_DE_CN_ID!A290="","",Suiza_DE_CN_ID!A290)</f>
        <v/>
      </c>
      <c r="C940" s="1" t="str">
        <f aca="false">IF(Suiza_DE_CN_ID!A290="","",Suiza_DE_CN_ID!C290)</f>
        <v/>
      </c>
      <c r="D940" s="1" t="str">
        <f aca="false">IF(Suiza_DE_CN_ID!A290="","",Suiza_DE_CN_ID!D290)</f>
        <v/>
      </c>
      <c r="E940" s="1" t="str">
        <f aca="false">IF(Suiza_DE_CN_ID!A290="","",Suiza_DE_CN_ID!E290)</f>
        <v/>
      </c>
      <c r="F940" s="1" t="str">
        <f aca="false">IF(Suiza_DE_CN_ID!A290="","",Suiza_DE_CN_ID!G290)</f>
        <v/>
      </c>
      <c r="I940" s="1" t="str">
        <f aca="false">IF(Suiza_DE_CN_ID!A290="","",Suiza_DE_CN_ID!H290)</f>
        <v/>
      </c>
      <c r="J940" s="1" t="str">
        <f aca="false">IF(Suiza_DE_CN_ID!A290="","",Suiza_DE_CN_ID!I290)</f>
        <v/>
      </c>
      <c r="K940" s="1" t="str">
        <f aca="false">IF(Suiza_DE_CN_ID!A290="","",UPPER(Suiza_DE_CN_ID!J290))</f>
        <v/>
      </c>
      <c r="L940" s="1" t="str">
        <f aca="false">IF(Suiza_DE_CN_ID!A290="","",IFERROR(INDEX(Gamma_Catalogo!$D$3:$D$1451,MATCH(Suiza_DE_CN_ID!D290,Gamma_Catalogo!$A$3:$A$1451,0)),"Revisar Ip Code"))</f>
        <v/>
      </c>
      <c r="M940" s="1" t="str">
        <f aca="false">IF(Suiza_DE_CN_ID!A290="","",IFERROR(INDEX(Gamma_Catalogo!$C$3:$C$1451,MATCH(Suiza_DE_CN_ID!D290,Gamma_Catalogo!$A$3:$A$1451,0)),"Revisar Ip Code"))</f>
        <v/>
      </c>
      <c r="N940" s="1" t="str">
        <f aca="false">IF(Suiza_DE_CN_ID!A290="","",IFERROR(INDEX(Gamma_Catalogo!$E$3:$E$1451,MATCH(Suiza_DE_CN_ID!D290,Gamma_Catalogo!$A$3:$A$1451,0)),"Revisar Ip Code"))</f>
        <v/>
      </c>
      <c r="O940" s="1" t="str">
        <f aca="false">IF(Suiza_DE_CN_ID!A290="","","Suiza")</f>
        <v/>
      </c>
    </row>
    <row r="941" customFormat="false" ht="15" hidden="false" customHeight="true" outlineLevel="0" collapsed="false">
      <c r="A941" s="1" t="str">
        <f aca="false">IF(Suiza_DE_CN_ID!A291="","",IFERROR(INDEX(Mercados!$C$2:$C$32,MATCH(Suiza_DE_CN_ID!B291,Mercados!$A$2:$A$32,0)),"Revisar Tscode"))</f>
        <v/>
      </c>
      <c r="B941" s="1" t="str">
        <f aca="false">IF(Suiza_DE_CN_ID!A291="","",Suiza_DE_CN_ID!A291)</f>
        <v/>
      </c>
      <c r="C941" s="1" t="str">
        <f aca="false">IF(Suiza_DE_CN_ID!A291="","",Suiza_DE_CN_ID!C291)</f>
        <v/>
      </c>
      <c r="D941" s="1" t="str">
        <f aca="false">IF(Suiza_DE_CN_ID!A291="","",Suiza_DE_CN_ID!D291)</f>
        <v/>
      </c>
      <c r="E941" s="1" t="str">
        <f aca="false">IF(Suiza_DE_CN_ID!A291="","",Suiza_DE_CN_ID!E291)</f>
        <v/>
      </c>
      <c r="F941" s="1" t="str">
        <f aca="false">IF(Suiza_DE_CN_ID!A291="","",Suiza_DE_CN_ID!G291)</f>
        <v/>
      </c>
      <c r="I941" s="1" t="str">
        <f aca="false">IF(Suiza_DE_CN_ID!A291="","",Suiza_DE_CN_ID!H291)</f>
        <v/>
      </c>
      <c r="J941" s="1" t="str">
        <f aca="false">IF(Suiza_DE_CN_ID!A291="","",Suiza_DE_CN_ID!I291)</f>
        <v/>
      </c>
      <c r="K941" s="1" t="str">
        <f aca="false">IF(Suiza_DE_CN_ID!A291="","",UPPER(Suiza_DE_CN_ID!J291))</f>
        <v/>
      </c>
      <c r="L941" s="1" t="str">
        <f aca="false">IF(Suiza_DE_CN_ID!A291="","",IFERROR(INDEX(Gamma_Catalogo!$D$3:$D$1451,MATCH(Suiza_DE_CN_ID!D291,Gamma_Catalogo!$A$3:$A$1451,0)),"Revisar Ip Code"))</f>
        <v/>
      </c>
      <c r="M941" s="1" t="str">
        <f aca="false">IF(Suiza_DE_CN_ID!A291="","",IFERROR(INDEX(Gamma_Catalogo!$C$3:$C$1451,MATCH(Suiza_DE_CN_ID!D291,Gamma_Catalogo!$A$3:$A$1451,0)),"Revisar Ip Code"))</f>
        <v/>
      </c>
      <c r="N941" s="1" t="str">
        <f aca="false">IF(Suiza_DE_CN_ID!A291="","",IFERROR(INDEX(Gamma_Catalogo!$E$3:$E$1451,MATCH(Suiza_DE_CN_ID!D291,Gamma_Catalogo!$A$3:$A$1451,0)),"Revisar Ip Code"))</f>
        <v/>
      </c>
      <c r="O941" s="1" t="str">
        <f aca="false">IF(Suiza_DE_CN_ID!A291="","","Suiza")</f>
        <v/>
      </c>
    </row>
    <row r="942" customFormat="false" ht="15" hidden="false" customHeight="true" outlineLevel="0" collapsed="false">
      <c r="A942" s="1" t="str">
        <f aca="false">IF(Suiza_DE_CN_ID!A292="","",IFERROR(INDEX(Mercados!$C$2:$C$32,MATCH(Suiza_DE_CN_ID!B292,Mercados!$A$2:$A$32,0)),"Revisar Tscode"))</f>
        <v/>
      </c>
      <c r="B942" s="1" t="str">
        <f aca="false">IF(Suiza_DE_CN_ID!A292="","",Suiza_DE_CN_ID!A292)</f>
        <v/>
      </c>
      <c r="C942" s="1" t="str">
        <f aca="false">IF(Suiza_DE_CN_ID!A292="","",Suiza_DE_CN_ID!C292)</f>
        <v/>
      </c>
      <c r="D942" s="1" t="str">
        <f aca="false">IF(Suiza_DE_CN_ID!A292="","",Suiza_DE_CN_ID!D292)</f>
        <v/>
      </c>
      <c r="E942" s="1" t="str">
        <f aca="false">IF(Suiza_DE_CN_ID!A292="","",Suiza_DE_CN_ID!E292)</f>
        <v/>
      </c>
      <c r="F942" s="1" t="str">
        <f aca="false">IF(Suiza_DE_CN_ID!A292="","",Suiza_DE_CN_ID!G292)</f>
        <v/>
      </c>
      <c r="I942" s="1" t="str">
        <f aca="false">IF(Suiza_DE_CN_ID!A292="","",Suiza_DE_CN_ID!H292)</f>
        <v/>
      </c>
      <c r="J942" s="1" t="str">
        <f aca="false">IF(Suiza_DE_CN_ID!A292="","",Suiza_DE_CN_ID!I292)</f>
        <v/>
      </c>
      <c r="K942" s="1" t="str">
        <f aca="false">IF(Suiza_DE_CN_ID!A292="","",UPPER(Suiza_DE_CN_ID!J292))</f>
        <v/>
      </c>
      <c r="L942" s="1" t="str">
        <f aca="false">IF(Suiza_DE_CN_ID!A292="","",IFERROR(INDEX(Gamma_Catalogo!$D$3:$D$1451,MATCH(Suiza_DE_CN_ID!D292,Gamma_Catalogo!$A$3:$A$1451,0)),"Revisar Ip Code"))</f>
        <v/>
      </c>
      <c r="M942" s="1" t="str">
        <f aca="false">IF(Suiza_DE_CN_ID!A292="","",IFERROR(INDEX(Gamma_Catalogo!$C$3:$C$1451,MATCH(Suiza_DE_CN_ID!D292,Gamma_Catalogo!$A$3:$A$1451,0)),"Revisar Ip Code"))</f>
        <v/>
      </c>
      <c r="N942" s="1" t="str">
        <f aca="false">IF(Suiza_DE_CN_ID!A292="","",IFERROR(INDEX(Gamma_Catalogo!$E$3:$E$1451,MATCH(Suiza_DE_CN_ID!D292,Gamma_Catalogo!$A$3:$A$1451,0)),"Revisar Ip Code"))</f>
        <v/>
      </c>
      <c r="O942" s="1" t="str">
        <f aca="false">IF(Suiza_DE_CN_ID!A292="","","Suiza")</f>
        <v/>
      </c>
    </row>
    <row r="943" customFormat="false" ht="15" hidden="false" customHeight="true" outlineLevel="0" collapsed="false">
      <c r="A943" s="1" t="str">
        <f aca="false">IF(Suiza_DE_CN_ID!A293="","",IFERROR(INDEX(Mercados!$C$2:$C$32,MATCH(Suiza_DE_CN_ID!B293,Mercados!$A$2:$A$32,0)),"Revisar Tscode"))</f>
        <v/>
      </c>
      <c r="B943" s="1" t="str">
        <f aca="false">IF(Suiza_DE_CN_ID!A293="","",Suiza_DE_CN_ID!A293)</f>
        <v/>
      </c>
      <c r="C943" s="1" t="str">
        <f aca="false">IF(Suiza_DE_CN_ID!A293="","",Suiza_DE_CN_ID!C293)</f>
        <v/>
      </c>
      <c r="D943" s="1" t="str">
        <f aca="false">IF(Suiza_DE_CN_ID!A293="","",Suiza_DE_CN_ID!D293)</f>
        <v/>
      </c>
      <c r="E943" s="1" t="str">
        <f aca="false">IF(Suiza_DE_CN_ID!A293="","",Suiza_DE_CN_ID!E293)</f>
        <v/>
      </c>
      <c r="F943" s="1" t="str">
        <f aca="false">IF(Suiza_DE_CN_ID!A293="","",Suiza_DE_CN_ID!G293)</f>
        <v/>
      </c>
      <c r="I943" s="1" t="str">
        <f aca="false">IF(Suiza_DE_CN_ID!A293="","",Suiza_DE_CN_ID!H293)</f>
        <v/>
      </c>
      <c r="J943" s="1" t="str">
        <f aca="false">IF(Suiza_DE_CN_ID!A293="","",Suiza_DE_CN_ID!I293)</f>
        <v/>
      </c>
      <c r="K943" s="1" t="str">
        <f aca="false">IF(Suiza_DE_CN_ID!A293="","",UPPER(Suiza_DE_CN_ID!J293))</f>
        <v/>
      </c>
      <c r="L943" s="1" t="str">
        <f aca="false">IF(Suiza_DE_CN_ID!A293="","",IFERROR(INDEX(Gamma_Catalogo!$D$3:$D$1451,MATCH(Suiza_DE_CN_ID!D293,Gamma_Catalogo!$A$3:$A$1451,0)),"Revisar Ip Code"))</f>
        <v/>
      </c>
      <c r="M943" s="1" t="str">
        <f aca="false">IF(Suiza_DE_CN_ID!A293="","",IFERROR(INDEX(Gamma_Catalogo!$C$3:$C$1451,MATCH(Suiza_DE_CN_ID!D293,Gamma_Catalogo!$A$3:$A$1451,0)),"Revisar Ip Code"))</f>
        <v/>
      </c>
      <c r="N943" s="1" t="str">
        <f aca="false">IF(Suiza_DE_CN_ID!A293="","",IFERROR(INDEX(Gamma_Catalogo!$E$3:$E$1451,MATCH(Suiza_DE_CN_ID!D293,Gamma_Catalogo!$A$3:$A$1451,0)),"Revisar Ip Code"))</f>
        <v/>
      </c>
      <c r="O943" s="1" t="str">
        <f aca="false">IF(Suiza_DE_CN_ID!A293="","","Suiza")</f>
        <v/>
      </c>
    </row>
    <row r="944" customFormat="false" ht="15" hidden="false" customHeight="true" outlineLevel="0" collapsed="false">
      <c r="A944" s="1" t="str">
        <f aca="false">IF(Suiza_DE_CN_ID!A294="","",IFERROR(INDEX(Mercados!$C$2:$C$32,MATCH(Suiza_DE_CN_ID!B294,Mercados!$A$2:$A$32,0)),"Revisar Tscode"))</f>
        <v/>
      </c>
      <c r="B944" s="1" t="str">
        <f aca="false">IF(Suiza_DE_CN_ID!A294="","",Suiza_DE_CN_ID!A294)</f>
        <v/>
      </c>
      <c r="C944" s="1" t="str">
        <f aca="false">IF(Suiza_DE_CN_ID!A294="","",Suiza_DE_CN_ID!C294)</f>
        <v/>
      </c>
      <c r="D944" s="1" t="str">
        <f aca="false">IF(Suiza_DE_CN_ID!A294="","",Suiza_DE_CN_ID!D294)</f>
        <v/>
      </c>
      <c r="E944" s="1" t="str">
        <f aca="false">IF(Suiza_DE_CN_ID!A294="","",Suiza_DE_CN_ID!E294)</f>
        <v/>
      </c>
      <c r="F944" s="1" t="str">
        <f aca="false">IF(Suiza_DE_CN_ID!A294="","",Suiza_DE_CN_ID!G294)</f>
        <v/>
      </c>
      <c r="I944" s="1" t="str">
        <f aca="false">IF(Suiza_DE_CN_ID!A294="","",Suiza_DE_CN_ID!H294)</f>
        <v/>
      </c>
      <c r="J944" s="1" t="str">
        <f aca="false">IF(Suiza_DE_CN_ID!A294="","",Suiza_DE_CN_ID!I294)</f>
        <v/>
      </c>
      <c r="K944" s="1" t="str">
        <f aca="false">IF(Suiza_DE_CN_ID!A294="","",UPPER(Suiza_DE_CN_ID!J294))</f>
        <v/>
      </c>
      <c r="L944" s="1" t="str">
        <f aca="false">IF(Suiza_DE_CN_ID!A294="","",IFERROR(INDEX(Gamma_Catalogo!$D$3:$D$1451,MATCH(Suiza_DE_CN_ID!D294,Gamma_Catalogo!$A$3:$A$1451,0)),"Revisar Ip Code"))</f>
        <v/>
      </c>
      <c r="M944" s="1" t="str">
        <f aca="false">IF(Suiza_DE_CN_ID!A294="","",IFERROR(INDEX(Gamma_Catalogo!$C$3:$C$1451,MATCH(Suiza_DE_CN_ID!D294,Gamma_Catalogo!$A$3:$A$1451,0)),"Revisar Ip Code"))</f>
        <v/>
      </c>
      <c r="N944" s="1" t="str">
        <f aca="false">IF(Suiza_DE_CN_ID!A294="","",IFERROR(INDEX(Gamma_Catalogo!$E$3:$E$1451,MATCH(Suiza_DE_CN_ID!D294,Gamma_Catalogo!$A$3:$A$1451,0)),"Revisar Ip Code"))</f>
        <v/>
      </c>
      <c r="O944" s="1" t="str">
        <f aca="false">IF(Suiza_DE_CN_ID!A294="","","Suiza")</f>
        <v/>
      </c>
    </row>
    <row r="945" customFormat="false" ht="15" hidden="false" customHeight="true" outlineLevel="0" collapsed="false">
      <c r="A945" s="1" t="str">
        <f aca="false">IF(Suiza_DE_CN_ID!A295="","",IFERROR(INDEX(Mercados!$C$2:$C$32,MATCH(Suiza_DE_CN_ID!B295,Mercados!$A$2:$A$32,0)),"Revisar Tscode"))</f>
        <v/>
      </c>
      <c r="B945" s="1" t="str">
        <f aca="false">IF(Suiza_DE_CN_ID!A295="","",Suiza_DE_CN_ID!A295)</f>
        <v/>
      </c>
      <c r="C945" s="1" t="str">
        <f aca="false">IF(Suiza_DE_CN_ID!A295="","",Suiza_DE_CN_ID!C295)</f>
        <v/>
      </c>
      <c r="D945" s="1" t="str">
        <f aca="false">IF(Suiza_DE_CN_ID!A295="","",Suiza_DE_CN_ID!D295)</f>
        <v/>
      </c>
      <c r="E945" s="1" t="str">
        <f aca="false">IF(Suiza_DE_CN_ID!A295="","",Suiza_DE_CN_ID!E295)</f>
        <v/>
      </c>
      <c r="F945" s="1" t="str">
        <f aca="false">IF(Suiza_DE_CN_ID!A295="","",Suiza_DE_CN_ID!G295)</f>
        <v/>
      </c>
      <c r="I945" s="1" t="str">
        <f aca="false">IF(Suiza_DE_CN_ID!A295="","",Suiza_DE_CN_ID!H295)</f>
        <v/>
      </c>
      <c r="J945" s="1" t="str">
        <f aca="false">IF(Suiza_DE_CN_ID!A295="","",Suiza_DE_CN_ID!I295)</f>
        <v/>
      </c>
      <c r="K945" s="1" t="str">
        <f aca="false">IF(Suiza_DE_CN_ID!A295="","",UPPER(Suiza_DE_CN_ID!J295))</f>
        <v/>
      </c>
      <c r="L945" s="1" t="str">
        <f aca="false">IF(Suiza_DE_CN_ID!A295="","",IFERROR(INDEX(Gamma_Catalogo!$D$3:$D$1451,MATCH(Suiza_DE_CN_ID!D295,Gamma_Catalogo!$A$3:$A$1451,0)),"Revisar Ip Code"))</f>
        <v/>
      </c>
      <c r="M945" s="1" t="str">
        <f aca="false">IF(Suiza_DE_CN_ID!A295="","",IFERROR(INDEX(Gamma_Catalogo!$C$3:$C$1451,MATCH(Suiza_DE_CN_ID!D295,Gamma_Catalogo!$A$3:$A$1451,0)),"Revisar Ip Code"))</f>
        <v/>
      </c>
      <c r="N945" s="1" t="str">
        <f aca="false">IF(Suiza_DE_CN_ID!A295="","",IFERROR(INDEX(Gamma_Catalogo!$E$3:$E$1451,MATCH(Suiza_DE_CN_ID!D295,Gamma_Catalogo!$A$3:$A$1451,0)),"Revisar Ip Code"))</f>
        <v/>
      </c>
      <c r="O945" s="1" t="str">
        <f aca="false">IF(Suiza_DE_CN_ID!A295="","","Suiza")</f>
        <v/>
      </c>
    </row>
    <row r="946" customFormat="false" ht="15" hidden="false" customHeight="true" outlineLevel="0" collapsed="false">
      <c r="A946" s="1" t="str">
        <f aca="false">IF(Suiza_DE_CN_ID!A296="","",IFERROR(INDEX(Mercados!$C$2:$C$32,MATCH(Suiza_DE_CN_ID!B296,Mercados!$A$2:$A$32,0)),"Revisar Tscode"))</f>
        <v/>
      </c>
      <c r="B946" s="1" t="str">
        <f aca="false">IF(Suiza_DE_CN_ID!A296="","",Suiza_DE_CN_ID!A296)</f>
        <v/>
      </c>
      <c r="C946" s="1" t="str">
        <f aca="false">IF(Suiza_DE_CN_ID!A296="","",Suiza_DE_CN_ID!C296)</f>
        <v/>
      </c>
      <c r="D946" s="1" t="str">
        <f aca="false">IF(Suiza_DE_CN_ID!A296="","",Suiza_DE_CN_ID!D296)</f>
        <v/>
      </c>
      <c r="E946" s="1" t="str">
        <f aca="false">IF(Suiza_DE_CN_ID!A296="","",Suiza_DE_CN_ID!E296)</f>
        <v/>
      </c>
      <c r="F946" s="1" t="str">
        <f aca="false">IF(Suiza_DE_CN_ID!A296="","",Suiza_DE_CN_ID!G296)</f>
        <v/>
      </c>
      <c r="I946" s="1" t="str">
        <f aca="false">IF(Suiza_DE_CN_ID!A296="","",Suiza_DE_CN_ID!H296)</f>
        <v/>
      </c>
      <c r="J946" s="1" t="str">
        <f aca="false">IF(Suiza_DE_CN_ID!A296="","",Suiza_DE_CN_ID!I296)</f>
        <v/>
      </c>
      <c r="K946" s="1" t="str">
        <f aca="false">IF(Suiza_DE_CN_ID!A296="","",UPPER(Suiza_DE_CN_ID!J296))</f>
        <v/>
      </c>
      <c r="L946" s="1" t="str">
        <f aca="false">IF(Suiza_DE_CN_ID!A296="","",IFERROR(INDEX(Gamma_Catalogo!$D$3:$D$1451,MATCH(Suiza_DE_CN_ID!D296,Gamma_Catalogo!$A$3:$A$1451,0)),"Revisar Ip Code"))</f>
        <v/>
      </c>
      <c r="M946" s="1" t="str">
        <f aca="false">IF(Suiza_DE_CN_ID!A296="","",IFERROR(INDEX(Gamma_Catalogo!$C$3:$C$1451,MATCH(Suiza_DE_CN_ID!D296,Gamma_Catalogo!$A$3:$A$1451,0)),"Revisar Ip Code"))</f>
        <v/>
      </c>
      <c r="N946" s="1" t="str">
        <f aca="false">IF(Suiza_DE_CN_ID!A296="","",IFERROR(INDEX(Gamma_Catalogo!$E$3:$E$1451,MATCH(Suiza_DE_CN_ID!D296,Gamma_Catalogo!$A$3:$A$1451,0)),"Revisar Ip Code"))</f>
        <v/>
      </c>
      <c r="O946" s="1" t="str">
        <f aca="false">IF(Suiza_DE_CN_ID!A296="","","Suiza")</f>
        <v/>
      </c>
    </row>
    <row r="947" customFormat="false" ht="15" hidden="false" customHeight="true" outlineLevel="0" collapsed="false">
      <c r="A947" s="1" t="str">
        <f aca="false">IF(Suiza_DE_CN_ID!A297="","",IFERROR(INDEX(Mercados!$C$2:$C$32,MATCH(Suiza_DE_CN_ID!B297,Mercados!$A$2:$A$32,0)),"Revisar Tscode"))</f>
        <v/>
      </c>
      <c r="B947" s="1" t="str">
        <f aca="false">IF(Suiza_DE_CN_ID!A297="","",Suiza_DE_CN_ID!A297)</f>
        <v/>
      </c>
      <c r="C947" s="1" t="str">
        <f aca="false">IF(Suiza_DE_CN_ID!A297="","",Suiza_DE_CN_ID!C297)</f>
        <v/>
      </c>
      <c r="D947" s="1" t="str">
        <f aca="false">IF(Suiza_DE_CN_ID!A297="","",Suiza_DE_CN_ID!D297)</f>
        <v/>
      </c>
      <c r="E947" s="1" t="str">
        <f aca="false">IF(Suiza_DE_CN_ID!A297="","",Suiza_DE_CN_ID!E297)</f>
        <v/>
      </c>
      <c r="F947" s="1" t="str">
        <f aca="false">IF(Suiza_DE_CN_ID!A297="","",Suiza_DE_CN_ID!G297)</f>
        <v/>
      </c>
      <c r="I947" s="1" t="str">
        <f aca="false">IF(Suiza_DE_CN_ID!A297="","",Suiza_DE_CN_ID!H297)</f>
        <v/>
      </c>
      <c r="J947" s="1" t="str">
        <f aca="false">IF(Suiza_DE_CN_ID!A297="","",Suiza_DE_CN_ID!I297)</f>
        <v/>
      </c>
      <c r="K947" s="1" t="str">
        <f aca="false">IF(Suiza_DE_CN_ID!A297="","",UPPER(Suiza_DE_CN_ID!J297))</f>
        <v/>
      </c>
      <c r="L947" s="1" t="str">
        <f aca="false">IF(Suiza_DE_CN_ID!A297="","",IFERROR(INDEX(Gamma_Catalogo!$D$3:$D$1451,MATCH(Suiza_DE_CN_ID!D297,Gamma_Catalogo!$A$3:$A$1451,0)),"Revisar Ip Code"))</f>
        <v/>
      </c>
      <c r="M947" s="1" t="str">
        <f aca="false">IF(Suiza_DE_CN_ID!A297="","",IFERROR(INDEX(Gamma_Catalogo!$C$3:$C$1451,MATCH(Suiza_DE_CN_ID!D297,Gamma_Catalogo!$A$3:$A$1451,0)),"Revisar Ip Code"))</f>
        <v/>
      </c>
      <c r="N947" s="1" t="str">
        <f aca="false">IF(Suiza_DE_CN_ID!A297="","",IFERROR(INDEX(Gamma_Catalogo!$E$3:$E$1451,MATCH(Suiza_DE_CN_ID!D297,Gamma_Catalogo!$A$3:$A$1451,0)),"Revisar Ip Code"))</f>
        <v/>
      </c>
      <c r="O947" s="1" t="str">
        <f aca="false">IF(Suiza_DE_CN_ID!A297="","","Suiza")</f>
        <v/>
      </c>
    </row>
    <row r="948" customFormat="false" ht="15" hidden="false" customHeight="true" outlineLevel="0" collapsed="false">
      <c r="A948" s="1" t="str">
        <f aca="false">IF(Suiza_DE_CN_ID!A298="","",IFERROR(INDEX(Mercados!$C$2:$C$32,MATCH(Suiza_DE_CN_ID!B298,Mercados!$A$2:$A$32,0)),"Revisar Tscode"))</f>
        <v/>
      </c>
      <c r="B948" s="1" t="str">
        <f aca="false">IF(Suiza_DE_CN_ID!A298="","",Suiza_DE_CN_ID!A298)</f>
        <v/>
      </c>
      <c r="C948" s="1" t="str">
        <f aca="false">IF(Suiza_DE_CN_ID!A298="","",Suiza_DE_CN_ID!C298)</f>
        <v/>
      </c>
      <c r="D948" s="1" t="str">
        <f aca="false">IF(Suiza_DE_CN_ID!A298="","",Suiza_DE_CN_ID!D298)</f>
        <v/>
      </c>
      <c r="E948" s="1" t="str">
        <f aca="false">IF(Suiza_DE_CN_ID!A298="","",Suiza_DE_CN_ID!E298)</f>
        <v/>
      </c>
      <c r="F948" s="1" t="str">
        <f aca="false">IF(Suiza_DE_CN_ID!A298="","",Suiza_DE_CN_ID!G298)</f>
        <v/>
      </c>
      <c r="I948" s="1" t="str">
        <f aca="false">IF(Suiza_DE_CN_ID!A298="","",Suiza_DE_CN_ID!H298)</f>
        <v/>
      </c>
      <c r="J948" s="1" t="str">
        <f aca="false">IF(Suiza_DE_CN_ID!A298="","",Suiza_DE_CN_ID!I298)</f>
        <v/>
      </c>
      <c r="K948" s="1" t="str">
        <f aca="false">IF(Suiza_DE_CN_ID!A298="","",UPPER(Suiza_DE_CN_ID!J298))</f>
        <v/>
      </c>
      <c r="L948" s="1" t="str">
        <f aca="false">IF(Suiza_DE_CN_ID!A298="","",IFERROR(INDEX(Gamma_Catalogo!$D$3:$D$1451,MATCH(Suiza_DE_CN_ID!D298,Gamma_Catalogo!$A$3:$A$1451,0)),"Revisar Ip Code"))</f>
        <v/>
      </c>
      <c r="M948" s="1" t="str">
        <f aca="false">IF(Suiza_DE_CN_ID!A298="","",IFERROR(INDEX(Gamma_Catalogo!$C$3:$C$1451,MATCH(Suiza_DE_CN_ID!D298,Gamma_Catalogo!$A$3:$A$1451,0)),"Revisar Ip Code"))</f>
        <v/>
      </c>
      <c r="N948" s="1" t="str">
        <f aca="false">IF(Suiza_DE_CN_ID!A298="","",IFERROR(INDEX(Gamma_Catalogo!$E$3:$E$1451,MATCH(Suiza_DE_CN_ID!D298,Gamma_Catalogo!$A$3:$A$1451,0)),"Revisar Ip Code"))</f>
        <v/>
      </c>
      <c r="O948" s="1" t="str">
        <f aca="false">IF(Suiza_DE_CN_ID!A298="","","Suiza")</f>
        <v/>
      </c>
    </row>
    <row r="949" customFormat="false" ht="15" hidden="false" customHeight="true" outlineLevel="0" collapsed="false">
      <c r="A949" s="1" t="str">
        <f aca="false">IF(Suiza_DE_CN_ID!A299="","",IFERROR(INDEX(Mercados!$C$2:$C$32,MATCH(Suiza_DE_CN_ID!B299,Mercados!$A$2:$A$32,0)),"Revisar Tscode"))</f>
        <v/>
      </c>
      <c r="B949" s="1" t="str">
        <f aca="false">IF(Suiza_DE_CN_ID!A299="","",Suiza_DE_CN_ID!A299)</f>
        <v/>
      </c>
      <c r="C949" s="1" t="str">
        <f aca="false">IF(Suiza_DE_CN_ID!A299="","",Suiza_DE_CN_ID!C299)</f>
        <v/>
      </c>
      <c r="D949" s="1" t="str">
        <f aca="false">IF(Suiza_DE_CN_ID!A299="","",Suiza_DE_CN_ID!D299)</f>
        <v/>
      </c>
      <c r="E949" s="1" t="str">
        <f aca="false">IF(Suiza_DE_CN_ID!A299="","",Suiza_DE_CN_ID!E299)</f>
        <v/>
      </c>
      <c r="F949" s="1" t="str">
        <f aca="false">IF(Suiza_DE_CN_ID!A299="","",Suiza_DE_CN_ID!G299)</f>
        <v/>
      </c>
      <c r="I949" s="1" t="str">
        <f aca="false">IF(Suiza_DE_CN_ID!A299="","",Suiza_DE_CN_ID!H299)</f>
        <v/>
      </c>
      <c r="J949" s="1" t="str">
        <f aca="false">IF(Suiza_DE_CN_ID!A299="","",Suiza_DE_CN_ID!I299)</f>
        <v/>
      </c>
      <c r="K949" s="1" t="str">
        <f aca="false">IF(Suiza_DE_CN_ID!A299="","",UPPER(Suiza_DE_CN_ID!J299))</f>
        <v/>
      </c>
      <c r="L949" s="1" t="str">
        <f aca="false">IF(Suiza_DE_CN_ID!A299="","",IFERROR(INDEX(Gamma_Catalogo!$D$3:$D$1451,MATCH(Suiza_DE_CN_ID!D299,Gamma_Catalogo!$A$3:$A$1451,0)),"Revisar Ip Code"))</f>
        <v/>
      </c>
      <c r="M949" s="1" t="str">
        <f aca="false">IF(Suiza_DE_CN_ID!A299="","",IFERROR(INDEX(Gamma_Catalogo!$C$3:$C$1451,MATCH(Suiza_DE_CN_ID!D299,Gamma_Catalogo!$A$3:$A$1451,0)),"Revisar Ip Code"))</f>
        <v/>
      </c>
      <c r="N949" s="1" t="str">
        <f aca="false">IF(Suiza_DE_CN_ID!A299="","",IFERROR(INDEX(Gamma_Catalogo!$E$3:$E$1451,MATCH(Suiza_DE_CN_ID!D299,Gamma_Catalogo!$A$3:$A$1451,0)),"Revisar Ip Code"))</f>
        <v/>
      </c>
      <c r="O949" s="1" t="str">
        <f aca="false">IF(Suiza_DE_CN_ID!A299="","","Suiza")</f>
        <v/>
      </c>
    </row>
    <row r="950" customFormat="false" ht="15" hidden="false" customHeight="true" outlineLevel="0" collapsed="false">
      <c r="A950" s="1" t="str">
        <f aca="false">IF(Suiza_DE_CN_ID!A300="","",IFERROR(INDEX(Mercados!$C$2:$C$32,MATCH(Suiza_DE_CN_ID!B300,Mercados!$A$2:$A$32,0)),"Revisar Tscode"))</f>
        <v/>
      </c>
      <c r="B950" s="1" t="str">
        <f aca="false">IF(Suiza_DE_CN_ID!A300="","",Suiza_DE_CN_ID!A300)</f>
        <v/>
      </c>
      <c r="C950" s="1" t="str">
        <f aca="false">IF(Suiza_DE_CN_ID!A300="","",Suiza_DE_CN_ID!C300)</f>
        <v/>
      </c>
      <c r="D950" s="1" t="str">
        <f aca="false">IF(Suiza_DE_CN_ID!A300="","",Suiza_DE_CN_ID!D300)</f>
        <v/>
      </c>
      <c r="E950" s="1" t="str">
        <f aca="false">IF(Suiza_DE_CN_ID!A300="","",Suiza_DE_CN_ID!E300)</f>
        <v/>
      </c>
      <c r="F950" s="1" t="str">
        <f aca="false">IF(Suiza_DE_CN_ID!A300="","",Suiza_DE_CN_ID!G300)</f>
        <v/>
      </c>
      <c r="I950" s="1" t="str">
        <f aca="false">IF(Suiza_DE_CN_ID!A300="","",Suiza_DE_CN_ID!H300)</f>
        <v/>
      </c>
      <c r="J950" s="1" t="str">
        <f aca="false">IF(Suiza_DE_CN_ID!A300="","",Suiza_DE_CN_ID!I300)</f>
        <v/>
      </c>
      <c r="K950" s="1" t="str">
        <f aca="false">IF(Suiza_DE_CN_ID!A300="","",UPPER(Suiza_DE_CN_ID!J300))</f>
        <v/>
      </c>
      <c r="L950" s="1" t="str">
        <f aca="false">IF(Suiza_DE_CN_ID!A300="","",IFERROR(INDEX(Gamma_Catalogo!$D$3:$D$1451,MATCH(Suiza_DE_CN_ID!D300,Gamma_Catalogo!$A$3:$A$1451,0)),"Revisar Ip Code"))</f>
        <v/>
      </c>
      <c r="M950" s="1" t="str">
        <f aca="false">IF(Suiza_DE_CN_ID!A300="","",IFERROR(INDEX(Gamma_Catalogo!$C$3:$C$1451,MATCH(Suiza_DE_CN_ID!D300,Gamma_Catalogo!$A$3:$A$1451,0)),"Revisar Ip Code"))</f>
        <v/>
      </c>
      <c r="N950" s="1" t="str">
        <f aca="false">IF(Suiza_DE_CN_ID!A300="","",IFERROR(INDEX(Gamma_Catalogo!$E$3:$E$1451,MATCH(Suiza_DE_CN_ID!D300,Gamma_Catalogo!$A$3:$A$1451,0)),"Revisar Ip Code"))</f>
        <v/>
      </c>
      <c r="O950" s="1" t="str">
        <f aca="false">IF(Suiza_DE_CN_ID!A300="","","Suiza")</f>
        <v/>
      </c>
    </row>
    <row r="951" customFormat="false" ht="15" hidden="false" customHeight="true" outlineLevel="0" collapsed="false">
      <c r="A951" s="1" t="str">
        <f aca="false">IF(Suiza_DE_CN_ID!A301="","",IFERROR(INDEX(Mercados!$C$2:$C$32,MATCH(Suiza_DE_CN_ID!B301,Mercados!$A$2:$A$32,0)),"Revisar Tscode"))</f>
        <v/>
      </c>
      <c r="B951" s="1" t="str">
        <f aca="false">IF(Suiza_DE_CN_ID!A301="","",Suiza_DE_CN_ID!A301)</f>
        <v/>
      </c>
      <c r="C951" s="1" t="str">
        <f aca="false">IF(Suiza_DE_CN_ID!A301="","",Suiza_DE_CN_ID!C301)</f>
        <v/>
      </c>
      <c r="D951" s="1" t="str">
        <f aca="false">IF(Suiza_DE_CN_ID!A301="","",Suiza_DE_CN_ID!D301)</f>
        <v/>
      </c>
      <c r="E951" s="1" t="str">
        <f aca="false">IF(Suiza_DE_CN_ID!A301="","",Suiza_DE_CN_ID!E301)</f>
        <v/>
      </c>
      <c r="F951" s="1" t="str">
        <f aca="false">IF(Suiza_DE_CN_ID!A301="","",Suiza_DE_CN_ID!G301)</f>
        <v/>
      </c>
      <c r="I951" s="1" t="str">
        <f aca="false">IF(Suiza_DE_CN_ID!A301="","",Suiza_DE_CN_ID!H301)</f>
        <v/>
      </c>
      <c r="J951" s="1" t="str">
        <f aca="false">IF(Suiza_DE_CN_ID!A301="","",Suiza_DE_CN_ID!I301)</f>
        <v/>
      </c>
      <c r="K951" s="1" t="str">
        <f aca="false">IF(Suiza_DE_CN_ID!A301="","",UPPER(Suiza_DE_CN_ID!J301))</f>
        <v/>
      </c>
      <c r="L951" s="1" t="str">
        <f aca="false">IF(Suiza_DE_CN_ID!A301="","",IFERROR(INDEX(Gamma_Catalogo!$D$3:$D$1451,MATCH(Suiza_DE_CN_ID!D301,Gamma_Catalogo!$A$3:$A$1451,0)),"Revisar Ip Code"))</f>
        <v/>
      </c>
      <c r="M951" s="1" t="str">
        <f aca="false">IF(Suiza_DE_CN_ID!A301="","",IFERROR(INDEX(Gamma_Catalogo!$C$3:$C$1451,MATCH(Suiza_DE_CN_ID!D301,Gamma_Catalogo!$A$3:$A$1451,0)),"Revisar Ip Code"))</f>
        <v/>
      </c>
      <c r="N951" s="1" t="str">
        <f aca="false">IF(Suiza_DE_CN_ID!A301="","",IFERROR(INDEX(Gamma_Catalogo!$E$3:$E$1451,MATCH(Suiza_DE_CN_ID!D301,Gamma_Catalogo!$A$3:$A$1451,0)),"Revisar Ip Code"))</f>
        <v/>
      </c>
      <c r="O951" s="1" t="str">
        <f aca="false">IF(Suiza_DE_CN_ID!A301="","","Suiza")</f>
        <v/>
      </c>
    </row>
    <row r="952" customFormat="false" ht="15" hidden="false" customHeight="true" outlineLevel="0" collapsed="false">
      <c r="A952" s="1" t="str">
        <f aca="false">IF(Suiza_DE_CN_ID!A302="","",IFERROR(INDEX(Mercados!$C$2:$C$32,MATCH(Suiza_DE_CN_ID!B302,Mercados!$A$2:$A$32,0)),"Revisar Tscode"))</f>
        <v/>
      </c>
      <c r="B952" s="1" t="str">
        <f aca="false">IF(Suiza_DE_CN_ID!A302="","",Suiza_DE_CN_ID!A302)</f>
        <v/>
      </c>
      <c r="C952" s="1" t="str">
        <f aca="false">IF(Suiza_DE_CN_ID!A302="","",Suiza_DE_CN_ID!C302)</f>
        <v/>
      </c>
      <c r="D952" s="1" t="str">
        <f aca="false">IF(Suiza_DE_CN_ID!A302="","",Suiza_DE_CN_ID!D302)</f>
        <v/>
      </c>
      <c r="E952" s="1" t="str">
        <f aca="false">IF(Suiza_DE_CN_ID!A302="","",Suiza_DE_CN_ID!E302)</f>
        <v/>
      </c>
      <c r="F952" s="1" t="str">
        <f aca="false">IF(Suiza_DE_CN_ID!A302="","",Suiza_DE_CN_ID!G302)</f>
        <v/>
      </c>
      <c r="I952" s="1" t="str">
        <f aca="false">IF(Suiza_DE_CN_ID!A302="","",Suiza_DE_CN_ID!H302)</f>
        <v/>
      </c>
      <c r="J952" s="1" t="str">
        <f aca="false">IF(Suiza_DE_CN_ID!A302="","",Suiza_DE_CN_ID!I302)</f>
        <v/>
      </c>
      <c r="K952" s="1" t="str">
        <f aca="false">IF(Suiza_DE_CN_ID!A302="","",UPPER(Suiza_DE_CN_ID!J302))</f>
        <v/>
      </c>
      <c r="L952" s="1" t="str">
        <f aca="false">IF(Suiza_DE_CN_ID!A302="","",IFERROR(INDEX(Gamma_Catalogo!$D$3:$D$1451,MATCH(Suiza_DE_CN_ID!D302,Gamma_Catalogo!$A$3:$A$1451,0)),"Revisar Ip Code"))</f>
        <v/>
      </c>
      <c r="M952" s="1" t="str">
        <f aca="false">IF(Suiza_DE_CN_ID!A302="","",IFERROR(INDEX(Gamma_Catalogo!$C$3:$C$1451,MATCH(Suiza_DE_CN_ID!D302,Gamma_Catalogo!$A$3:$A$1451,0)),"Revisar Ip Code"))</f>
        <v/>
      </c>
      <c r="N952" s="1" t="str">
        <f aca="false">IF(Suiza_DE_CN_ID!A302="","",IFERROR(INDEX(Gamma_Catalogo!$E$3:$E$1451,MATCH(Suiza_DE_CN_ID!D302,Gamma_Catalogo!$A$3:$A$1451,0)),"Revisar Ip Code"))</f>
        <v/>
      </c>
      <c r="O952" s="1" t="str">
        <f aca="false">IF(Suiza_DE_CN_ID!A302="","","Suiza")</f>
        <v/>
      </c>
    </row>
    <row r="953" customFormat="false" ht="15" hidden="false" customHeight="true" outlineLevel="0" collapsed="false">
      <c r="A953" s="1" t="str">
        <f aca="false">IF(Suiza_DE_CN_ID!A303="","",IFERROR(INDEX(Mercados!$C$2:$C$32,MATCH(Suiza_DE_CN_ID!B303,Mercados!$A$2:$A$32,0)),"Revisar Tscode"))</f>
        <v/>
      </c>
      <c r="B953" s="1" t="str">
        <f aca="false">IF(Suiza_DE_CN_ID!A303="","",Suiza_DE_CN_ID!A303)</f>
        <v/>
      </c>
      <c r="C953" s="1" t="str">
        <f aca="false">IF(Suiza_DE_CN_ID!A303="","",Suiza_DE_CN_ID!C303)</f>
        <v/>
      </c>
      <c r="D953" s="1" t="str">
        <f aca="false">IF(Suiza_DE_CN_ID!A303="","",Suiza_DE_CN_ID!D303)</f>
        <v/>
      </c>
      <c r="E953" s="1" t="str">
        <f aca="false">IF(Suiza_DE_CN_ID!A303="","",Suiza_DE_CN_ID!E303)</f>
        <v/>
      </c>
      <c r="F953" s="1" t="str">
        <f aca="false">IF(Suiza_DE_CN_ID!A303="","",Suiza_DE_CN_ID!G303)</f>
        <v/>
      </c>
      <c r="I953" s="1" t="str">
        <f aca="false">IF(Suiza_DE_CN_ID!A303="","",Suiza_DE_CN_ID!H303)</f>
        <v/>
      </c>
      <c r="J953" s="1" t="str">
        <f aca="false">IF(Suiza_DE_CN_ID!A303="","",Suiza_DE_CN_ID!I303)</f>
        <v/>
      </c>
      <c r="K953" s="1" t="str">
        <f aca="false">IF(Suiza_DE_CN_ID!A303="","",UPPER(Suiza_DE_CN_ID!J303))</f>
        <v/>
      </c>
      <c r="L953" s="1" t="str">
        <f aca="false">IF(Suiza_DE_CN_ID!A303="","",IFERROR(INDEX(Gamma_Catalogo!$D$3:$D$1451,MATCH(Suiza_DE_CN_ID!D303,Gamma_Catalogo!$A$3:$A$1451,0)),"Revisar Ip Code"))</f>
        <v/>
      </c>
      <c r="M953" s="1" t="str">
        <f aca="false">IF(Suiza_DE_CN_ID!A303="","",IFERROR(INDEX(Gamma_Catalogo!$C$3:$C$1451,MATCH(Suiza_DE_CN_ID!D303,Gamma_Catalogo!$A$3:$A$1451,0)),"Revisar Ip Code"))</f>
        <v/>
      </c>
      <c r="N953" s="1" t="str">
        <f aca="false">IF(Suiza_DE_CN_ID!A303="","",IFERROR(INDEX(Gamma_Catalogo!$E$3:$E$1451,MATCH(Suiza_DE_CN_ID!D303,Gamma_Catalogo!$A$3:$A$1451,0)),"Revisar Ip Code"))</f>
        <v/>
      </c>
      <c r="O953" s="1" t="str">
        <f aca="false">IF(Suiza_DE_CN_ID!A303="","","Suiza")</f>
        <v/>
      </c>
    </row>
    <row r="954" customFormat="false" ht="15" hidden="false" customHeight="true" outlineLevel="0" collapsed="false">
      <c r="A954" s="1" t="str">
        <f aca="false">IF(Suiza_DE_CN_ID!A304="","",IFERROR(INDEX(Mercados!$C$2:$C$32,MATCH(Suiza_DE_CN_ID!B304,Mercados!$A$2:$A$32,0)),"Revisar Tscode"))</f>
        <v/>
      </c>
      <c r="B954" s="1" t="str">
        <f aca="false">IF(Suiza_DE_CN_ID!A304="","",Suiza_DE_CN_ID!A304)</f>
        <v/>
      </c>
      <c r="C954" s="1" t="str">
        <f aca="false">IF(Suiza_DE_CN_ID!A304="","",Suiza_DE_CN_ID!C304)</f>
        <v/>
      </c>
      <c r="D954" s="1" t="str">
        <f aca="false">IF(Suiza_DE_CN_ID!A304="","",Suiza_DE_CN_ID!D304)</f>
        <v/>
      </c>
      <c r="E954" s="1" t="str">
        <f aca="false">IF(Suiza_DE_CN_ID!A304="","",Suiza_DE_CN_ID!E304)</f>
        <v/>
      </c>
      <c r="F954" s="1" t="str">
        <f aca="false">IF(Suiza_DE_CN_ID!A304="","",Suiza_DE_CN_ID!G304)</f>
        <v/>
      </c>
      <c r="I954" s="1" t="str">
        <f aca="false">IF(Suiza_DE_CN_ID!A304="","",Suiza_DE_CN_ID!H304)</f>
        <v/>
      </c>
      <c r="J954" s="1" t="str">
        <f aca="false">IF(Suiza_DE_CN_ID!A304="","",Suiza_DE_CN_ID!I304)</f>
        <v/>
      </c>
      <c r="K954" s="1" t="str">
        <f aca="false">IF(Suiza_DE_CN_ID!A304="","",UPPER(Suiza_DE_CN_ID!J304))</f>
        <v/>
      </c>
      <c r="L954" s="1" t="str">
        <f aca="false">IF(Suiza_DE_CN_ID!A304="","",IFERROR(INDEX(Gamma_Catalogo!$D$3:$D$1451,MATCH(Suiza_DE_CN_ID!D304,Gamma_Catalogo!$A$3:$A$1451,0)),"Revisar Ip Code"))</f>
        <v/>
      </c>
      <c r="M954" s="1" t="str">
        <f aca="false">IF(Suiza_DE_CN_ID!A304="","",IFERROR(INDEX(Gamma_Catalogo!$C$3:$C$1451,MATCH(Suiza_DE_CN_ID!D304,Gamma_Catalogo!$A$3:$A$1451,0)),"Revisar Ip Code"))</f>
        <v/>
      </c>
      <c r="N954" s="1" t="str">
        <f aca="false">IF(Suiza_DE_CN_ID!A304="","",IFERROR(INDEX(Gamma_Catalogo!$E$3:$E$1451,MATCH(Suiza_DE_CN_ID!D304,Gamma_Catalogo!$A$3:$A$1451,0)),"Revisar Ip Code"))</f>
        <v/>
      </c>
      <c r="O954" s="1" t="str">
        <f aca="false">IF(Suiza_DE_CN_ID!A304="","","Suiza")</f>
        <v/>
      </c>
    </row>
    <row r="955" customFormat="false" ht="15" hidden="false" customHeight="true" outlineLevel="0" collapsed="false">
      <c r="A955" s="1" t="str">
        <f aca="false">IF(Suiza_DE_CN_ID!A305="","",IFERROR(INDEX(Mercados!$C$2:$C$32,MATCH(Suiza_DE_CN_ID!B305,Mercados!$A$2:$A$32,0)),"Revisar Tscode"))</f>
        <v/>
      </c>
      <c r="B955" s="1" t="str">
        <f aca="false">IF(Suiza_DE_CN_ID!A305="","",Suiza_DE_CN_ID!A305)</f>
        <v/>
      </c>
      <c r="C955" s="1" t="str">
        <f aca="false">IF(Suiza_DE_CN_ID!A305="","",Suiza_DE_CN_ID!C305)</f>
        <v/>
      </c>
      <c r="D955" s="1" t="str">
        <f aca="false">IF(Suiza_DE_CN_ID!A305="","",Suiza_DE_CN_ID!D305)</f>
        <v/>
      </c>
      <c r="E955" s="1" t="str">
        <f aca="false">IF(Suiza_DE_CN_ID!A305="","",Suiza_DE_CN_ID!E305)</f>
        <v/>
      </c>
      <c r="F955" s="1" t="str">
        <f aca="false">IF(Suiza_DE_CN_ID!A305="","",Suiza_DE_CN_ID!G305)</f>
        <v/>
      </c>
      <c r="I955" s="1" t="str">
        <f aca="false">IF(Suiza_DE_CN_ID!A305="","",Suiza_DE_CN_ID!H305)</f>
        <v/>
      </c>
      <c r="J955" s="1" t="str">
        <f aca="false">IF(Suiza_DE_CN_ID!A305="","",Suiza_DE_CN_ID!I305)</f>
        <v/>
      </c>
      <c r="K955" s="1" t="str">
        <f aca="false">IF(Suiza_DE_CN_ID!A305="","",UPPER(Suiza_DE_CN_ID!J305))</f>
        <v/>
      </c>
      <c r="L955" s="1" t="str">
        <f aca="false">IF(Suiza_DE_CN_ID!A305="","",IFERROR(INDEX(Gamma_Catalogo!$D$3:$D$1451,MATCH(Suiza_DE_CN_ID!D305,Gamma_Catalogo!$A$3:$A$1451,0)),"Revisar Ip Code"))</f>
        <v/>
      </c>
      <c r="M955" s="1" t="str">
        <f aca="false">IF(Suiza_DE_CN_ID!A305="","",IFERROR(INDEX(Gamma_Catalogo!$C$3:$C$1451,MATCH(Suiza_DE_CN_ID!D305,Gamma_Catalogo!$A$3:$A$1451,0)),"Revisar Ip Code"))</f>
        <v/>
      </c>
      <c r="N955" s="1" t="str">
        <f aca="false">IF(Suiza_DE_CN_ID!A305="","",IFERROR(INDEX(Gamma_Catalogo!$E$3:$E$1451,MATCH(Suiza_DE_CN_ID!D305,Gamma_Catalogo!$A$3:$A$1451,0)),"Revisar Ip Code"))</f>
        <v/>
      </c>
      <c r="O955" s="1" t="str">
        <f aca="false">IF(Suiza_DE_CN_ID!A305="","","Suiza")</f>
        <v/>
      </c>
    </row>
    <row r="956" customFormat="false" ht="15" hidden="false" customHeight="true" outlineLevel="0" collapsed="false">
      <c r="A956" s="1" t="str">
        <f aca="false">IF(Suiza_DE_CN_ID!A306="","",IFERROR(INDEX(Mercados!$C$2:$C$32,MATCH(Suiza_DE_CN_ID!B306,Mercados!$A$2:$A$32,0)),"Revisar Tscode"))</f>
        <v/>
      </c>
      <c r="B956" s="1" t="str">
        <f aca="false">IF(Suiza_DE_CN_ID!A306="","",Suiza_DE_CN_ID!A306)</f>
        <v/>
      </c>
      <c r="C956" s="1" t="str">
        <f aca="false">IF(Suiza_DE_CN_ID!A306="","",Suiza_DE_CN_ID!C306)</f>
        <v/>
      </c>
      <c r="D956" s="1" t="str">
        <f aca="false">IF(Suiza_DE_CN_ID!A306="","",Suiza_DE_CN_ID!D306)</f>
        <v/>
      </c>
      <c r="E956" s="1" t="str">
        <f aca="false">IF(Suiza_DE_CN_ID!A306="","",Suiza_DE_CN_ID!E306)</f>
        <v/>
      </c>
      <c r="F956" s="1" t="str">
        <f aca="false">IF(Suiza_DE_CN_ID!A306="","",Suiza_DE_CN_ID!G306)</f>
        <v/>
      </c>
      <c r="I956" s="1" t="str">
        <f aca="false">IF(Suiza_DE_CN_ID!A306="","",Suiza_DE_CN_ID!H306)</f>
        <v/>
      </c>
      <c r="J956" s="1" t="str">
        <f aca="false">IF(Suiza_DE_CN_ID!A306="","",Suiza_DE_CN_ID!I306)</f>
        <v/>
      </c>
      <c r="K956" s="1" t="str">
        <f aca="false">IF(Suiza_DE_CN_ID!A306="","",UPPER(Suiza_DE_CN_ID!J306))</f>
        <v/>
      </c>
      <c r="L956" s="1" t="str">
        <f aca="false">IF(Suiza_DE_CN_ID!A306="","",IFERROR(INDEX(Gamma_Catalogo!$D$3:$D$1451,MATCH(Suiza_DE_CN_ID!D306,Gamma_Catalogo!$A$3:$A$1451,0)),"Revisar Ip Code"))</f>
        <v/>
      </c>
      <c r="M956" s="1" t="str">
        <f aca="false">IF(Suiza_DE_CN_ID!A306="","",IFERROR(INDEX(Gamma_Catalogo!$C$3:$C$1451,MATCH(Suiza_DE_CN_ID!D306,Gamma_Catalogo!$A$3:$A$1451,0)),"Revisar Ip Code"))</f>
        <v/>
      </c>
      <c r="N956" s="1" t="str">
        <f aca="false">IF(Suiza_DE_CN_ID!A306="","",IFERROR(INDEX(Gamma_Catalogo!$E$3:$E$1451,MATCH(Suiza_DE_CN_ID!D306,Gamma_Catalogo!$A$3:$A$1451,0)),"Revisar Ip Code"))</f>
        <v/>
      </c>
      <c r="O956" s="1" t="str">
        <f aca="false">IF(Suiza_DE_CN_ID!A306="","","Suiza")</f>
        <v/>
      </c>
    </row>
    <row r="957" customFormat="false" ht="15" hidden="false" customHeight="true" outlineLevel="0" collapsed="false">
      <c r="A957" s="1" t="str">
        <f aca="false">IF(Suiza_DE_CN_ID!A307="","",IFERROR(INDEX(Mercados!$C$2:$C$32,MATCH(Suiza_DE_CN_ID!B307,Mercados!$A$2:$A$32,0)),"Revisar Tscode"))</f>
        <v/>
      </c>
      <c r="B957" s="1" t="str">
        <f aca="false">IF(Suiza_DE_CN_ID!A307="","",Suiza_DE_CN_ID!A307)</f>
        <v/>
      </c>
      <c r="C957" s="1" t="str">
        <f aca="false">IF(Suiza_DE_CN_ID!A307="","",Suiza_DE_CN_ID!C307)</f>
        <v/>
      </c>
      <c r="D957" s="1" t="str">
        <f aca="false">IF(Suiza_DE_CN_ID!A307="","",Suiza_DE_CN_ID!D307)</f>
        <v/>
      </c>
      <c r="E957" s="1" t="str">
        <f aca="false">IF(Suiza_DE_CN_ID!A307="","",Suiza_DE_CN_ID!E307)</f>
        <v/>
      </c>
      <c r="F957" s="1" t="str">
        <f aca="false">IF(Suiza_DE_CN_ID!A307="","",Suiza_DE_CN_ID!G307)</f>
        <v/>
      </c>
      <c r="I957" s="1" t="str">
        <f aca="false">IF(Suiza_DE_CN_ID!A307="","",Suiza_DE_CN_ID!H307)</f>
        <v/>
      </c>
      <c r="J957" s="1" t="str">
        <f aca="false">IF(Suiza_DE_CN_ID!A307="","",Suiza_DE_CN_ID!I307)</f>
        <v/>
      </c>
      <c r="K957" s="1" t="str">
        <f aca="false">IF(Suiza_DE_CN_ID!A307="","",UPPER(Suiza_DE_CN_ID!J307))</f>
        <v/>
      </c>
      <c r="L957" s="1" t="str">
        <f aca="false">IF(Suiza_DE_CN_ID!A307="","",IFERROR(INDEX(Gamma_Catalogo!$D$3:$D$1451,MATCH(Suiza_DE_CN_ID!D307,Gamma_Catalogo!$A$3:$A$1451,0)),"Revisar Ip Code"))</f>
        <v/>
      </c>
      <c r="M957" s="1" t="str">
        <f aca="false">IF(Suiza_DE_CN_ID!A307="","",IFERROR(INDEX(Gamma_Catalogo!$C$3:$C$1451,MATCH(Suiza_DE_CN_ID!D307,Gamma_Catalogo!$A$3:$A$1451,0)),"Revisar Ip Code"))</f>
        <v/>
      </c>
      <c r="N957" s="1" t="str">
        <f aca="false">IF(Suiza_DE_CN_ID!A307="","",IFERROR(INDEX(Gamma_Catalogo!$E$3:$E$1451,MATCH(Suiza_DE_CN_ID!D307,Gamma_Catalogo!$A$3:$A$1451,0)),"Revisar Ip Code"))</f>
        <v/>
      </c>
      <c r="O957" s="1" t="str">
        <f aca="false">IF(Suiza_DE_CN_ID!A307="","","Suiza")</f>
        <v/>
      </c>
    </row>
    <row r="958" customFormat="false" ht="15" hidden="false" customHeight="true" outlineLevel="0" collapsed="false">
      <c r="A958" s="1" t="str">
        <f aca="false">IF(Suiza_DE_CN_ID!A308="","",IFERROR(INDEX(Mercados!$C$2:$C$32,MATCH(Suiza_DE_CN_ID!B308,Mercados!$A$2:$A$32,0)),"Revisar Tscode"))</f>
        <v/>
      </c>
      <c r="B958" s="1" t="str">
        <f aca="false">IF(Suiza_DE_CN_ID!A308="","",Suiza_DE_CN_ID!A308)</f>
        <v/>
      </c>
      <c r="C958" s="1" t="str">
        <f aca="false">IF(Suiza_DE_CN_ID!A308="","",Suiza_DE_CN_ID!C308)</f>
        <v/>
      </c>
      <c r="D958" s="1" t="str">
        <f aca="false">IF(Suiza_DE_CN_ID!A308="","",Suiza_DE_CN_ID!D308)</f>
        <v/>
      </c>
      <c r="E958" s="1" t="str">
        <f aca="false">IF(Suiza_DE_CN_ID!A308="","",Suiza_DE_CN_ID!E308)</f>
        <v/>
      </c>
      <c r="F958" s="1" t="str">
        <f aca="false">IF(Suiza_DE_CN_ID!A308="","",Suiza_DE_CN_ID!G308)</f>
        <v/>
      </c>
      <c r="I958" s="1" t="str">
        <f aca="false">IF(Suiza_DE_CN_ID!A308="","",Suiza_DE_CN_ID!H308)</f>
        <v/>
      </c>
      <c r="J958" s="1" t="str">
        <f aca="false">IF(Suiza_DE_CN_ID!A308="","",Suiza_DE_CN_ID!I308)</f>
        <v/>
      </c>
      <c r="K958" s="1" t="str">
        <f aca="false">IF(Suiza_DE_CN_ID!A308="","",UPPER(Suiza_DE_CN_ID!J308))</f>
        <v/>
      </c>
      <c r="L958" s="1" t="str">
        <f aca="false">IF(Suiza_DE_CN_ID!A308="","",IFERROR(INDEX(Gamma_Catalogo!$D$3:$D$1451,MATCH(Suiza_DE_CN_ID!D308,Gamma_Catalogo!$A$3:$A$1451,0)),"Revisar Ip Code"))</f>
        <v/>
      </c>
      <c r="M958" s="1" t="str">
        <f aca="false">IF(Suiza_DE_CN_ID!A308="","",IFERROR(INDEX(Gamma_Catalogo!$C$3:$C$1451,MATCH(Suiza_DE_CN_ID!D308,Gamma_Catalogo!$A$3:$A$1451,0)),"Revisar Ip Code"))</f>
        <v/>
      </c>
      <c r="N958" s="1" t="str">
        <f aca="false">IF(Suiza_DE_CN_ID!A308="","",IFERROR(INDEX(Gamma_Catalogo!$E$3:$E$1451,MATCH(Suiza_DE_CN_ID!D308,Gamma_Catalogo!$A$3:$A$1451,0)),"Revisar Ip Code"))</f>
        <v/>
      </c>
      <c r="O958" s="1" t="str">
        <f aca="false">IF(Suiza_DE_CN_ID!A308="","","Suiza")</f>
        <v/>
      </c>
    </row>
    <row r="959" customFormat="false" ht="15" hidden="false" customHeight="true" outlineLevel="0" collapsed="false">
      <c r="A959" s="1" t="str">
        <f aca="false">IF(Suiza_DE_CN_ID!A309="","",IFERROR(INDEX(Mercados!$C$2:$C$32,MATCH(Suiza_DE_CN_ID!B309,Mercados!$A$2:$A$32,0)),"Revisar Tscode"))</f>
        <v/>
      </c>
      <c r="B959" s="1" t="str">
        <f aca="false">IF(Suiza_DE_CN_ID!A309="","",Suiza_DE_CN_ID!A309)</f>
        <v/>
      </c>
      <c r="C959" s="1" t="str">
        <f aca="false">IF(Suiza_DE_CN_ID!A309="","",Suiza_DE_CN_ID!C309)</f>
        <v/>
      </c>
      <c r="D959" s="1" t="str">
        <f aca="false">IF(Suiza_DE_CN_ID!A309="","",Suiza_DE_CN_ID!D309)</f>
        <v/>
      </c>
      <c r="E959" s="1" t="str">
        <f aca="false">IF(Suiza_DE_CN_ID!A309="","",Suiza_DE_CN_ID!E309)</f>
        <v/>
      </c>
      <c r="F959" s="1" t="str">
        <f aca="false">IF(Suiza_DE_CN_ID!A309="","",Suiza_DE_CN_ID!G309)</f>
        <v/>
      </c>
      <c r="I959" s="1" t="str">
        <f aca="false">IF(Suiza_DE_CN_ID!A309="","",Suiza_DE_CN_ID!H309)</f>
        <v/>
      </c>
      <c r="J959" s="1" t="str">
        <f aca="false">IF(Suiza_DE_CN_ID!A309="","",Suiza_DE_CN_ID!I309)</f>
        <v/>
      </c>
      <c r="K959" s="1" t="str">
        <f aca="false">IF(Suiza_DE_CN_ID!A309="","",UPPER(Suiza_DE_CN_ID!J309))</f>
        <v/>
      </c>
      <c r="L959" s="1" t="str">
        <f aca="false">IF(Suiza_DE_CN_ID!A309="","",IFERROR(INDEX(Gamma_Catalogo!$D$3:$D$1451,MATCH(Suiza_DE_CN_ID!D309,Gamma_Catalogo!$A$3:$A$1451,0)),"Revisar Ip Code"))</f>
        <v/>
      </c>
      <c r="M959" s="1" t="str">
        <f aca="false">IF(Suiza_DE_CN_ID!A309="","",IFERROR(INDEX(Gamma_Catalogo!$C$3:$C$1451,MATCH(Suiza_DE_CN_ID!D309,Gamma_Catalogo!$A$3:$A$1451,0)),"Revisar Ip Code"))</f>
        <v/>
      </c>
      <c r="N959" s="1" t="str">
        <f aca="false">IF(Suiza_DE_CN_ID!A309="","",IFERROR(INDEX(Gamma_Catalogo!$E$3:$E$1451,MATCH(Suiza_DE_CN_ID!D309,Gamma_Catalogo!$A$3:$A$1451,0)),"Revisar Ip Code"))</f>
        <v/>
      </c>
      <c r="O959" s="1" t="str">
        <f aca="false">IF(Suiza_DE_CN_ID!A309="","","Suiza")</f>
        <v/>
      </c>
    </row>
    <row r="960" customFormat="false" ht="15" hidden="false" customHeight="true" outlineLevel="0" collapsed="false">
      <c r="A960" s="1" t="str">
        <f aca="false">IF(Suiza_DE_CN_ID!A310="","",IFERROR(INDEX(Mercados!$C$2:$C$32,MATCH(Suiza_DE_CN_ID!B310,Mercados!$A$2:$A$32,0)),"Revisar Tscode"))</f>
        <v/>
      </c>
      <c r="B960" s="1" t="str">
        <f aca="false">IF(Suiza_DE_CN_ID!A310="","",Suiza_DE_CN_ID!A310)</f>
        <v/>
      </c>
      <c r="C960" s="1" t="str">
        <f aca="false">IF(Suiza_DE_CN_ID!A310="","",Suiza_DE_CN_ID!C310)</f>
        <v/>
      </c>
      <c r="D960" s="1" t="str">
        <f aca="false">IF(Suiza_DE_CN_ID!A310="","",Suiza_DE_CN_ID!D310)</f>
        <v/>
      </c>
      <c r="E960" s="1" t="str">
        <f aca="false">IF(Suiza_DE_CN_ID!A310="","",Suiza_DE_CN_ID!E310)</f>
        <v/>
      </c>
      <c r="F960" s="1" t="str">
        <f aca="false">IF(Suiza_DE_CN_ID!A310="","",Suiza_DE_CN_ID!G310)</f>
        <v/>
      </c>
      <c r="I960" s="1" t="str">
        <f aca="false">IF(Suiza_DE_CN_ID!A310="","",Suiza_DE_CN_ID!H310)</f>
        <v/>
      </c>
      <c r="J960" s="1" t="str">
        <f aca="false">IF(Suiza_DE_CN_ID!A310="","",Suiza_DE_CN_ID!I310)</f>
        <v/>
      </c>
      <c r="K960" s="1" t="str">
        <f aca="false">IF(Suiza_DE_CN_ID!A310="","",UPPER(Suiza_DE_CN_ID!J310))</f>
        <v/>
      </c>
      <c r="L960" s="1" t="str">
        <f aca="false">IF(Suiza_DE_CN_ID!A310="","",IFERROR(INDEX(Gamma_Catalogo!$D$3:$D$1451,MATCH(Suiza_DE_CN_ID!D310,Gamma_Catalogo!$A$3:$A$1451,0)),"Revisar Ip Code"))</f>
        <v/>
      </c>
      <c r="M960" s="1" t="str">
        <f aca="false">IF(Suiza_DE_CN_ID!A310="","",IFERROR(INDEX(Gamma_Catalogo!$C$3:$C$1451,MATCH(Suiza_DE_CN_ID!D310,Gamma_Catalogo!$A$3:$A$1451,0)),"Revisar Ip Code"))</f>
        <v/>
      </c>
      <c r="N960" s="1" t="str">
        <f aca="false">IF(Suiza_DE_CN_ID!A310="","",IFERROR(INDEX(Gamma_Catalogo!$E$3:$E$1451,MATCH(Suiza_DE_CN_ID!D310,Gamma_Catalogo!$A$3:$A$1451,0)),"Revisar Ip Code"))</f>
        <v/>
      </c>
      <c r="O960" s="1" t="str">
        <f aca="false">IF(Suiza_DE_CN_ID!A310="","","Suiza")</f>
        <v/>
      </c>
    </row>
    <row r="961" customFormat="false" ht="15" hidden="false" customHeight="true" outlineLevel="0" collapsed="false">
      <c r="A961" s="1" t="str">
        <f aca="false">IF(Suiza_DE_CN_ID!A311="","",IFERROR(INDEX(Mercados!$C$2:$C$32,MATCH(Suiza_DE_CN_ID!B311,Mercados!$A$2:$A$32,0)),"Revisar Tscode"))</f>
        <v/>
      </c>
      <c r="B961" s="1" t="str">
        <f aca="false">IF(Suiza_DE_CN_ID!A311="","",Suiza_DE_CN_ID!A311)</f>
        <v/>
      </c>
      <c r="C961" s="1" t="str">
        <f aca="false">IF(Suiza_DE_CN_ID!A311="","",Suiza_DE_CN_ID!C311)</f>
        <v/>
      </c>
      <c r="D961" s="1" t="str">
        <f aca="false">IF(Suiza_DE_CN_ID!A311="","",Suiza_DE_CN_ID!D311)</f>
        <v/>
      </c>
      <c r="E961" s="1" t="str">
        <f aca="false">IF(Suiza_DE_CN_ID!A311="","",Suiza_DE_CN_ID!E311)</f>
        <v/>
      </c>
      <c r="F961" s="1" t="str">
        <f aca="false">IF(Suiza_DE_CN_ID!A311="","",Suiza_DE_CN_ID!G311)</f>
        <v/>
      </c>
      <c r="I961" s="1" t="str">
        <f aca="false">IF(Suiza_DE_CN_ID!A311="","",Suiza_DE_CN_ID!H311)</f>
        <v/>
      </c>
      <c r="J961" s="1" t="str">
        <f aca="false">IF(Suiza_DE_CN_ID!A311="","",Suiza_DE_CN_ID!I311)</f>
        <v/>
      </c>
      <c r="K961" s="1" t="str">
        <f aca="false">IF(Suiza_DE_CN_ID!A311="","",UPPER(Suiza_DE_CN_ID!J311))</f>
        <v/>
      </c>
      <c r="L961" s="1" t="str">
        <f aca="false">IF(Suiza_DE_CN_ID!A311="","",IFERROR(INDEX(Gamma_Catalogo!$D$3:$D$1451,MATCH(Suiza_DE_CN_ID!D311,Gamma_Catalogo!$A$3:$A$1451,0)),"Revisar Ip Code"))</f>
        <v/>
      </c>
      <c r="M961" s="1" t="str">
        <f aca="false">IF(Suiza_DE_CN_ID!A311="","",IFERROR(INDEX(Gamma_Catalogo!$C$3:$C$1451,MATCH(Suiza_DE_CN_ID!D311,Gamma_Catalogo!$A$3:$A$1451,0)),"Revisar Ip Code"))</f>
        <v/>
      </c>
      <c r="N961" s="1" t="str">
        <f aca="false">IF(Suiza_DE_CN_ID!A311="","",IFERROR(INDEX(Gamma_Catalogo!$E$3:$E$1451,MATCH(Suiza_DE_CN_ID!D311,Gamma_Catalogo!$A$3:$A$1451,0)),"Revisar Ip Code"))</f>
        <v/>
      </c>
      <c r="O961" s="1" t="str">
        <f aca="false">IF(Suiza_DE_CN_ID!A311="","","Suiza")</f>
        <v/>
      </c>
    </row>
    <row r="962" customFormat="false" ht="15" hidden="false" customHeight="true" outlineLevel="0" collapsed="false">
      <c r="A962" s="1" t="str">
        <f aca="false">IF(Suiza_DE_CN_ID!A312="","",IFERROR(INDEX(Mercados!$C$2:$C$32,MATCH(Suiza_DE_CN_ID!B312,Mercados!$A$2:$A$32,0)),"Revisar Tscode"))</f>
        <v/>
      </c>
      <c r="B962" s="1" t="str">
        <f aca="false">IF(Suiza_DE_CN_ID!A312="","",Suiza_DE_CN_ID!A312)</f>
        <v/>
      </c>
      <c r="C962" s="1" t="str">
        <f aca="false">IF(Suiza_DE_CN_ID!A312="","",Suiza_DE_CN_ID!C312)</f>
        <v/>
      </c>
      <c r="D962" s="1" t="str">
        <f aca="false">IF(Suiza_DE_CN_ID!A312="","",Suiza_DE_CN_ID!D312)</f>
        <v/>
      </c>
      <c r="E962" s="1" t="str">
        <f aca="false">IF(Suiza_DE_CN_ID!A312="","",Suiza_DE_CN_ID!E312)</f>
        <v/>
      </c>
      <c r="F962" s="1" t="str">
        <f aca="false">IF(Suiza_DE_CN_ID!A312="","",Suiza_DE_CN_ID!G312)</f>
        <v/>
      </c>
      <c r="I962" s="1" t="str">
        <f aca="false">IF(Suiza_DE_CN_ID!A312="","",Suiza_DE_CN_ID!H312)</f>
        <v/>
      </c>
      <c r="J962" s="1" t="str">
        <f aca="false">IF(Suiza_DE_CN_ID!A312="","",Suiza_DE_CN_ID!I312)</f>
        <v/>
      </c>
      <c r="K962" s="1" t="str">
        <f aca="false">IF(Suiza_DE_CN_ID!A312="","",UPPER(Suiza_DE_CN_ID!J312))</f>
        <v/>
      </c>
      <c r="L962" s="1" t="str">
        <f aca="false">IF(Suiza_DE_CN_ID!A312="","",IFERROR(INDEX(Gamma_Catalogo!$D$3:$D$1451,MATCH(Suiza_DE_CN_ID!D312,Gamma_Catalogo!$A$3:$A$1451,0)),"Revisar Ip Code"))</f>
        <v/>
      </c>
      <c r="M962" s="1" t="str">
        <f aca="false">IF(Suiza_DE_CN_ID!A312="","",IFERROR(INDEX(Gamma_Catalogo!$C$3:$C$1451,MATCH(Suiza_DE_CN_ID!D312,Gamma_Catalogo!$A$3:$A$1451,0)),"Revisar Ip Code"))</f>
        <v/>
      </c>
      <c r="N962" s="1" t="str">
        <f aca="false">IF(Suiza_DE_CN_ID!A312="","",IFERROR(INDEX(Gamma_Catalogo!$E$3:$E$1451,MATCH(Suiza_DE_CN_ID!D312,Gamma_Catalogo!$A$3:$A$1451,0)),"Revisar Ip Code"))</f>
        <v/>
      </c>
      <c r="O962" s="1" t="str">
        <f aca="false">IF(Suiza_DE_CN_ID!A312="","","Suiza")</f>
        <v/>
      </c>
    </row>
    <row r="963" customFormat="false" ht="15" hidden="false" customHeight="true" outlineLevel="0" collapsed="false">
      <c r="A963" s="1" t="str">
        <f aca="false">IF(Suiza_DE_CN_ID!A313="","",IFERROR(INDEX(Mercados!$C$2:$C$32,MATCH(Suiza_DE_CN_ID!B313,Mercados!$A$2:$A$32,0)),"Revisar Tscode"))</f>
        <v/>
      </c>
      <c r="B963" s="1" t="str">
        <f aca="false">IF(Suiza_DE_CN_ID!A313="","",Suiza_DE_CN_ID!A313)</f>
        <v/>
      </c>
      <c r="C963" s="1" t="str">
        <f aca="false">IF(Suiza_DE_CN_ID!A313="","",Suiza_DE_CN_ID!C313)</f>
        <v/>
      </c>
      <c r="D963" s="1" t="str">
        <f aca="false">IF(Suiza_DE_CN_ID!A313="","",Suiza_DE_CN_ID!D313)</f>
        <v/>
      </c>
      <c r="E963" s="1" t="str">
        <f aca="false">IF(Suiza_DE_CN_ID!A313="","",Suiza_DE_CN_ID!E313)</f>
        <v/>
      </c>
      <c r="F963" s="1" t="str">
        <f aca="false">IF(Suiza_DE_CN_ID!A313="","",Suiza_DE_CN_ID!G313)</f>
        <v/>
      </c>
      <c r="I963" s="1" t="str">
        <f aca="false">IF(Suiza_DE_CN_ID!A313="","",Suiza_DE_CN_ID!H313)</f>
        <v/>
      </c>
      <c r="J963" s="1" t="str">
        <f aca="false">IF(Suiza_DE_CN_ID!A313="","",Suiza_DE_CN_ID!I313)</f>
        <v/>
      </c>
      <c r="K963" s="1" t="str">
        <f aca="false">IF(Suiza_DE_CN_ID!A313="","",UPPER(Suiza_DE_CN_ID!J313))</f>
        <v/>
      </c>
      <c r="L963" s="1" t="str">
        <f aca="false">IF(Suiza_DE_CN_ID!A313="","",IFERROR(INDEX(Gamma_Catalogo!$D$3:$D$1451,MATCH(Suiza_DE_CN_ID!D313,Gamma_Catalogo!$A$3:$A$1451,0)),"Revisar Ip Code"))</f>
        <v/>
      </c>
      <c r="M963" s="1" t="str">
        <f aca="false">IF(Suiza_DE_CN_ID!A313="","",IFERROR(INDEX(Gamma_Catalogo!$C$3:$C$1451,MATCH(Suiza_DE_CN_ID!D313,Gamma_Catalogo!$A$3:$A$1451,0)),"Revisar Ip Code"))</f>
        <v/>
      </c>
      <c r="N963" s="1" t="str">
        <f aca="false">IF(Suiza_DE_CN_ID!A313="","",IFERROR(INDEX(Gamma_Catalogo!$E$3:$E$1451,MATCH(Suiza_DE_CN_ID!D313,Gamma_Catalogo!$A$3:$A$1451,0)),"Revisar Ip Code"))</f>
        <v/>
      </c>
      <c r="O963" s="1" t="str">
        <f aca="false">IF(Suiza_DE_CN_ID!A313="","","Suiza")</f>
        <v/>
      </c>
    </row>
    <row r="964" customFormat="false" ht="15" hidden="false" customHeight="true" outlineLevel="0" collapsed="false">
      <c r="A964" s="1" t="str">
        <f aca="false">IF(Suiza_DE_CN_ID!A314="","",IFERROR(INDEX(Mercados!$C$2:$C$32,MATCH(Suiza_DE_CN_ID!B314,Mercados!$A$2:$A$32,0)),"Revisar Tscode"))</f>
        <v/>
      </c>
      <c r="B964" s="1" t="str">
        <f aca="false">IF(Suiza_DE_CN_ID!A314="","",Suiza_DE_CN_ID!A314)</f>
        <v/>
      </c>
      <c r="C964" s="1" t="str">
        <f aca="false">IF(Suiza_DE_CN_ID!A314="","",Suiza_DE_CN_ID!C314)</f>
        <v/>
      </c>
      <c r="D964" s="1" t="str">
        <f aca="false">IF(Suiza_DE_CN_ID!A314="","",Suiza_DE_CN_ID!D314)</f>
        <v/>
      </c>
      <c r="E964" s="1" t="str">
        <f aca="false">IF(Suiza_DE_CN_ID!A314="","",Suiza_DE_CN_ID!E314)</f>
        <v/>
      </c>
      <c r="F964" s="1" t="str">
        <f aca="false">IF(Suiza_DE_CN_ID!A314="","",Suiza_DE_CN_ID!G314)</f>
        <v/>
      </c>
      <c r="I964" s="1" t="str">
        <f aca="false">IF(Suiza_DE_CN_ID!A314="","",Suiza_DE_CN_ID!H314)</f>
        <v/>
      </c>
      <c r="J964" s="1" t="str">
        <f aca="false">IF(Suiza_DE_CN_ID!A314="","",Suiza_DE_CN_ID!I314)</f>
        <v/>
      </c>
      <c r="K964" s="1" t="str">
        <f aca="false">IF(Suiza_DE_CN_ID!A314="","",UPPER(Suiza_DE_CN_ID!J314))</f>
        <v/>
      </c>
      <c r="L964" s="1" t="str">
        <f aca="false">IF(Suiza_DE_CN_ID!A314="","",IFERROR(INDEX(Gamma_Catalogo!$D$3:$D$1451,MATCH(Suiza_DE_CN_ID!D314,Gamma_Catalogo!$A$3:$A$1451,0)),"Revisar Ip Code"))</f>
        <v/>
      </c>
      <c r="M964" s="1" t="str">
        <f aca="false">IF(Suiza_DE_CN_ID!A314="","",IFERROR(INDEX(Gamma_Catalogo!$C$3:$C$1451,MATCH(Suiza_DE_CN_ID!D314,Gamma_Catalogo!$A$3:$A$1451,0)),"Revisar Ip Code"))</f>
        <v/>
      </c>
      <c r="N964" s="1" t="str">
        <f aca="false">IF(Suiza_DE_CN_ID!A314="","",IFERROR(INDEX(Gamma_Catalogo!$E$3:$E$1451,MATCH(Suiza_DE_CN_ID!D314,Gamma_Catalogo!$A$3:$A$1451,0)),"Revisar Ip Code"))</f>
        <v/>
      </c>
      <c r="O964" s="1" t="str">
        <f aca="false">IF(Suiza_DE_CN_ID!A314="","","Suiza")</f>
        <v/>
      </c>
    </row>
    <row r="965" customFormat="false" ht="15" hidden="false" customHeight="true" outlineLevel="0" collapsed="false">
      <c r="A965" s="1" t="str">
        <f aca="false">IF(Suiza_DE_CN_ID!A315="","",IFERROR(INDEX(Mercados!$C$2:$C$32,MATCH(Suiza_DE_CN_ID!B315,Mercados!$A$2:$A$32,0)),"Revisar Tscode"))</f>
        <v/>
      </c>
      <c r="B965" s="1" t="str">
        <f aca="false">IF(Suiza_DE_CN_ID!A315="","",Suiza_DE_CN_ID!A315)</f>
        <v/>
      </c>
      <c r="C965" s="1" t="str">
        <f aca="false">IF(Suiza_DE_CN_ID!A315="","",Suiza_DE_CN_ID!C315)</f>
        <v/>
      </c>
      <c r="D965" s="1" t="str">
        <f aca="false">IF(Suiza_DE_CN_ID!A315="","",Suiza_DE_CN_ID!D315)</f>
        <v/>
      </c>
      <c r="E965" s="1" t="str">
        <f aca="false">IF(Suiza_DE_CN_ID!A315="","",Suiza_DE_CN_ID!E315)</f>
        <v/>
      </c>
      <c r="F965" s="1" t="str">
        <f aca="false">IF(Suiza_DE_CN_ID!A315="","",Suiza_DE_CN_ID!G315)</f>
        <v/>
      </c>
      <c r="I965" s="1" t="str">
        <f aca="false">IF(Suiza_DE_CN_ID!A315="","",Suiza_DE_CN_ID!H315)</f>
        <v/>
      </c>
      <c r="J965" s="1" t="str">
        <f aca="false">IF(Suiza_DE_CN_ID!A315="","",Suiza_DE_CN_ID!I315)</f>
        <v/>
      </c>
      <c r="K965" s="1" t="str">
        <f aca="false">IF(Suiza_DE_CN_ID!A315="","",UPPER(Suiza_DE_CN_ID!J315))</f>
        <v/>
      </c>
      <c r="L965" s="1" t="str">
        <f aca="false">IF(Suiza_DE_CN_ID!A315="","",IFERROR(INDEX(Gamma_Catalogo!$D$3:$D$1451,MATCH(Suiza_DE_CN_ID!D315,Gamma_Catalogo!$A$3:$A$1451,0)),"Revisar Ip Code"))</f>
        <v/>
      </c>
      <c r="M965" s="1" t="str">
        <f aca="false">IF(Suiza_DE_CN_ID!A315="","",IFERROR(INDEX(Gamma_Catalogo!$C$3:$C$1451,MATCH(Suiza_DE_CN_ID!D315,Gamma_Catalogo!$A$3:$A$1451,0)),"Revisar Ip Code"))</f>
        <v/>
      </c>
      <c r="N965" s="1" t="str">
        <f aca="false">IF(Suiza_DE_CN_ID!A315="","",IFERROR(INDEX(Gamma_Catalogo!$E$3:$E$1451,MATCH(Suiza_DE_CN_ID!D315,Gamma_Catalogo!$A$3:$A$1451,0)),"Revisar Ip Code"))</f>
        <v/>
      </c>
      <c r="O965" s="1" t="str">
        <f aca="false">IF(Suiza_DE_CN_ID!A315="","","Suiza")</f>
        <v/>
      </c>
    </row>
    <row r="966" customFormat="false" ht="15" hidden="false" customHeight="true" outlineLevel="0" collapsed="false">
      <c r="A966" s="1" t="str">
        <f aca="false">IF(Suiza_DE_CN_ID!A316="","",IFERROR(INDEX(Mercados!$C$2:$C$32,MATCH(Suiza_DE_CN_ID!B316,Mercados!$A$2:$A$32,0)),"Revisar Tscode"))</f>
        <v/>
      </c>
      <c r="B966" s="1" t="str">
        <f aca="false">IF(Suiza_DE_CN_ID!A316="","",Suiza_DE_CN_ID!A316)</f>
        <v/>
      </c>
      <c r="C966" s="1" t="str">
        <f aca="false">IF(Suiza_DE_CN_ID!A316="","",Suiza_DE_CN_ID!C316)</f>
        <v/>
      </c>
      <c r="D966" s="1" t="str">
        <f aca="false">IF(Suiza_DE_CN_ID!A316="","",Suiza_DE_CN_ID!D316)</f>
        <v/>
      </c>
      <c r="E966" s="1" t="str">
        <f aca="false">IF(Suiza_DE_CN_ID!A316="","",Suiza_DE_CN_ID!E316)</f>
        <v/>
      </c>
      <c r="F966" s="1" t="str">
        <f aca="false">IF(Suiza_DE_CN_ID!A316="","",Suiza_DE_CN_ID!G316)</f>
        <v/>
      </c>
      <c r="I966" s="1" t="str">
        <f aca="false">IF(Suiza_DE_CN_ID!A316="","",Suiza_DE_CN_ID!H316)</f>
        <v/>
      </c>
      <c r="J966" s="1" t="str">
        <f aca="false">IF(Suiza_DE_CN_ID!A316="","",Suiza_DE_CN_ID!I316)</f>
        <v/>
      </c>
      <c r="K966" s="1" t="str">
        <f aca="false">IF(Suiza_DE_CN_ID!A316="","",UPPER(Suiza_DE_CN_ID!J316))</f>
        <v/>
      </c>
      <c r="L966" s="1" t="str">
        <f aca="false">IF(Suiza_DE_CN_ID!A316="","",IFERROR(INDEX(Gamma_Catalogo!$D$3:$D$1451,MATCH(Suiza_DE_CN_ID!D316,Gamma_Catalogo!$A$3:$A$1451,0)),"Revisar Ip Code"))</f>
        <v/>
      </c>
      <c r="M966" s="1" t="str">
        <f aca="false">IF(Suiza_DE_CN_ID!A316="","",IFERROR(INDEX(Gamma_Catalogo!$C$3:$C$1451,MATCH(Suiza_DE_CN_ID!D316,Gamma_Catalogo!$A$3:$A$1451,0)),"Revisar Ip Code"))</f>
        <v/>
      </c>
      <c r="N966" s="1" t="str">
        <f aca="false">IF(Suiza_DE_CN_ID!A316="","",IFERROR(INDEX(Gamma_Catalogo!$E$3:$E$1451,MATCH(Suiza_DE_CN_ID!D316,Gamma_Catalogo!$A$3:$A$1451,0)),"Revisar Ip Code"))</f>
        <v/>
      </c>
      <c r="O966" s="1" t="str">
        <f aca="false">IF(Suiza_DE_CN_ID!A316="","","Suiza")</f>
        <v/>
      </c>
    </row>
    <row r="967" customFormat="false" ht="15" hidden="false" customHeight="true" outlineLevel="0" collapsed="false">
      <c r="A967" s="1" t="str">
        <f aca="false">IF(Suiza_DE_CN_ID!A317="","",IFERROR(INDEX(Mercados!$C$2:$C$32,MATCH(Suiza_DE_CN_ID!B317,Mercados!$A$2:$A$32,0)),"Revisar Tscode"))</f>
        <v/>
      </c>
      <c r="B967" s="1" t="str">
        <f aca="false">IF(Suiza_DE_CN_ID!A317="","",Suiza_DE_CN_ID!A317)</f>
        <v/>
      </c>
      <c r="C967" s="1" t="str">
        <f aca="false">IF(Suiza_DE_CN_ID!A317="","",Suiza_DE_CN_ID!C317)</f>
        <v/>
      </c>
      <c r="D967" s="1" t="str">
        <f aca="false">IF(Suiza_DE_CN_ID!A317="","",Suiza_DE_CN_ID!D317)</f>
        <v/>
      </c>
      <c r="E967" s="1" t="str">
        <f aca="false">IF(Suiza_DE_CN_ID!A317="","",Suiza_DE_CN_ID!E317)</f>
        <v/>
      </c>
      <c r="F967" s="1" t="str">
        <f aca="false">IF(Suiza_DE_CN_ID!A317="","",Suiza_DE_CN_ID!G317)</f>
        <v/>
      </c>
      <c r="I967" s="1" t="str">
        <f aca="false">IF(Suiza_DE_CN_ID!A317="","",Suiza_DE_CN_ID!H317)</f>
        <v/>
      </c>
      <c r="J967" s="1" t="str">
        <f aca="false">IF(Suiza_DE_CN_ID!A317="","",Suiza_DE_CN_ID!I317)</f>
        <v/>
      </c>
      <c r="K967" s="1" t="str">
        <f aca="false">IF(Suiza_DE_CN_ID!A317="","",UPPER(Suiza_DE_CN_ID!J317))</f>
        <v/>
      </c>
      <c r="L967" s="1" t="str">
        <f aca="false">IF(Suiza_DE_CN_ID!A317="","",IFERROR(INDEX(Gamma_Catalogo!$D$3:$D$1451,MATCH(Suiza_DE_CN_ID!D317,Gamma_Catalogo!$A$3:$A$1451,0)),"Revisar Ip Code"))</f>
        <v/>
      </c>
      <c r="M967" s="1" t="str">
        <f aca="false">IF(Suiza_DE_CN_ID!A317="","",IFERROR(INDEX(Gamma_Catalogo!$C$3:$C$1451,MATCH(Suiza_DE_CN_ID!D317,Gamma_Catalogo!$A$3:$A$1451,0)),"Revisar Ip Code"))</f>
        <v/>
      </c>
      <c r="N967" s="1" t="str">
        <f aca="false">IF(Suiza_DE_CN_ID!A317="","",IFERROR(INDEX(Gamma_Catalogo!$E$3:$E$1451,MATCH(Suiza_DE_CN_ID!D317,Gamma_Catalogo!$A$3:$A$1451,0)),"Revisar Ip Code"))</f>
        <v/>
      </c>
      <c r="O967" s="1" t="str">
        <f aca="false">IF(Suiza_DE_CN_ID!A317="","","Suiza")</f>
        <v/>
      </c>
    </row>
    <row r="968" customFormat="false" ht="15" hidden="false" customHeight="true" outlineLevel="0" collapsed="false">
      <c r="A968" s="1" t="str">
        <f aca="false">IF(Suiza_DE_CN_ID!A318="","",IFERROR(INDEX(Mercados!$C$2:$C$32,MATCH(Suiza_DE_CN_ID!B318,Mercados!$A$2:$A$32,0)),"Revisar Tscode"))</f>
        <v/>
      </c>
      <c r="B968" s="1" t="str">
        <f aca="false">IF(Suiza_DE_CN_ID!A318="","",Suiza_DE_CN_ID!A318)</f>
        <v/>
      </c>
      <c r="C968" s="1" t="str">
        <f aca="false">IF(Suiza_DE_CN_ID!A318="","",Suiza_DE_CN_ID!C318)</f>
        <v/>
      </c>
      <c r="D968" s="1" t="str">
        <f aca="false">IF(Suiza_DE_CN_ID!A318="","",Suiza_DE_CN_ID!D318)</f>
        <v/>
      </c>
      <c r="E968" s="1" t="str">
        <f aca="false">IF(Suiza_DE_CN_ID!A318="","",Suiza_DE_CN_ID!E318)</f>
        <v/>
      </c>
      <c r="F968" s="1" t="str">
        <f aca="false">IF(Suiza_DE_CN_ID!A318="","",Suiza_DE_CN_ID!G318)</f>
        <v/>
      </c>
      <c r="I968" s="1" t="str">
        <f aca="false">IF(Suiza_DE_CN_ID!A318="","",Suiza_DE_CN_ID!H318)</f>
        <v/>
      </c>
      <c r="J968" s="1" t="str">
        <f aca="false">IF(Suiza_DE_CN_ID!A318="","",Suiza_DE_CN_ID!I318)</f>
        <v/>
      </c>
      <c r="K968" s="1" t="str">
        <f aca="false">IF(Suiza_DE_CN_ID!A318="","",UPPER(Suiza_DE_CN_ID!J318))</f>
        <v/>
      </c>
      <c r="L968" s="1" t="str">
        <f aca="false">IF(Suiza_DE_CN_ID!A318="","",IFERROR(INDEX(Gamma_Catalogo!$D$3:$D$1451,MATCH(Suiza_DE_CN_ID!D318,Gamma_Catalogo!$A$3:$A$1451,0)),"Revisar Ip Code"))</f>
        <v/>
      </c>
      <c r="M968" s="1" t="str">
        <f aca="false">IF(Suiza_DE_CN_ID!A318="","",IFERROR(INDEX(Gamma_Catalogo!$C$3:$C$1451,MATCH(Suiza_DE_CN_ID!D318,Gamma_Catalogo!$A$3:$A$1451,0)),"Revisar Ip Code"))</f>
        <v/>
      </c>
      <c r="N968" s="1" t="str">
        <f aca="false">IF(Suiza_DE_CN_ID!A318="","",IFERROR(INDEX(Gamma_Catalogo!$E$3:$E$1451,MATCH(Suiza_DE_CN_ID!D318,Gamma_Catalogo!$A$3:$A$1451,0)),"Revisar Ip Code"))</f>
        <v/>
      </c>
      <c r="O968" s="1" t="str">
        <f aca="false">IF(Suiza_DE_CN_ID!A318="","","Suiza")</f>
        <v/>
      </c>
    </row>
    <row r="969" customFormat="false" ht="15" hidden="false" customHeight="true" outlineLevel="0" collapsed="false">
      <c r="A969" s="1" t="str">
        <f aca="false">IF(Suiza_DE_CN_ID!A319="","",IFERROR(INDEX(Mercados!$C$2:$C$32,MATCH(Suiza_DE_CN_ID!B319,Mercados!$A$2:$A$32,0)),"Revisar Tscode"))</f>
        <v/>
      </c>
      <c r="B969" s="1" t="str">
        <f aca="false">IF(Suiza_DE_CN_ID!A319="","",Suiza_DE_CN_ID!A319)</f>
        <v/>
      </c>
      <c r="C969" s="1" t="str">
        <f aca="false">IF(Suiza_DE_CN_ID!A319="","",Suiza_DE_CN_ID!C319)</f>
        <v/>
      </c>
      <c r="D969" s="1" t="str">
        <f aca="false">IF(Suiza_DE_CN_ID!A319="","",Suiza_DE_CN_ID!D319)</f>
        <v/>
      </c>
      <c r="E969" s="1" t="str">
        <f aca="false">IF(Suiza_DE_CN_ID!A319="","",Suiza_DE_CN_ID!E319)</f>
        <v/>
      </c>
      <c r="F969" s="1" t="str">
        <f aca="false">IF(Suiza_DE_CN_ID!A319="","",Suiza_DE_CN_ID!G319)</f>
        <v/>
      </c>
      <c r="I969" s="1" t="str">
        <f aca="false">IF(Suiza_DE_CN_ID!A319="","",Suiza_DE_CN_ID!H319)</f>
        <v/>
      </c>
      <c r="J969" s="1" t="str">
        <f aca="false">IF(Suiza_DE_CN_ID!A319="","",Suiza_DE_CN_ID!I319)</f>
        <v/>
      </c>
      <c r="K969" s="1" t="str">
        <f aca="false">IF(Suiza_DE_CN_ID!A319="","",UPPER(Suiza_DE_CN_ID!J319))</f>
        <v/>
      </c>
      <c r="L969" s="1" t="str">
        <f aca="false">IF(Suiza_DE_CN_ID!A319="","",IFERROR(INDEX(Gamma_Catalogo!$D$3:$D$1451,MATCH(Suiza_DE_CN_ID!D319,Gamma_Catalogo!$A$3:$A$1451,0)),"Revisar Ip Code"))</f>
        <v/>
      </c>
      <c r="M969" s="1" t="str">
        <f aca="false">IF(Suiza_DE_CN_ID!A319="","",IFERROR(INDEX(Gamma_Catalogo!$C$3:$C$1451,MATCH(Suiza_DE_CN_ID!D319,Gamma_Catalogo!$A$3:$A$1451,0)),"Revisar Ip Code"))</f>
        <v/>
      </c>
      <c r="N969" s="1" t="str">
        <f aca="false">IF(Suiza_DE_CN_ID!A319="","",IFERROR(INDEX(Gamma_Catalogo!$E$3:$E$1451,MATCH(Suiza_DE_CN_ID!D319,Gamma_Catalogo!$A$3:$A$1451,0)),"Revisar Ip Code"))</f>
        <v/>
      </c>
      <c r="O969" s="1" t="str">
        <f aca="false">IF(Suiza_DE_CN_ID!A319="","","Suiza")</f>
        <v/>
      </c>
    </row>
    <row r="970" customFormat="false" ht="15" hidden="false" customHeight="true" outlineLevel="0" collapsed="false">
      <c r="A970" s="1" t="str">
        <f aca="false">IF(Suiza_DE_CN_ID!A320="","",IFERROR(INDEX(Mercados!$C$2:$C$32,MATCH(Suiza_DE_CN_ID!B320,Mercados!$A$2:$A$32,0)),"Revisar Tscode"))</f>
        <v/>
      </c>
      <c r="B970" s="1" t="str">
        <f aca="false">IF(Suiza_DE_CN_ID!A320="","",Suiza_DE_CN_ID!A320)</f>
        <v/>
      </c>
      <c r="C970" s="1" t="str">
        <f aca="false">IF(Suiza_DE_CN_ID!A320="","",Suiza_DE_CN_ID!C320)</f>
        <v/>
      </c>
      <c r="D970" s="1" t="str">
        <f aca="false">IF(Suiza_DE_CN_ID!A320="","",Suiza_DE_CN_ID!D320)</f>
        <v/>
      </c>
      <c r="E970" s="1" t="str">
        <f aca="false">IF(Suiza_DE_CN_ID!A320="","",Suiza_DE_CN_ID!E320)</f>
        <v/>
      </c>
      <c r="F970" s="1" t="str">
        <f aca="false">IF(Suiza_DE_CN_ID!A320="","",Suiza_DE_CN_ID!G320)</f>
        <v/>
      </c>
      <c r="I970" s="1" t="str">
        <f aca="false">IF(Suiza_DE_CN_ID!A320="","",Suiza_DE_CN_ID!H320)</f>
        <v/>
      </c>
      <c r="J970" s="1" t="str">
        <f aca="false">IF(Suiza_DE_CN_ID!A320="","",Suiza_DE_CN_ID!I320)</f>
        <v/>
      </c>
      <c r="K970" s="1" t="str">
        <f aca="false">IF(Suiza_DE_CN_ID!A320="","",UPPER(Suiza_DE_CN_ID!J320))</f>
        <v/>
      </c>
      <c r="L970" s="1" t="str">
        <f aca="false">IF(Suiza_DE_CN_ID!A320="","",IFERROR(INDEX(Gamma_Catalogo!$D$3:$D$1451,MATCH(Suiza_DE_CN_ID!D320,Gamma_Catalogo!$A$3:$A$1451,0)),"Revisar Ip Code"))</f>
        <v/>
      </c>
      <c r="M970" s="1" t="str">
        <f aca="false">IF(Suiza_DE_CN_ID!A320="","",IFERROR(INDEX(Gamma_Catalogo!$C$3:$C$1451,MATCH(Suiza_DE_CN_ID!D320,Gamma_Catalogo!$A$3:$A$1451,0)),"Revisar Ip Code"))</f>
        <v/>
      </c>
      <c r="N970" s="1" t="str">
        <f aca="false">IF(Suiza_DE_CN_ID!A320="","",IFERROR(INDEX(Gamma_Catalogo!$E$3:$E$1451,MATCH(Suiza_DE_CN_ID!D320,Gamma_Catalogo!$A$3:$A$1451,0)),"Revisar Ip Code"))</f>
        <v/>
      </c>
      <c r="O970" s="1" t="str">
        <f aca="false">IF(Suiza_DE_CN_ID!A320="","","Suiza")</f>
        <v/>
      </c>
    </row>
    <row r="971" customFormat="false" ht="15" hidden="false" customHeight="true" outlineLevel="0" collapsed="false">
      <c r="A971" s="1" t="str">
        <f aca="false">IF(Suiza_DE_CN_ID!A321="","",IFERROR(INDEX(Mercados!$C$2:$C$32,MATCH(Suiza_DE_CN_ID!B321,Mercados!$A$2:$A$32,0)),"Revisar Tscode"))</f>
        <v/>
      </c>
      <c r="B971" s="1" t="str">
        <f aca="false">IF(Suiza_DE_CN_ID!A321="","",Suiza_DE_CN_ID!A321)</f>
        <v/>
      </c>
      <c r="C971" s="1" t="str">
        <f aca="false">IF(Suiza_DE_CN_ID!A321="","",Suiza_DE_CN_ID!C321)</f>
        <v/>
      </c>
      <c r="D971" s="1" t="str">
        <f aca="false">IF(Suiza_DE_CN_ID!A321="","",Suiza_DE_CN_ID!D321)</f>
        <v/>
      </c>
      <c r="E971" s="1" t="str">
        <f aca="false">IF(Suiza_DE_CN_ID!A321="","",Suiza_DE_CN_ID!E321)</f>
        <v/>
      </c>
      <c r="F971" s="1" t="str">
        <f aca="false">IF(Suiza_DE_CN_ID!A321="","",Suiza_DE_CN_ID!G321)</f>
        <v/>
      </c>
      <c r="I971" s="1" t="str">
        <f aca="false">IF(Suiza_DE_CN_ID!A321="","",Suiza_DE_CN_ID!H321)</f>
        <v/>
      </c>
      <c r="J971" s="1" t="str">
        <f aca="false">IF(Suiza_DE_CN_ID!A321="","",Suiza_DE_CN_ID!I321)</f>
        <v/>
      </c>
      <c r="K971" s="1" t="str">
        <f aca="false">IF(Suiza_DE_CN_ID!A321="","",UPPER(Suiza_DE_CN_ID!J321))</f>
        <v/>
      </c>
      <c r="L971" s="1" t="str">
        <f aca="false">IF(Suiza_DE_CN_ID!A321="","",IFERROR(INDEX(Gamma_Catalogo!$D$3:$D$1451,MATCH(Suiza_DE_CN_ID!D321,Gamma_Catalogo!$A$3:$A$1451,0)),"Revisar Ip Code"))</f>
        <v/>
      </c>
      <c r="M971" s="1" t="str">
        <f aca="false">IF(Suiza_DE_CN_ID!A321="","",IFERROR(INDEX(Gamma_Catalogo!$C$3:$C$1451,MATCH(Suiza_DE_CN_ID!D321,Gamma_Catalogo!$A$3:$A$1451,0)),"Revisar Ip Code"))</f>
        <v/>
      </c>
      <c r="N971" s="1" t="str">
        <f aca="false">IF(Suiza_DE_CN_ID!A321="","",IFERROR(INDEX(Gamma_Catalogo!$E$3:$E$1451,MATCH(Suiza_DE_CN_ID!D321,Gamma_Catalogo!$A$3:$A$1451,0)),"Revisar Ip Code"))</f>
        <v/>
      </c>
      <c r="O971" s="1" t="str">
        <f aca="false">IF(Suiza_DE_CN_ID!A321="","","Suiza")</f>
        <v/>
      </c>
    </row>
    <row r="972" customFormat="false" ht="15" hidden="false" customHeight="true" outlineLevel="0" collapsed="false">
      <c r="A972" s="1" t="str">
        <f aca="false">IF(Suiza_DE_CN_ID!A322="","",IFERROR(INDEX(Mercados!$C$2:$C$32,MATCH(Suiza_DE_CN_ID!B322,Mercados!$A$2:$A$32,0)),"Revisar Tscode"))</f>
        <v/>
      </c>
      <c r="B972" s="1" t="str">
        <f aca="false">IF(Suiza_DE_CN_ID!A322="","",Suiza_DE_CN_ID!A322)</f>
        <v/>
      </c>
      <c r="C972" s="1" t="str">
        <f aca="false">IF(Suiza_DE_CN_ID!A322="","",Suiza_DE_CN_ID!C322)</f>
        <v/>
      </c>
      <c r="D972" s="1" t="str">
        <f aca="false">IF(Suiza_DE_CN_ID!A322="","",Suiza_DE_CN_ID!D322)</f>
        <v/>
      </c>
      <c r="E972" s="1" t="str">
        <f aca="false">IF(Suiza_DE_CN_ID!A322="","",Suiza_DE_CN_ID!E322)</f>
        <v/>
      </c>
      <c r="F972" s="1" t="str">
        <f aca="false">IF(Suiza_DE_CN_ID!A322="","",Suiza_DE_CN_ID!G322)</f>
        <v/>
      </c>
      <c r="I972" s="1" t="str">
        <f aca="false">IF(Suiza_DE_CN_ID!A322="","",Suiza_DE_CN_ID!H322)</f>
        <v/>
      </c>
      <c r="J972" s="1" t="str">
        <f aca="false">IF(Suiza_DE_CN_ID!A322="","",Suiza_DE_CN_ID!I322)</f>
        <v/>
      </c>
      <c r="K972" s="1" t="str">
        <f aca="false">IF(Suiza_DE_CN_ID!A322="","",UPPER(Suiza_DE_CN_ID!J322))</f>
        <v/>
      </c>
      <c r="L972" s="1" t="str">
        <f aca="false">IF(Suiza_DE_CN_ID!A322="","",IFERROR(INDEX(Gamma_Catalogo!$D$3:$D$1451,MATCH(Suiza_DE_CN_ID!D322,Gamma_Catalogo!$A$3:$A$1451,0)),"Revisar Ip Code"))</f>
        <v/>
      </c>
      <c r="M972" s="1" t="str">
        <f aca="false">IF(Suiza_DE_CN_ID!A322="","",IFERROR(INDEX(Gamma_Catalogo!$C$3:$C$1451,MATCH(Suiza_DE_CN_ID!D322,Gamma_Catalogo!$A$3:$A$1451,0)),"Revisar Ip Code"))</f>
        <v/>
      </c>
      <c r="N972" s="1" t="str">
        <f aca="false">IF(Suiza_DE_CN_ID!A322="","",IFERROR(INDEX(Gamma_Catalogo!$E$3:$E$1451,MATCH(Suiza_DE_CN_ID!D322,Gamma_Catalogo!$A$3:$A$1451,0)),"Revisar Ip Code"))</f>
        <v/>
      </c>
      <c r="O972" s="1" t="str">
        <f aca="false">IF(Suiza_DE_CN_ID!A322="","","Suiza")</f>
        <v/>
      </c>
    </row>
    <row r="973" customFormat="false" ht="15" hidden="false" customHeight="true" outlineLevel="0" collapsed="false">
      <c r="A973" s="1" t="str">
        <f aca="false">IF(Suiza_DE_CN_ID!A323="","",IFERROR(INDEX(Mercados!$C$2:$C$32,MATCH(Suiza_DE_CN_ID!B323,Mercados!$A$2:$A$32,0)),"Revisar Tscode"))</f>
        <v/>
      </c>
      <c r="B973" s="1" t="str">
        <f aca="false">IF(Suiza_DE_CN_ID!A323="","",Suiza_DE_CN_ID!A323)</f>
        <v/>
      </c>
      <c r="C973" s="1" t="str">
        <f aca="false">IF(Suiza_DE_CN_ID!A323="","",Suiza_DE_CN_ID!C323)</f>
        <v/>
      </c>
      <c r="D973" s="1" t="str">
        <f aca="false">IF(Suiza_DE_CN_ID!A323="","",Suiza_DE_CN_ID!D323)</f>
        <v/>
      </c>
      <c r="E973" s="1" t="str">
        <f aca="false">IF(Suiza_DE_CN_ID!A323="","",Suiza_DE_CN_ID!E323)</f>
        <v/>
      </c>
      <c r="F973" s="1" t="str">
        <f aca="false">IF(Suiza_DE_CN_ID!A323="","",Suiza_DE_CN_ID!G323)</f>
        <v/>
      </c>
      <c r="I973" s="1" t="str">
        <f aca="false">IF(Suiza_DE_CN_ID!A323="","",Suiza_DE_CN_ID!H323)</f>
        <v/>
      </c>
      <c r="J973" s="1" t="str">
        <f aca="false">IF(Suiza_DE_CN_ID!A323="","",Suiza_DE_CN_ID!I323)</f>
        <v/>
      </c>
      <c r="K973" s="1" t="str">
        <f aca="false">IF(Suiza_DE_CN_ID!A323="","",UPPER(Suiza_DE_CN_ID!J323))</f>
        <v/>
      </c>
      <c r="L973" s="1" t="str">
        <f aca="false">IF(Suiza_DE_CN_ID!A323="","",IFERROR(INDEX(Gamma_Catalogo!$D$3:$D$1451,MATCH(Suiza_DE_CN_ID!D323,Gamma_Catalogo!$A$3:$A$1451,0)),"Revisar Ip Code"))</f>
        <v/>
      </c>
      <c r="M973" s="1" t="str">
        <f aca="false">IF(Suiza_DE_CN_ID!A323="","",IFERROR(INDEX(Gamma_Catalogo!$C$3:$C$1451,MATCH(Suiza_DE_CN_ID!D323,Gamma_Catalogo!$A$3:$A$1451,0)),"Revisar Ip Code"))</f>
        <v/>
      </c>
      <c r="N973" s="1" t="str">
        <f aca="false">IF(Suiza_DE_CN_ID!A323="","",IFERROR(INDEX(Gamma_Catalogo!$E$3:$E$1451,MATCH(Suiza_DE_CN_ID!D323,Gamma_Catalogo!$A$3:$A$1451,0)),"Revisar Ip Code"))</f>
        <v/>
      </c>
      <c r="O973" s="1" t="str">
        <f aca="false">IF(Suiza_DE_CN_ID!A323="","","Suiza")</f>
        <v/>
      </c>
    </row>
    <row r="974" customFormat="false" ht="15" hidden="false" customHeight="true" outlineLevel="0" collapsed="false">
      <c r="A974" s="1" t="str">
        <f aca="false">IF(Suiza_DE_CN_ID!A324="","",IFERROR(INDEX(Mercados!$C$2:$C$32,MATCH(Suiza_DE_CN_ID!B324,Mercados!$A$2:$A$32,0)),"Revisar Tscode"))</f>
        <v/>
      </c>
      <c r="B974" s="1" t="str">
        <f aca="false">IF(Suiza_DE_CN_ID!A324="","",Suiza_DE_CN_ID!A324)</f>
        <v/>
      </c>
      <c r="C974" s="1" t="str">
        <f aca="false">IF(Suiza_DE_CN_ID!A324="","",Suiza_DE_CN_ID!C324)</f>
        <v/>
      </c>
      <c r="D974" s="1" t="str">
        <f aca="false">IF(Suiza_DE_CN_ID!A324="","",Suiza_DE_CN_ID!D324)</f>
        <v/>
      </c>
      <c r="E974" s="1" t="str">
        <f aca="false">IF(Suiza_DE_CN_ID!A324="","",Suiza_DE_CN_ID!E324)</f>
        <v/>
      </c>
      <c r="F974" s="1" t="str">
        <f aca="false">IF(Suiza_DE_CN_ID!A324="","",Suiza_DE_CN_ID!G324)</f>
        <v/>
      </c>
      <c r="I974" s="1" t="str">
        <f aca="false">IF(Suiza_DE_CN_ID!A324="","",Suiza_DE_CN_ID!H324)</f>
        <v/>
      </c>
      <c r="J974" s="1" t="str">
        <f aca="false">IF(Suiza_DE_CN_ID!A324="","",Suiza_DE_CN_ID!I324)</f>
        <v/>
      </c>
      <c r="K974" s="1" t="str">
        <f aca="false">IF(Suiza_DE_CN_ID!A324="","",UPPER(Suiza_DE_CN_ID!J324))</f>
        <v/>
      </c>
      <c r="L974" s="1" t="str">
        <f aca="false">IF(Suiza_DE_CN_ID!A324="","",IFERROR(INDEX(Gamma_Catalogo!$D$3:$D$1451,MATCH(Suiza_DE_CN_ID!D324,Gamma_Catalogo!$A$3:$A$1451,0)),"Revisar Ip Code"))</f>
        <v/>
      </c>
      <c r="M974" s="1" t="str">
        <f aca="false">IF(Suiza_DE_CN_ID!A324="","",IFERROR(INDEX(Gamma_Catalogo!$C$3:$C$1451,MATCH(Suiza_DE_CN_ID!D324,Gamma_Catalogo!$A$3:$A$1451,0)),"Revisar Ip Code"))</f>
        <v/>
      </c>
      <c r="N974" s="1" t="str">
        <f aca="false">IF(Suiza_DE_CN_ID!A324="","",IFERROR(INDEX(Gamma_Catalogo!$E$3:$E$1451,MATCH(Suiza_DE_CN_ID!D324,Gamma_Catalogo!$A$3:$A$1451,0)),"Revisar Ip Code"))</f>
        <v/>
      </c>
      <c r="O974" s="1" t="str">
        <f aca="false">IF(Suiza_DE_CN_ID!A324="","","Suiza")</f>
        <v/>
      </c>
    </row>
    <row r="975" customFormat="false" ht="15" hidden="false" customHeight="true" outlineLevel="0" collapsed="false">
      <c r="A975" s="1" t="str">
        <f aca="false">IF(Suiza_DE_CN_ID!A325="","",IFERROR(INDEX(Mercados!$C$2:$C$32,MATCH(Suiza_DE_CN_ID!B325,Mercados!$A$2:$A$32,0)),"Revisar Tscode"))</f>
        <v/>
      </c>
      <c r="B975" s="1" t="str">
        <f aca="false">IF(Suiza_DE_CN_ID!A325="","",Suiza_DE_CN_ID!A325)</f>
        <v/>
      </c>
      <c r="C975" s="1" t="str">
        <f aca="false">IF(Suiza_DE_CN_ID!A325="","",Suiza_DE_CN_ID!C325)</f>
        <v/>
      </c>
      <c r="D975" s="1" t="str">
        <f aca="false">IF(Suiza_DE_CN_ID!A325="","",Suiza_DE_CN_ID!D325)</f>
        <v/>
      </c>
      <c r="E975" s="1" t="str">
        <f aca="false">IF(Suiza_DE_CN_ID!A325="","",Suiza_DE_CN_ID!E325)</f>
        <v/>
      </c>
      <c r="F975" s="1" t="str">
        <f aca="false">IF(Suiza_DE_CN_ID!A325="","",Suiza_DE_CN_ID!G325)</f>
        <v/>
      </c>
      <c r="I975" s="1" t="str">
        <f aca="false">IF(Suiza_DE_CN_ID!A325="","",Suiza_DE_CN_ID!H325)</f>
        <v/>
      </c>
      <c r="J975" s="1" t="str">
        <f aca="false">IF(Suiza_DE_CN_ID!A325="","",Suiza_DE_CN_ID!I325)</f>
        <v/>
      </c>
      <c r="K975" s="1" t="str">
        <f aca="false">IF(Suiza_DE_CN_ID!A325="","",UPPER(Suiza_DE_CN_ID!J325))</f>
        <v/>
      </c>
      <c r="L975" s="1" t="str">
        <f aca="false">IF(Suiza_DE_CN_ID!A325="","",IFERROR(INDEX(Gamma_Catalogo!$D$3:$D$1451,MATCH(Suiza_DE_CN_ID!D325,Gamma_Catalogo!$A$3:$A$1451,0)),"Revisar Ip Code"))</f>
        <v/>
      </c>
      <c r="M975" s="1" t="str">
        <f aca="false">IF(Suiza_DE_CN_ID!A325="","",IFERROR(INDEX(Gamma_Catalogo!$C$3:$C$1451,MATCH(Suiza_DE_CN_ID!D325,Gamma_Catalogo!$A$3:$A$1451,0)),"Revisar Ip Code"))</f>
        <v/>
      </c>
      <c r="N975" s="1" t="str">
        <f aca="false">IF(Suiza_DE_CN_ID!A325="","",IFERROR(INDEX(Gamma_Catalogo!$E$3:$E$1451,MATCH(Suiza_DE_CN_ID!D325,Gamma_Catalogo!$A$3:$A$1451,0)),"Revisar Ip Code"))</f>
        <v/>
      </c>
      <c r="O975" s="1" t="str">
        <f aca="false">IF(Suiza_DE_CN_ID!A325="","","Suiza")</f>
        <v/>
      </c>
    </row>
    <row r="976" customFormat="false" ht="15" hidden="false" customHeight="true" outlineLevel="0" collapsed="false">
      <c r="A976" s="1" t="str">
        <f aca="false">IF(Suiza_DE_CN_ID!A326="","",IFERROR(INDEX(Mercados!$C$2:$C$32,MATCH(Suiza_DE_CN_ID!B326,Mercados!$A$2:$A$32,0)),"Revisar Tscode"))</f>
        <v/>
      </c>
      <c r="B976" s="1" t="str">
        <f aca="false">IF(Suiza_DE_CN_ID!A326="","",Suiza_DE_CN_ID!A326)</f>
        <v/>
      </c>
      <c r="C976" s="1" t="str">
        <f aca="false">IF(Suiza_DE_CN_ID!A326="","",Suiza_DE_CN_ID!C326)</f>
        <v/>
      </c>
      <c r="D976" s="1" t="str">
        <f aca="false">IF(Suiza_DE_CN_ID!A326="","",Suiza_DE_CN_ID!D326)</f>
        <v/>
      </c>
      <c r="E976" s="1" t="str">
        <f aca="false">IF(Suiza_DE_CN_ID!A326="","",Suiza_DE_CN_ID!E326)</f>
        <v/>
      </c>
      <c r="F976" s="1" t="str">
        <f aca="false">IF(Suiza_DE_CN_ID!A326="","",Suiza_DE_CN_ID!G326)</f>
        <v/>
      </c>
      <c r="I976" s="1" t="str">
        <f aca="false">IF(Suiza_DE_CN_ID!A326="","",Suiza_DE_CN_ID!H326)</f>
        <v/>
      </c>
      <c r="J976" s="1" t="str">
        <f aca="false">IF(Suiza_DE_CN_ID!A326="","",Suiza_DE_CN_ID!I326)</f>
        <v/>
      </c>
      <c r="K976" s="1" t="str">
        <f aca="false">IF(Suiza_DE_CN_ID!A326="","",UPPER(Suiza_DE_CN_ID!J326))</f>
        <v/>
      </c>
      <c r="L976" s="1" t="str">
        <f aca="false">IF(Suiza_DE_CN_ID!A326="","",IFERROR(INDEX(Gamma_Catalogo!$D$3:$D$1451,MATCH(Suiza_DE_CN_ID!D326,Gamma_Catalogo!$A$3:$A$1451,0)),"Revisar Ip Code"))</f>
        <v/>
      </c>
      <c r="M976" s="1" t="str">
        <f aca="false">IF(Suiza_DE_CN_ID!A326="","",IFERROR(INDEX(Gamma_Catalogo!$C$3:$C$1451,MATCH(Suiza_DE_CN_ID!D326,Gamma_Catalogo!$A$3:$A$1451,0)),"Revisar Ip Code"))</f>
        <v/>
      </c>
      <c r="N976" s="1" t="str">
        <f aca="false">IF(Suiza_DE_CN_ID!A326="","",IFERROR(INDEX(Gamma_Catalogo!$E$3:$E$1451,MATCH(Suiza_DE_CN_ID!D326,Gamma_Catalogo!$A$3:$A$1451,0)),"Revisar Ip Code"))</f>
        <v/>
      </c>
      <c r="O976" s="1" t="str">
        <f aca="false">IF(Suiza_DE_CN_ID!A326="","","Suiza")</f>
        <v/>
      </c>
    </row>
    <row r="977" customFormat="false" ht="15" hidden="false" customHeight="true" outlineLevel="0" collapsed="false">
      <c r="A977" s="1" t="str">
        <f aca="false">IF(Suiza_DE_CN_ID!A327="","",IFERROR(INDEX(Mercados!$C$2:$C$32,MATCH(Suiza_DE_CN_ID!B327,Mercados!$A$2:$A$32,0)),"Revisar Tscode"))</f>
        <v/>
      </c>
      <c r="B977" s="1" t="str">
        <f aca="false">IF(Suiza_DE_CN_ID!A327="","",Suiza_DE_CN_ID!A327)</f>
        <v/>
      </c>
      <c r="C977" s="1" t="str">
        <f aca="false">IF(Suiza_DE_CN_ID!A327="","",Suiza_DE_CN_ID!C327)</f>
        <v/>
      </c>
      <c r="D977" s="1" t="str">
        <f aca="false">IF(Suiza_DE_CN_ID!A327="","",Suiza_DE_CN_ID!D327)</f>
        <v/>
      </c>
      <c r="E977" s="1" t="str">
        <f aca="false">IF(Suiza_DE_CN_ID!A327="","",Suiza_DE_CN_ID!E327)</f>
        <v/>
      </c>
      <c r="F977" s="1" t="str">
        <f aca="false">IF(Suiza_DE_CN_ID!A327="","",Suiza_DE_CN_ID!G327)</f>
        <v/>
      </c>
      <c r="I977" s="1" t="str">
        <f aca="false">IF(Suiza_DE_CN_ID!A327="","",Suiza_DE_CN_ID!H327)</f>
        <v/>
      </c>
      <c r="J977" s="1" t="str">
        <f aca="false">IF(Suiza_DE_CN_ID!A327="","",Suiza_DE_CN_ID!I327)</f>
        <v/>
      </c>
      <c r="K977" s="1" t="str">
        <f aca="false">IF(Suiza_DE_CN_ID!A327="","",UPPER(Suiza_DE_CN_ID!J327))</f>
        <v/>
      </c>
      <c r="L977" s="1" t="str">
        <f aca="false">IF(Suiza_DE_CN_ID!A327="","",IFERROR(INDEX(Gamma_Catalogo!$D$3:$D$1451,MATCH(Suiza_DE_CN_ID!D327,Gamma_Catalogo!$A$3:$A$1451,0)),"Revisar Ip Code"))</f>
        <v/>
      </c>
      <c r="M977" s="1" t="str">
        <f aca="false">IF(Suiza_DE_CN_ID!A327="","",IFERROR(INDEX(Gamma_Catalogo!$C$3:$C$1451,MATCH(Suiza_DE_CN_ID!D327,Gamma_Catalogo!$A$3:$A$1451,0)),"Revisar Ip Code"))</f>
        <v/>
      </c>
      <c r="N977" s="1" t="str">
        <f aca="false">IF(Suiza_DE_CN_ID!A327="","",IFERROR(INDEX(Gamma_Catalogo!$E$3:$E$1451,MATCH(Suiza_DE_CN_ID!D327,Gamma_Catalogo!$A$3:$A$1451,0)),"Revisar Ip Code"))</f>
        <v/>
      </c>
      <c r="O977" s="1" t="str">
        <f aca="false">IF(Suiza_DE_CN_ID!A327="","","Suiza")</f>
        <v/>
      </c>
    </row>
    <row r="978" customFormat="false" ht="15" hidden="false" customHeight="true" outlineLevel="0" collapsed="false">
      <c r="A978" s="1" t="str">
        <f aca="false">IF(Suiza_DE_CN_ID!A328="","",IFERROR(INDEX(Mercados!$C$2:$C$32,MATCH(Suiza_DE_CN_ID!B328,Mercados!$A$2:$A$32,0)),"Revisar Tscode"))</f>
        <v/>
      </c>
      <c r="B978" s="1" t="str">
        <f aca="false">IF(Suiza_DE_CN_ID!A328="","",Suiza_DE_CN_ID!A328)</f>
        <v/>
      </c>
      <c r="C978" s="1" t="str">
        <f aca="false">IF(Suiza_DE_CN_ID!A328="","",Suiza_DE_CN_ID!C328)</f>
        <v/>
      </c>
      <c r="D978" s="1" t="str">
        <f aca="false">IF(Suiza_DE_CN_ID!A328="","",Suiza_DE_CN_ID!D328)</f>
        <v/>
      </c>
      <c r="E978" s="1" t="str">
        <f aca="false">IF(Suiza_DE_CN_ID!A328="","",Suiza_DE_CN_ID!E328)</f>
        <v/>
      </c>
      <c r="F978" s="1" t="str">
        <f aca="false">IF(Suiza_DE_CN_ID!A328="","",Suiza_DE_CN_ID!G328)</f>
        <v/>
      </c>
      <c r="I978" s="1" t="str">
        <f aca="false">IF(Suiza_DE_CN_ID!A328="","",Suiza_DE_CN_ID!H328)</f>
        <v/>
      </c>
      <c r="J978" s="1" t="str">
        <f aca="false">IF(Suiza_DE_CN_ID!A328="","",Suiza_DE_CN_ID!I328)</f>
        <v/>
      </c>
      <c r="K978" s="1" t="str">
        <f aca="false">IF(Suiza_DE_CN_ID!A328="","",UPPER(Suiza_DE_CN_ID!J328))</f>
        <v/>
      </c>
      <c r="L978" s="1" t="str">
        <f aca="false">IF(Suiza_DE_CN_ID!A328="","",IFERROR(INDEX(Gamma_Catalogo!$D$3:$D$1451,MATCH(Suiza_DE_CN_ID!D328,Gamma_Catalogo!$A$3:$A$1451,0)),"Revisar Ip Code"))</f>
        <v/>
      </c>
      <c r="M978" s="1" t="str">
        <f aca="false">IF(Suiza_DE_CN_ID!A328="","",IFERROR(INDEX(Gamma_Catalogo!$C$3:$C$1451,MATCH(Suiza_DE_CN_ID!D328,Gamma_Catalogo!$A$3:$A$1451,0)),"Revisar Ip Code"))</f>
        <v/>
      </c>
      <c r="N978" s="1" t="str">
        <f aca="false">IF(Suiza_DE_CN_ID!A328="","",IFERROR(INDEX(Gamma_Catalogo!$E$3:$E$1451,MATCH(Suiza_DE_CN_ID!D328,Gamma_Catalogo!$A$3:$A$1451,0)),"Revisar Ip Code"))</f>
        <v/>
      </c>
      <c r="O978" s="1" t="str">
        <f aca="false">IF(Suiza_DE_CN_ID!A328="","","Suiza")</f>
        <v/>
      </c>
    </row>
    <row r="979" customFormat="false" ht="15" hidden="false" customHeight="true" outlineLevel="0" collapsed="false">
      <c r="A979" s="1" t="str">
        <f aca="false">IF(Suiza_DE_CN_ID!A329="","",IFERROR(INDEX(Mercados!$C$2:$C$32,MATCH(Suiza_DE_CN_ID!B329,Mercados!$A$2:$A$32,0)),"Revisar Tscode"))</f>
        <v/>
      </c>
      <c r="B979" s="1" t="str">
        <f aca="false">IF(Suiza_DE_CN_ID!A329="","",Suiza_DE_CN_ID!A329)</f>
        <v/>
      </c>
      <c r="C979" s="1" t="str">
        <f aca="false">IF(Suiza_DE_CN_ID!A329="","",Suiza_DE_CN_ID!C329)</f>
        <v/>
      </c>
      <c r="D979" s="1" t="str">
        <f aca="false">IF(Suiza_DE_CN_ID!A329="","",Suiza_DE_CN_ID!D329)</f>
        <v/>
      </c>
      <c r="E979" s="1" t="str">
        <f aca="false">IF(Suiza_DE_CN_ID!A329="","",Suiza_DE_CN_ID!E329)</f>
        <v/>
      </c>
      <c r="F979" s="1" t="str">
        <f aca="false">IF(Suiza_DE_CN_ID!A329="","",Suiza_DE_CN_ID!G329)</f>
        <v/>
      </c>
      <c r="I979" s="1" t="str">
        <f aca="false">IF(Suiza_DE_CN_ID!A329="","",Suiza_DE_CN_ID!H329)</f>
        <v/>
      </c>
      <c r="J979" s="1" t="str">
        <f aca="false">IF(Suiza_DE_CN_ID!A329="","",Suiza_DE_CN_ID!I329)</f>
        <v/>
      </c>
      <c r="K979" s="1" t="str">
        <f aca="false">IF(Suiza_DE_CN_ID!A329="","",UPPER(Suiza_DE_CN_ID!J329))</f>
        <v/>
      </c>
      <c r="L979" s="1" t="str">
        <f aca="false">IF(Suiza_DE_CN_ID!A329="","",IFERROR(INDEX(Gamma_Catalogo!$D$3:$D$1451,MATCH(Suiza_DE_CN_ID!D329,Gamma_Catalogo!$A$3:$A$1451,0)),"Revisar Ip Code"))</f>
        <v/>
      </c>
      <c r="M979" s="1" t="str">
        <f aca="false">IF(Suiza_DE_CN_ID!A329="","",IFERROR(INDEX(Gamma_Catalogo!$C$3:$C$1451,MATCH(Suiza_DE_CN_ID!D329,Gamma_Catalogo!$A$3:$A$1451,0)),"Revisar Ip Code"))</f>
        <v/>
      </c>
      <c r="N979" s="1" t="str">
        <f aca="false">IF(Suiza_DE_CN_ID!A329="","",IFERROR(INDEX(Gamma_Catalogo!$E$3:$E$1451,MATCH(Suiza_DE_CN_ID!D329,Gamma_Catalogo!$A$3:$A$1451,0)),"Revisar Ip Code"))</f>
        <v/>
      </c>
      <c r="O979" s="1" t="str">
        <f aca="false">IF(Suiza_DE_CN_ID!A329="","","Suiza")</f>
        <v/>
      </c>
    </row>
    <row r="980" customFormat="false" ht="15" hidden="false" customHeight="true" outlineLevel="0" collapsed="false">
      <c r="A980" s="1" t="str">
        <f aca="false">IF(Suiza_DE_CN_ID!A330="","",IFERROR(INDEX(Mercados!$C$2:$C$32,MATCH(Suiza_DE_CN_ID!B330,Mercados!$A$2:$A$32,0)),"Revisar Tscode"))</f>
        <v/>
      </c>
      <c r="B980" s="1" t="str">
        <f aca="false">IF(Suiza_DE_CN_ID!A330="","",Suiza_DE_CN_ID!A330)</f>
        <v/>
      </c>
      <c r="C980" s="1" t="str">
        <f aca="false">IF(Suiza_DE_CN_ID!A330="","",Suiza_DE_CN_ID!C330)</f>
        <v/>
      </c>
      <c r="D980" s="1" t="str">
        <f aca="false">IF(Suiza_DE_CN_ID!A330="","",Suiza_DE_CN_ID!D330)</f>
        <v/>
      </c>
      <c r="E980" s="1" t="str">
        <f aca="false">IF(Suiza_DE_CN_ID!A330="","",Suiza_DE_CN_ID!E330)</f>
        <v/>
      </c>
      <c r="F980" s="1" t="str">
        <f aca="false">IF(Suiza_DE_CN_ID!A330="","",Suiza_DE_CN_ID!G330)</f>
        <v/>
      </c>
      <c r="I980" s="1" t="str">
        <f aca="false">IF(Suiza_DE_CN_ID!A330="","",Suiza_DE_CN_ID!H330)</f>
        <v/>
      </c>
      <c r="J980" s="1" t="str">
        <f aca="false">IF(Suiza_DE_CN_ID!A330="","",Suiza_DE_CN_ID!I330)</f>
        <v/>
      </c>
      <c r="K980" s="1" t="str">
        <f aca="false">IF(Suiza_DE_CN_ID!A330="","",UPPER(Suiza_DE_CN_ID!J330))</f>
        <v/>
      </c>
      <c r="L980" s="1" t="str">
        <f aca="false">IF(Suiza_DE_CN_ID!A330="","",IFERROR(INDEX(Gamma_Catalogo!$D$3:$D$1451,MATCH(Suiza_DE_CN_ID!D330,Gamma_Catalogo!$A$3:$A$1451,0)),"Revisar Ip Code"))</f>
        <v/>
      </c>
      <c r="M980" s="1" t="str">
        <f aca="false">IF(Suiza_DE_CN_ID!A330="","",IFERROR(INDEX(Gamma_Catalogo!$C$3:$C$1451,MATCH(Suiza_DE_CN_ID!D330,Gamma_Catalogo!$A$3:$A$1451,0)),"Revisar Ip Code"))</f>
        <v/>
      </c>
      <c r="N980" s="1" t="str">
        <f aca="false">IF(Suiza_DE_CN_ID!A330="","",IFERROR(INDEX(Gamma_Catalogo!$E$3:$E$1451,MATCH(Suiza_DE_CN_ID!D330,Gamma_Catalogo!$A$3:$A$1451,0)),"Revisar Ip Code"))</f>
        <v/>
      </c>
      <c r="O980" s="1" t="str">
        <f aca="false">IF(Suiza_DE_CN_ID!A330="","","Suiza")</f>
        <v/>
      </c>
    </row>
    <row r="981" customFormat="false" ht="15" hidden="false" customHeight="true" outlineLevel="0" collapsed="false">
      <c r="A981" s="1" t="str">
        <f aca="false">IF(Suiza_DE_CN_ID!A331="","",IFERROR(INDEX(Mercados!$C$2:$C$32,MATCH(Suiza_DE_CN_ID!B331,Mercados!$A$2:$A$32,0)),"Revisar Tscode"))</f>
        <v/>
      </c>
      <c r="B981" s="1" t="str">
        <f aca="false">IF(Suiza_DE_CN_ID!A331="","",Suiza_DE_CN_ID!A331)</f>
        <v/>
      </c>
      <c r="C981" s="1" t="str">
        <f aca="false">IF(Suiza_DE_CN_ID!A331="","",Suiza_DE_CN_ID!C331)</f>
        <v/>
      </c>
      <c r="D981" s="1" t="str">
        <f aca="false">IF(Suiza_DE_CN_ID!A331="","",Suiza_DE_CN_ID!D331)</f>
        <v/>
      </c>
      <c r="E981" s="1" t="str">
        <f aca="false">IF(Suiza_DE_CN_ID!A331="","",Suiza_DE_CN_ID!E331)</f>
        <v/>
      </c>
      <c r="F981" s="1" t="str">
        <f aca="false">IF(Suiza_DE_CN_ID!A331="","",Suiza_DE_CN_ID!G331)</f>
        <v/>
      </c>
      <c r="I981" s="1" t="str">
        <f aca="false">IF(Suiza_DE_CN_ID!A331="","",Suiza_DE_CN_ID!H331)</f>
        <v/>
      </c>
      <c r="J981" s="1" t="str">
        <f aca="false">IF(Suiza_DE_CN_ID!A331="","",Suiza_DE_CN_ID!I331)</f>
        <v/>
      </c>
      <c r="K981" s="1" t="str">
        <f aca="false">IF(Suiza_DE_CN_ID!A331="","",UPPER(Suiza_DE_CN_ID!J331))</f>
        <v/>
      </c>
      <c r="L981" s="1" t="str">
        <f aca="false">IF(Suiza_DE_CN_ID!A331="","",IFERROR(INDEX(Gamma_Catalogo!$D$3:$D$1451,MATCH(Suiza_DE_CN_ID!D331,Gamma_Catalogo!$A$3:$A$1451,0)),"Revisar Ip Code"))</f>
        <v/>
      </c>
      <c r="M981" s="1" t="str">
        <f aca="false">IF(Suiza_DE_CN_ID!A331="","",IFERROR(INDEX(Gamma_Catalogo!$C$3:$C$1451,MATCH(Suiza_DE_CN_ID!D331,Gamma_Catalogo!$A$3:$A$1451,0)),"Revisar Ip Code"))</f>
        <v/>
      </c>
      <c r="N981" s="1" t="str">
        <f aca="false">IF(Suiza_DE_CN_ID!A331="","",IFERROR(INDEX(Gamma_Catalogo!$E$3:$E$1451,MATCH(Suiza_DE_CN_ID!D331,Gamma_Catalogo!$A$3:$A$1451,0)),"Revisar Ip Code"))</f>
        <v/>
      </c>
      <c r="O981" s="1" t="str">
        <f aca="false">IF(Suiza_DE_CN_ID!A331="","","Suiza")</f>
        <v/>
      </c>
    </row>
    <row r="982" customFormat="false" ht="15" hidden="false" customHeight="true" outlineLevel="0" collapsed="false">
      <c r="A982" s="1" t="str">
        <f aca="false">IF(Suiza_DE_CN_ID!A332="","",IFERROR(INDEX(Mercados!$C$2:$C$32,MATCH(Suiza_DE_CN_ID!B332,Mercados!$A$2:$A$32,0)),"Revisar Tscode"))</f>
        <v/>
      </c>
      <c r="B982" s="1" t="str">
        <f aca="false">IF(Suiza_DE_CN_ID!A332="","",Suiza_DE_CN_ID!A332)</f>
        <v/>
      </c>
      <c r="C982" s="1" t="str">
        <f aca="false">IF(Suiza_DE_CN_ID!A332="","",Suiza_DE_CN_ID!C332)</f>
        <v/>
      </c>
      <c r="D982" s="1" t="str">
        <f aca="false">IF(Suiza_DE_CN_ID!A332="","",Suiza_DE_CN_ID!D332)</f>
        <v/>
      </c>
      <c r="E982" s="1" t="str">
        <f aca="false">IF(Suiza_DE_CN_ID!A332="","",Suiza_DE_CN_ID!E332)</f>
        <v/>
      </c>
      <c r="F982" s="1" t="str">
        <f aca="false">IF(Suiza_DE_CN_ID!A332="","",Suiza_DE_CN_ID!G332)</f>
        <v/>
      </c>
      <c r="I982" s="1" t="str">
        <f aca="false">IF(Suiza_DE_CN_ID!A332="","",Suiza_DE_CN_ID!H332)</f>
        <v/>
      </c>
      <c r="J982" s="1" t="str">
        <f aca="false">IF(Suiza_DE_CN_ID!A332="","",Suiza_DE_CN_ID!I332)</f>
        <v/>
      </c>
      <c r="K982" s="1" t="str">
        <f aca="false">IF(Suiza_DE_CN_ID!A332="","",UPPER(Suiza_DE_CN_ID!J332))</f>
        <v/>
      </c>
      <c r="L982" s="1" t="str">
        <f aca="false">IF(Suiza_DE_CN_ID!A332="","",IFERROR(INDEX(Gamma_Catalogo!$D$3:$D$1451,MATCH(Suiza_DE_CN_ID!D332,Gamma_Catalogo!$A$3:$A$1451,0)),"Revisar Ip Code"))</f>
        <v/>
      </c>
      <c r="M982" s="1" t="str">
        <f aca="false">IF(Suiza_DE_CN_ID!A332="","",IFERROR(INDEX(Gamma_Catalogo!$C$3:$C$1451,MATCH(Suiza_DE_CN_ID!D332,Gamma_Catalogo!$A$3:$A$1451,0)),"Revisar Ip Code"))</f>
        <v/>
      </c>
      <c r="N982" s="1" t="str">
        <f aca="false">IF(Suiza_DE_CN_ID!A332="","",IFERROR(INDEX(Gamma_Catalogo!$E$3:$E$1451,MATCH(Suiza_DE_CN_ID!D332,Gamma_Catalogo!$A$3:$A$1451,0)),"Revisar Ip Code"))</f>
        <v/>
      </c>
      <c r="O982" s="1" t="str">
        <f aca="false">IF(Suiza_DE_CN_ID!A332="","","Suiza")</f>
        <v/>
      </c>
    </row>
    <row r="983" customFormat="false" ht="15" hidden="false" customHeight="true" outlineLevel="0" collapsed="false">
      <c r="A983" s="1" t="str">
        <f aca="false">IF(Suiza_DE_CN_ID!A333="","",IFERROR(INDEX(Mercados!$C$2:$C$32,MATCH(Suiza_DE_CN_ID!B333,Mercados!$A$2:$A$32,0)),"Revisar Tscode"))</f>
        <v/>
      </c>
      <c r="B983" s="1" t="str">
        <f aca="false">IF(Suiza_DE_CN_ID!A333="","",Suiza_DE_CN_ID!A333)</f>
        <v/>
      </c>
      <c r="C983" s="1" t="str">
        <f aca="false">IF(Suiza_DE_CN_ID!A333="","",Suiza_DE_CN_ID!C333)</f>
        <v/>
      </c>
      <c r="D983" s="1" t="str">
        <f aca="false">IF(Suiza_DE_CN_ID!A333="","",Suiza_DE_CN_ID!D333)</f>
        <v/>
      </c>
      <c r="E983" s="1" t="str">
        <f aca="false">IF(Suiza_DE_CN_ID!A333="","",Suiza_DE_CN_ID!E333)</f>
        <v/>
      </c>
      <c r="F983" s="1" t="str">
        <f aca="false">IF(Suiza_DE_CN_ID!A333="","",Suiza_DE_CN_ID!G333)</f>
        <v/>
      </c>
      <c r="I983" s="1" t="str">
        <f aca="false">IF(Suiza_DE_CN_ID!A333="","",Suiza_DE_CN_ID!H333)</f>
        <v/>
      </c>
      <c r="J983" s="1" t="str">
        <f aca="false">IF(Suiza_DE_CN_ID!A333="","",Suiza_DE_CN_ID!I333)</f>
        <v/>
      </c>
      <c r="K983" s="1" t="str">
        <f aca="false">IF(Suiza_DE_CN_ID!A333="","",UPPER(Suiza_DE_CN_ID!J333))</f>
        <v/>
      </c>
      <c r="L983" s="1" t="str">
        <f aca="false">IF(Suiza_DE_CN_ID!A333="","",IFERROR(INDEX(Gamma_Catalogo!$D$3:$D$1451,MATCH(Suiza_DE_CN_ID!D333,Gamma_Catalogo!$A$3:$A$1451,0)),"Revisar Ip Code"))</f>
        <v/>
      </c>
      <c r="M983" s="1" t="str">
        <f aca="false">IF(Suiza_DE_CN_ID!A333="","",IFERROR(INDEX(Gamma_Catalogo!$C$3:$C$1451,MATCH(Suiza_DE_CN_ID!D333,Gamma_Catalogo!$A$3:$A$1451,0)),"Revisar Ip Code"))</f>
        <v/>
      </c>
      <c r="N983" s="1" t="str">
        <f aca="false">IF(Suiza_DE_CN_ID!A333="","",IFERROR(INDEX(Gamma_Catalogo!$E$3:$E$1451,MATCH(Suiza_DE_CN_ID!D333,Gamma_Catalogo!$A$3:$A$1451,0)),"Revisar Ip Code"))</f>
        <v/>
      </c>
      <c r="O983" s="1" t="str">
        <f aca="false">IF(Suiza_DE_CN_ID!A333="","","Suiza")</f>
        <v/>
      </c>
    </row>
    <row r="984" customFormat="false" ht="15" hidden="false" customHeight="true" outlineLevel="0" collapsed="false">
      <c r="A984" s="1" t="str">
        <f aca="false">IF(Suiza_DE_CN_ID!A334="","",IFERROR(INDEX(Mercados!$C$2:$C$32,MATCH(Suiza_DE_CN_ID!B334,Mercados!$A$2:$A$32,0)),"Revisar Tscode"))</f>
        <v/>
      </c>
      <c r="B984" s="1" t="str">
        <f aca="false">IF(Suiza_DE_CN_ID!A334="","",Suiza_DE_CN_ID!A334)</f>
        <v/>
      </c>
      <c r="C984" s="1" t="str">
        <f aca="false">IF(Suiza_DE_CN_ID!A334="","",Suiza_DE_CN_ID!C334)</f>
        <v/>
      </c>
      <c r="D984" s="1" t="str">
        <f aca="false">IF(Suiza_DE_CN_ID!A334="","",Suiza_DE_CN_ID!D334)</f>
        <v/>
      </c>
      <c r="E984" s="1" t="str">
        <f aca="false">IF(Suiza_DE_CN_ID!A334="","",Suiza_DE_CN_ID!E334)</f>
        <v/>
      </c>
      <c r="F984" s="1" t="str">
        <f aca="false">IF(Suiza_DE_CN_ID!A334="","",Suiza_DE_CN_ID!G334)</f>
        <v/>
      </c>
      <c r="I984" s="1" t="str">
        <f aca="false">IF(Suiza_DE_CN_ID!A334="","",Suiza_DE_CN_ID!H334)</f>
        <v/>
      </c>
      <c r="J984" s="1" t="str">
        <f aca="false">IF(Suiza_DE_CN_ID!A334="","",Suiza_DE_CN_ID!I334)</f>
        <v/>
      </c>
      <c r="K984" s="1" t="str">
        <f aca="false">IF(Suiza_DE_CN_ID!A334="","",UPPER(Suiza_DE_CN_ID!J334))</f>
        <v/>
      </c>
      <c r="L984" s="1" t="str">
        <f aca="false">IF(Suiza_DE_CN_ID!A334="","",IFERROR(INDEX(Gamma_Catalogo!$D$3:$D$1451,MATCH(Suiza_DE_CN_ID!D334,Gamma_Catalogo!$A$3:$A$1451,0)),"Revisar Ip Code"))</f>
        <v/>
      </c>
      <c r="M984" s="1" t="str">
        <f aca="false">IF(Suiza_DE_CN_ID!A334="","",IFERROR(INDEX(Gamma_Catalogo!$C$3:$C$1451,MATCH(Suiza_DE_CN_ID!D334,Gamma_Catalogo!$A$3:$A$1451,0)),"Revisar Ip Code"))</f>
        <v/>
      </c>
      <c r="N984" s="1" t="str">
        <f aca="false">IF(Suiza_DE_CN_ID!A334="","",IFERROR(INDEX(Gamma_Catalogo!$E$3:$E$1451,MATCH(Suiza_DE_CN_ID!D334,Gamma_Catalogo!$A$3:$A$1451,0)),"Revisar Ip Code"))</f>
        <v/>
      </c>
      <c r="O984" s="1" t="str">
        <f aca="false">IF(Suiza_DE_CN_ID!A334="","","Suiza")</f>
        <v/>
      </c>
    </row>
    <row r="985" customFormat="false" ht="15" hidden="false" customHeight="true" outlineLevel="0" collapsed="false">
      <c r="A985" s="1" t="str">
        <f aca="false">IF(Suiza_DE_CN_ID!A335="","",IFERROR(INDEX(Mercados!$C$2:$C$32,MATCH(Suiza_DE_CN_ID!B335,Mercados!$A$2:$A$32,0)),"Revisar Tscode"))</f>
        <v/>
      </c>
      <c r="B985" s="1" t="str">
        <f aca="false">IF(Suiza_DE_CN_ID!A335="","",Suiza_DE_CN_ID!A335)</f>
        <v/>
      </c>
      <c r="C985" s="1" t="str">
        <f aca="false">IF(Suiza_DE_CN_ID!A335="","",Suiza_DE_CN_ID!C335)</f>
        <v/>
      </c>
      <c r="D985" s="1" t="str">
        <f aca="false">IF(Suiza_DE_CN_ID!A335="","",Suiza_DE_CN_ID!D335)</f>
        <v/>
      </c>
      <c r="E985" s="1" t="str">
        <f aca="false">IF(Suiza_DE_CN_ID!A335="","",Suiza_DE_CN_ID!E335)</f>
        <v/>
      </c>
      <c r="F985" s="1" t="str">
        <f aca="false">IF(Suiza_DE_CN_ID!A335="","",Suiza_DE_CN_ID!G335)</f>
        <v/>
      </c>
      <c r="I985" s="1" t="str">
        <f aca="false">IF(Suiza_DE_CN_ID!A335="","",Suiza_DE_CN_ID!H335)</f>
        <v/>
      </c>
      <c r="J985" s="1" t="str">
        <f aca="false">IF(Suiza_DE_CN_ID!A335="","",Suiza_DE_CN_ID!I335)</f>
        <v/>
      </c>
      <c r="K985" s="1" t="str">
        <f aca="false">IF(Suiza_DE_CN_ID!A335="","",UPPER(Suiza_DE_CN_ID!J335))</f>
        <v/>
      </c>
      <c r="L985" s="1" t="str">
        <f aca="false">IF(Suiza_DE_CN_ID!A335="","",IFERROR(INDEX(Gamma_Catalogo!$D$3:$D$1451,MATCH(Suiza_DE_CN_ID!D335,Gamma_Catalogo!$A$3:$A$1451,0)),"Revisar Ip Code"))</f>
        <v/>
      </c>
      <c r="M985" s="1" t="str">
        <f aca="false">IF(Suiza_DE_CN_ID!A335="","",IFERROR(INDEX(Gamma_Catalogo!$C$3:$C$1451,MATCH(Suiza_DE_CN_ID!D335,Gamma_Catalogo!$A$3:$A$1451,0)),"Revisar Ip Code"))</f>
        <v/>
      </c>
      <c r="N985" s="1" t="str">
        <f aca="false">IF(Suiza_DE_CN_ID!A335="","",IFERROR(INDEX(Gamma_Catalogo!$E$3:$E$1451,MATCH(Suiza_DE_CN_ID!D335,Gamma_Catalogo!$A$3:$A$1451,0)),"Revisar Ip Code"))</f>
        <v/>
      </c>
      <c r="O985" s="1" t="str">
        <f aca="false">IF(Suiza_DE_CN_ID!A335="","","Suiza")</f>
        <v/>
      </c>
    </row>
    <row r="986" customFormat="false" ht="15" hidden="false" customHeight="true" outlineLevel="0" collapsed="false">
      <c r="A986" s="1" t="str">
        <f aca="false">IF(Suiza_DE_CN_ID!A336="","",IFERROR(INDEX(Mercados!$C$2:$C$32,MATCH(Suiza_DE_CN_ID!B336,Mercados!$A$2:$A$32,0)),"Revisar Tscode"))</f>
        <v/>
      </c>
      <c r="B986" s="1" t="str">
        <f aca="false">IF(Suiza_DE_CN_ID!A336="","",Suiza_DE_CN_ID!A336)</f>
        <v/>
      </c>
      <c r="C986" s="1" t="str">
        <f aca="false">IF(Suiza_DE_CN_ID!A336="","",Suiza_DE_CN_ID!C336)</f>
        <v/>
      </c>
      <c r="D986" s="1" t="str">
        <f aca="false">IF(Suiza_DE_CN_ID!A336="","",Suiza_DE_CN_ID!D336)</f>
        <v/>
      </c>
      <c r="E986" s="1" t="str">
        <f aca="false">IF(Suiza_DE_CN_ID!A336="","",Suiza_DE_CN_ID!E336)</f>
        <v/>
      </c>
      <c r="F986" s="1" t="str">
        <f aca="false">IF(Suiza_DE_CN_ID!A336="","",Suiza_DE_CN_ID!G336)</f>
        <v/>
      </c>
      <c r="I986" s="1" t="str">
        <f aca="false">IF(Suiza_DE_CN_ID!A336="","",Suiza_DE_CN_ID!H336)</f>
        <v/>
      </c>
      <c r="J986" s="1" t="str">
        <f aca="false">IF(Suiza_DE_CN_ID!A336="","",Suiza_DE_CN_ID!I336)</f>
        <v/>
      </c>
      <c r="K986" s="1" t="str">
        <f aca="false">IF(Suiza_DE_CN_ID!A336="","",UPPER(Suiza_DE_CN_ID!J336))</f>
        <v/>
      </c>
      <c r="L986" s="1" t="str">
        <f aca="false">IF(Suiza_DE_CN_ID!A336="","",IFERROR(INDEX(Gamma_Catalogo!$D$3:$D$1451,MATCH(Suiza_DE_CN_ID!D336,Gamma_Catalogo!$A$3:$A$1451,0)),"Revisar Ip Code"))</f>
        <v/>
      </c>
      <c r="M986" s="1" t="str">
        <f aca="false">IF(Suiza_DE_CN_ID!A336="","",IFERROR(INDEX(Gamma_Catalogo!$C$3:$C$1451,MATCH(Suiza_DE_CN_ID!D336,Gamma_Catalogo!$A$3:$A$1451,0)),"Revisar Ip Code"))</f>
        <v/>
      </c>
      <c r="N986" s="1" t="str">
        <f aca="false">IF(Suiza_DE_CN_ID!A336="","",IFERROR(INDEX(Gamma_Catalogo!$E$3:$E$1451,MATCH(Suiza_DE_CN_ID!D336,Gamma_Catalogo!$A$3:$A$1451,0)),"Revisar Ip Code"))</f>
        <v/>
      </c>
      <c r="O986" s="1" t="str">
        <f aca="false">IF(Suiza_DE_CN_ID!A336="","","Suiza")</f>
        <v/>
      </c>
    </row>
    <row r="987" customFormat="false" ht="15" hidden="false" customHeight="true" outlineLevel="0" collapsed="false">
      <c r="A987" s="1" t="str">
        <f aca="false">IF(Suiza_DE_CN_ID!A337="","",IFERROR(INDEX(Mercados!$C$2:$C$32,MATCH(Suiza_DE_CN_ID!B337,Mercados!$A$2:$A$32,0)),"Revisar Tscode"))</f>
        <v/>
      </c>
      <c r="B987" s="1" t="str">
        <f aca="false">IF(Suiza_DE_CN_ID!A337="","",Suiza_DE_CN_ID!A337)</f>
        <v/>
      </c>
      <c r="C987" s="1" t="str">
        <f aca="false">IF(Suiza_DE_CN_ID!A337="","",Suiza_DE_CN_ID!C337)</f>
        <v/>
      </c>
      <c r="D987" s="1" t="str">
        <f aca="false">IF(Suiza_DE_CN_ID!A337="","",Suiza_DE_CN_ID!D337)</f>
        <v/>
      </c>
      <c r="E987" s="1" t="str">
        <f aca="false">IF(Suiza_DE_CN_ID!A337="","",Suiza_DE_CN_ID!E337)</f>
        <v/>
      </c>
      <c r="F987" s="1" t="str">
        <f aca="false">IF(Suiza_DE_CN_ID!A337="","",Suiza_DE_CN_ID!G337)</f>
        <v/>
      </c>
      <c r="I987" s="1" t="str">
        <f aca="false">IF(Suiza_DE_CN_ID!A337="","",Suiza_DE_CN_ID!H337)</f>
        <v/>
      </c>
      <c r="J987" s="1" t="str">
        <f aca="false">IF(Suiza_DE_CN_ID!A337="","",Suiza_DE_CN_ID!I337)</f>
        <v/>
      </c>
      <c r="K987" s="1" t="str">
        <f aca="false">IF(Suiza_DE_CN_ID!A337="","",UPPER(Suiza_DE_CN_ID!J337))</f>
        <v/>
      </c>
      <c r="L987" s="1" t="str">
        <f aca="false">IF(Suiza_DE_CN_ID!A337="","",IFERROR(INDEX(Gamma_Catalogo!$D$3:$D$1451,MATCH(Suiza_DE_CN_ID!D337,Gamma_Catalogo!$A$3:$A$1451,0)),"Revisar Ip Code"))</f>
        <v/>
      </c>
      <c r="M987" s="1" t="str">
        <f aca="false">IF(Suiza_DE_CN_ID!A337="","",IFERROR(INDEX(Gamma_Catalogo!$C$3:$C$1451,MATCH(Suiza_DE_CN_ID!D337,Gamma_Catalogo!$A$3:$A$1451,0)),"Revisar Ip Code"))</f>
        <v/>
      </c>
      <c r="N987" s="1" t="str">
        <f aca="false">IF(Suiza_DE_CN_ID!A337="","",IFERROR(INDEX(Gamma_Catalogo!$E$3:$E$1451,MATCH(Suiza_DE_CN_ID!D337,Gamma_Catalogo!$A$3:$A$1451,0)),"Revisar Ip Code"))</f>
        <v/>
      </c>
      <c r="O987" s="1" t="str">
        <f aca="false">IF(Suiza_DE_CN_ID!A337="","","Suiza")</f>
        <v/>
      </c>
    </row>
    <row r="988" customFormat="false" ht="15" hidden="false" customHeight="true" outlineLevel="0" collapsed="false">
      <c r="A988" s="1" t="str">
        <f aca="false">IF(Suiza_DE_CN_ID!A338="","",IFERROR(INDEX(Mercados!$C$2:$C$32,MATCH(Suiza_DE_CN_ID!B338,Mercados!$A$2:$A$32,0)),"Revisar Tscode"))</f>
        <v/>
      </c>
      <c r="B988" s="1" t="str">
        <f aca="false">IF(Suiza_DE_CN_ID!A338="","",Suiza_DE_CN_ID!A338)</f>
        <v/>
      </c>
      <c r="C988" s="1" t="str">
        <f aca="false">IF(Suiza_DE_CN_ID!A338="","",Suiza_DE_CN_ID!C338)</f>
        <v/>
      </c>
      <c r="D988" s="1" t="str">
        <f aca="false">IF(Suiza_DE_CN_ID!A338="","",Suiza_DE_CN_ID!D338)</f>
        <v/>
      </c>
      <c r="E988" s="1" t="str">
        <f aca="false">IF(Suiza_DE_CN_ID!A338="","",Suiza_DE_CN_ID!E338)</f>
        <v/>
      </c>
      <c r="F988" s="1" t="str">
        <f aca="false">IF(Suiza_DE_CN_ID!A338="","",Suiza_DE_CN_ID!G338)</f>
        <v/>
      </c>
      <c r="I988" s="1" t="str">
        <f aca="false">IF(Suiza_DE_CN_ID!A338="","",Suiza_DE_CN_ID!H338)</f>
        <v/>
      </c>
      <c r="J988" s="1" t="str">
        <f aca="false">IF(Suiza_DE_CN_ID!A338="","",Suiza_DE_CN_ID!I338)</f>
        <v/>
      </c>
      <c r="K988" s="1" t="str">
        <f aca="false">IF(Suiza_DE_CN_ID!A338="","",UPPER(Suiza_DE_CN_ID!J338))</f>
        <v/>
      </c>
      <c r="L988" s="1" t="str">
        <f aca="false">IF(Suiza_DE_CN_ID!A338="","",IFERROR(INDEX(Gamma_Catalogo!$D$3:$D$1451,MATCH(Suiza_DE_CN_ID!D338,Gamma_Catalogo!$A$3:$A$1451,0)),"Revisar Ip Code"))</f>
        <v/>
      </c>
      <c r="M988" s="1" t="str">
        <f aca="false">IF(Suiza_DE_CN_ID!A338="","",IFERROR(INDEX(Gamma_Catalogo!$C$3:$C$1451,MATCH(Suiza_DE_CN_ID!D338,Gamma_Catalogo!$A$3:$A$1451,0)),"Revisar Ip Code"))</f>
        <v/>
      </c>
      <c r="N988" s="1" t="str">
        <f aca="false">IF(Suiza_DE_CN_ID!A338="","",IFERROR(INDEX(Gamma_Catalogo!$E$3:$E$1451,MATCH(Suiza_DE_CN_ID!D338,Gamma_Catalogo!$A$3:$A$1451,0)),"Revisar Ip Code"))</f>
        <v/>
      </c>
      <c r="O988" s="1" t="str">
        <f aca="false">IF(Suiza_DE_CN_ID!A338="","","Suiza")</f>
        <v/>
      </c>
    </row>
    <row r="989" customFormat="false" ht="15" hidden="false" customHeight="true" outlineLevel="0" collapsed="false">
      <c r="A989" s="1" t="str">
        <f aca="false">IF(Suiza_DE_CN_ID!A339="","",IFERROR(INDEX(Mercados!$C$2:$C$32,MATCH(Suiza_DE_CN_ID!B339,Mercados!$A$2:$A$32,0)),"Revisar Tscode"))</f>
        <v/>
      </c>
      <c r="B989" s="1" t="str">
        <f aca="false">IF(Suiza_DE_CN_ID!A339="","",Suiza_DE_CN_ID!A339)</f>
        <v/>
      </c>
      <c r="C989" s="1" t="str">
        <f aca="false">IF(Suiza_DE_CN_ID!A339="","",Suiza_DE_CN_ID!C339)</f>
        <v/>
      </c>
      <c r="D989" s="1" t="str">
        <f aca="false">IF(Suiza_DE_CN_ID!A339="","",Suiza_DE_CN_ID!D339)</f>
        <v/>
      </c>
      <c r="E989" s="1" t="str">
        <f aca="false">IF(Suiza_DE_CN_ID!A339="","",Suiza_DE_CN_ID!E339)</f>
        <v/>
      </c>
      <c r="F989" s="1" t="str">
        <f aca="false">IF(Suiza_DE_CN_ID!A339="","",Suiza_DE_CN_ID!G339)</f>
        <v/>
      </c>
      <c r="I989" s="1" t="str">
        <f aca="false">IF(Suiza_DE_CN_ID!A339="","",Suiza_DE_CN_ID!H339)</f>
        <v/>
      </c>
      <c r="J989" s="1" t="str">
        <f aca="false">IF(Suiza_DE_CN_ID!A339="","",Suiza_DE_CN_ID!I339)</f>
        <v/>
      </c>
      <c r="K989" s="1" t="str">
        <f aca="false">IF(Suiza_DE_CN_ID!A339="","",UPPER(Suiza_DE_CN_ID!J339))</f>
        <v/>
      </c>
      <c r="L989" s="1" t="str">
        <f aca="false">IF(Suiza_DE_CN_ID!A339="","",IFERROR(INDEX(Gamma_Catalogo!$D$3:$D$1451,MATCH(Suiza_DE_CN_ID!D339,Gamma_Catalogo!$A$3:$A$1451,0)),"Revisar Ip Code"))</f>
        <v/>
      </c>
      <c r="M989" s="1" t="str">
        <f aca="false">IF(Suiza_DE_CN_ID!A339="","",IFERROR(INDEX(Gamma_Catalogo!$C$3:$C$1451,MATCH(Suiza_DE_CN_ID!D339,Gamma_Catalogo!$A$3:$A$1451,0)),"Revisar Ip Code"))</f>
        <v/>
      </c>
      <c r="N989" s="1" t="str">
        <f aca="false">IF(Suiza_DE_CN_ID!A339="","",IFERROR(INDEX(Gamma_Catalogo!$E$3:$E$1451,MATCH(Suiza_DE_CN_ID!D339,Gamma_Catalogo!$A$3:$A$1451,0)),"Revisar Ip Code"))</f>
        <v/>
      </c>
      <c r="O989" s="1" t="str">
        <f aca="false">IF(Suiza_DE_CN_ID!A339="","","Suiza")</f>
        <v/>
      </c>
    </row>
    <row r="990" customFormat="false" ht="15" hidden="false" customHeight="true" outlineLevel="0" collapsed="false">
      <c r="A990" s="1" t="str">
        <f aca="false">IF(Suiza_DE_CN_ID!A340="","",IFERROR(INDEX(Mercados!$C$2:$C$32,MATCH(Suiza_DE_CN_ID!B340,Mercados!$A$2:$A$32,0)),"Revisar Tscode"))</f>
        <v/>
      </c>
      <c r="B990" s="1" t="str">
        <f aca="false">IF(Suiza_DE_CN_ID!A340="","",Suiza_DE_CN_ID!A340)</f>
        <v/>
      </c>
      <c r="C990" s="1" t="str">
        <f aca="false">IF(Suiza_DE_CN_ID!A340="","",Suiza_DE_CN_ID!C340)</f>
        <v/>
      </c>
      <c r="D990" s="1" t="str">
        <f aca="false">IF(Suiza_DE_CN_ID!A340="","",Suiza_DE_CN_ID!D340)</f>
        <v/>
      </c>
      <c r="E990" s="1" t="str">
        <f aca="false">IF(Suiza_DE_CN_ID!A340="","",Suiza_DE_CN_ID!E340)</f>
        <v/>
      </c>
      <c r="F990" s="1" t="str">
        <f aca="false">IF(Suiza_DE_CN_ID!A340="","",Suiza_DE_CN_ID!G340)</f>
        <v/>
      </c>
      <c r="I990" s="1" t="str">
        <f aca="false">IF(Suiza_DE_CN_ID!A340="","",Suiza_DE_CN_ID!H340)</f>
        <v/>
      </c>
      <c r="J990" s="1" t="str">
        <f aca="false">IF(Suiza_DE_CN_ID!A340="","",Suiza_DE_CN_ID!I340)</f>
        <v/>
      </c>
      <c r="K990" s="1" t="str">
        <f aca="false">IF(Suiza_DE_CN_ID!A340="","",UPPER(Suiza_DE_CN_ID!J340))</f>
        <v/>
      </c>
      <c r="L990" s="1" t="str">
        <f aca="false">IF(Suiza_DE_CN_ID!A340="","",IFERROR(INDEX(Gamma_Catalogo!$D$3:$D$1451,MATCH(Suiza_DE_CN_ID!D340,Gamma_Catalogo!$A$3:$A$1451,0)),"Revisar Ip Code"))</f>
        <v/>
      </c>
      <c r="M990" s="1" t="str">
        <f aca="false">IF(Suiza_DE_CN_ID!A340="","",IFERROR(INDEX(Gamma_Catalogo!$C$3:$C$1451,MATCH(Suiza_DE_CN_ID!D340,Gamma_Catalogo!$A$3:$A$1451,0)),"Revisar Ip Code"))</f>
        <v/>
      </c>
      <c r="N990" s="1" t="str">
        <f aca="false">IF(Suiza_DE_CN_ID!A340="","",IFERROR(INDEX(Gamma_Catalogo!$E$3:$E$1451,MATCH(Suiza_DE_CN_ID!D340,Gamma_Catalogo!$A$3:$A$1451,0)),"Revisar Ip Code"))</f>
        <v/>
      </c>
      <c r="O990" s="1" t="str">
        <f aca="false">IF(Suiza_DE_CN_ID!A340="","","Suiza")</f>
        <v/>
      </c>
    </row>
    <row r="991" customFormat="false" ht="15" hidden="false" customHeight="true" outlineLevel="0" collapsed="false">
      <c r="A991" s="1" t="str">
        <f aca="false">IF(Suiza_DE_CN_ID!A341="","",IFERROR(INDEX(Mercados!$C$2:$C$32,MATCH(Suiza_DE_CN_ID!B341,Mercados!$A$2:$A$32,0)),"Revisar Tscode"))</f>
        <v/>
      </c>
      <c r="B991" s="1" t="str">
        <f aca="false">IF(Suiza_DE_CN_ID!A341="","",Suiza_DE_CN_ID!A341)</f>
        <v/>
      </c>
      <c r="C991" s="1" t="str">
        <f aca="false">IF(Suiza_DE_CN_ID!A341="","",Suiza_DE_CN_ID!C341)</f>
        <v/>
      </c>
      <c r="D991" s="1" t="str">
        <f aca="false">IF(Suiza_DE_CN_ID!A341="","",Suiza_DE_CN_ID!D341)</f>
        <v/>
      </c>
      <c r="E991" s="1" t="str">
        <f aca="false">IF(Suiza_DE_CN_ID!A341="","",Suiza_DE_CN_ID!E341)</f>
        <v/>
      </c>
      <c r="F991" s="1" t="str">
        <f aca="false">IF(Suiza_DE_CN_ID!A341="","",Suiza_DE_CN_ID!G341)</f>
        <v/>
      </c>
      <c r="I991" s="1" t="str">
        <f aca="false">IF(Suiza_DE_CN_ID!A341="","",Suiza_DE_CN_ID!H341)</f>
        <v/>
      </c>
      <c r="J991" s="1" t="str">
        <f aca="false">IF(Suiza_DE_CN_ID!A341="","",Suiza_DE_CN_ID!I341)</f>
        <v/>
      </c>
      <c r="K991" s="1" t="str">
        <f aca="false">IF(Suiza_DE_CN_ID!A341="","",UPPER(Suiza_DE_CN_ID!J341))</f>
        <v/>
      </c>
      <c r="L991" s="1" t="str">
        <f aca="false">IF(Suiza_DE_CN_ID!A341="","",IFERROR(INDEX(Gamma_Catalogo!$D$3:$D$1451,MATCH(Suiza_DE_CN_ID!D341,Gamma_Catalogo!$A$3:$A$1451,0)),"Revisar Ip Code"))</f>
        <v/>
      </c>
      <c r="M991" s="1" t="str">
        <f aca="false">IF(Suiza_DE_CN_ID!A341="","",IFERROR(INDEX(Gamma_Catalogo!$C$3:$C$1451,MATCH(Suiza_DE_CN_ID!D341,Gamma_Catalogo!$A$3:$A$1451,0)),"Revisar Ip Code"))</f>
        <v/>
      </c>
      <c r="N991" s="1" t="str">
        <f aca="false">IF(Suiza_DE_CN_ID!A341="","",IFERROR(INDEX(Gamma_Catalogo!$E$3:$E$1451,MATCH(Suiza_DE_CN_ID!D341,Gamma_Catalogo!$A$3:$A$1451,0)),"Revisar Ip Code"))</f>
        <v/>
      </c>
      <c r="O991" s="1" t="str">
        <f aca="false">IF(Suiza_DE_CN_ID!A341="","","Suiza")</f>
        <v/>
      </c>
    </row>
    <row r="992" customFormat="false" ht="15" hidden="false" customHeight="true" outlineLevel="0" collapsed="false">
      <c r="A992" s="1" t="str">
        <f aca="false">IF(Suiza_DE_CN_ID!A342="","",IFERROR(INDEX(Mercados!$C$2:$C$32,MATCH(Suiza_DE_CN_ID!B342,Mercados!$A$2:$A$32,0)),"Revisar Tscode"))</f>
        <v/>
      </c>
      <c r="B992" s="1" t="str">
        <f aca="false">IF(Suiza_DE_CN_ID!A342="","",Suiza_DE_CN_ID!A342)</f>
        <v/>
      </c>
      <c r="C992" s="1" t="str">
        <f aca="false">IF(Suiza_DE_CN_ID!A342="","",Suiza_DE_CN_ID!C342)</f>
        <v/>
      </c>
      <c r="D992" s="1" t="str">
        <f aca="false">IF(Suiza_DE_CN_ID!A342="","",Suiza_DE_CN_ID!D342)</f>
        <v/>
      </c>
      <c r="E992" s="1" t="str">
        <f aca="false">IF(Suiza_DE_CN_ID!A342="","",Suiza_DE_CN_ID!E342)</f>
        <v/>
      </c>
      <c r="F992" s="1" t="str">
        <f aca="false">IF(Suiza_DE_CN_ID!A342="","",Suiza_DE_CN_ID!G342)</f>
        <v/>
      </c>
      <c r="I992" s="1" t="str">
        <f aca="false">IF(Suiza_DE_CN_ID!A342="","",Suiza_DE_CN_ID!H342)</f>
        <v/>
      </c>
      <c r="J992" s="1" t="str">
        <f aca="false">IF(Suiza_DE_CN_ID!A342="","",Suiza_DE_CN_ID!I342)</f>
        <v/>
      </c>
      <c r="K992" s="1" t="str">
        <f aca="false">IF(Suiza_DE_CN_ID!A342="","",UPPER(Suiza_DE_CN_ID!J342))</f>
        <v/>
      </c>
      <c r="L992" s="1" t="str">
        <f aca="false">IF(Suiza_DE_CN_ID!A342="","",IFERROR(INDEX(Gamma_Catalogo!$D$3:$D$1451,MATCH(Suiza_DE_CN_ID!D342,Gamma_Catalogo!$A$3:$A$1451,0)),"Revisar Ip Code"))</f>
        <v/>
      </c>
      <c r="M992" s="1" t="str">
        <f aca="false">IF(Suiza_DE_CN_ID!A342="","",IFERROR(INDEX(Gamma_Catalogo!$C$3:$C$1451,MATCH(Suiza_DE_CN_ID!D342,Gamma_Catalogo!$A$3:$A$1451,0)),"Revisar Ip Code"))</f>
        <v/>
      </c>
      <c r="N992" s="1" t="str">
        <f aca="false">IF(Suiza_DE_CN_ID!A342="","",IFERROR(INDEX(Gamma_Catalogo!$E$3:$E$1451,MATCH(Suiza_DE_CN_ID!D342,Gamma_Catalogo!$A$3:$A$1451,0)),"Revisar Ip Code"))</f>
        <v/>
      </c>
      <c r="O992" s="1" t="str">
        <f aca="false">IF(Suiza_DE_CN_ID!A342="","","Suiza")</f>
        <v/>
      </c>
    </row>
    <row r="993" customFormat="false" ht="15" hidden="false" customHeight="true" outlineLevel="0" collapsed="false">
      <c r="A993" s="1" t="str">
        <f aca="false">IF(Suiza_DE_CN_ID!A343="","",IFERROR(INDEX(Mercados!$C$2:$C$32,MATCH(Suiza_DE_CN_ID!B343,Mercados!$A$2:$A$32,0)),"Revisar Tscode"))</f>
        <v/>
      </c>
      <c r="B993" s="1" t="str">
        <f aca="false">IF(Suiza_DE_CN_ID!A343="","",Suiza_DE_CN_ID!A343)</f>
        <v/>
      </c>
      <c r="C993" s="1" t="str">
        <f aca="false">IF(Suiza_DE_CN_ID!A343="","",Suiza_DE_CN_ID!C343)</f>
        <v/>
      </c>
      <c r="D993" s="1" t="str">
        <f aca="false">IF(Suiza_DE_CN_ID!A343="","",Suiza_DE_CN_ID!D343)</f>
        <v/>
      </c>
      <c r="E993" s="1" t="str">
        <f aca="false">IF(Suiza_DE_CN_ID!A343="","",Suiza_DE_CN_ID!E343)</f>
        <v/>
      </c>
      <c r="F993" s="1" t="str">
        <f aca="false">IF(Suiza_DE_CN_ID!A343="","",Suiza_DE_CN_ID!G343)</f>
        <v/>
      </c>
      <c r="I993" s="1" t="str">
        <f aca="false">IF(Suiza_DE_CN_ID!A343="","",Suiza_DE_CN_ID!H343)</f>
        <v/>
      </c>
      <c r="J993" s="1" t="str">
        <f aca="false">IF(Suiza_DE_CN_ID!A343="","",Suiza_DE_CN_ID!I343)</f>
        <v/>
      </c>
      <c r="K993" s="1" t="str">
        <f aca="false">IF(Suiza_DE_CN_ID!A343="","",UPPER(Suiza_DE_CN_ID!J343))</f>
        <v/>
      </c>
      <c r="L993" s="1" t="str">
        <f aca="false">IF(Suiza_DE_CN_ID!A343="","",IFERROR(INDEX(Gamma_Catalogo!$D$3:$D$1451,MATCH(Suiza_DE_CN_ID!D343,Gamma_Catalogo!$A$3:$A$1451,0)),"Revisar Ip Code"))</f>
        <v/>
      </c>
      <c r="M993" s="1" t="str">
        <f aca="false">IF(Suiza_DE_CN_ID!A343="","",IFERROR(INDEX(Gamma_Catalogo!$C$3:$C$1451,MATCH(Suiza_DE_CN_ID!D343,Gamma_Catalogo!$A$3:$A$1451,0)),"Revisar Ip Code"))</f>
        <v/>
      </c>
      <c r="N993" s="1" t="str">
        <f aca="false">IF(Suiza_DE_CN_ID!A343="","",IFERROR(INDEX(Gamma_Catalogo!$E$3:$E$1451,MATCH(Suiza_DE_CN_ID!D343,Gamma_Catalogo!$A$3:$A$1451,0)),"Revisar Ip Code"))</f>
        <v/>
      </c>
      <c r="O993" s="1" t="str">
        <f aca="false">IF(Suiza_DE_CN_ID!A343="","","Suiza")</f>
        <v/>
      </c>
    </row>
    <row r="994" customFormat="false" ht="15" hidden="false" customHeight="true" outlineLevel="0" collapsed="false">
      <c r="A994" s="1" t="str">
        <f aca="false">IF(Suiza_DE_CN_ID!A344="","",IFERROR(INDEX(Mercados!$C$2:$C$32,MATCH(Suiza_DE_CN_ID!B344,Mercados!$A$2:$A$32,0)),"Revisar Tscode"))</f>
        <v/>
      </c>
      <c r="B994" s="1" t="str">
        <f aca="false">IF(Suiza_DE_CN_ID!A344="","",Suiza_DE_CN_ID!A344)</f>
        <v/>
      </c>
      <c r="C994" s="1" t="str">
        <f aca="false">IF(Suiza_DE_CN_ID!A344="","",Suiza_DE_CN_ID!C344)</f>
        <v/>
      </c>
      <c r="D994" s="1" t="str">
        <f aca="false">IF(Suiza_DE_CN_ID!A344="","",Suiza_DE_CN_ID!D344)</f>
        <v/>
      </c>
      <c r="E994" s="1" t="str">
        <f aca="false">IF(Suiza_DE_CN_ID!A344="","",Suiza_DE_CN_ID!E344)</f>
        <v/>
      </c>
      <c r="F994" s="1" t="str">
        <f aca="false">IF(Suiza_DE_CN_ID!A344="","",Suiza_DE_CN_ID!G344)</f>
        <v/>
      </c>
      <c r="I994" s="1" t="str">
        <f aca="false">IF(Suiza_DE_CN_ID!A344="","",Suiza_DE_CN_ID!H344)</f>
        <v/>
      </c>
      <c r="J994" s="1" t="str">
        <f aca="false">IF(Suiza_DE_CN_ID!A344="","",Suiza_DE_CN_ID!I344)</f>
        <v/>
      </c>
      <c r="K994" s="1" t="str">
        <f aca="false">IF(Suiza_DE_CN_ID!A344="","",UPPER(Suiza_DE_CN_ID!J344))</f>
        <v/>
      </c>
      <c r="L994" s="1" t="str">
        <f aca="false">IF(Suiza_DE_CN_ID!A344="","",IFERROR(INDEX(Gamma_Catalogo!$D$3:$D$1451,MATCH(Suiza_DE_CN_ID!D344,Gamma_Catalogo!$A$3:$A$1451,0)),"Revisar Ip Code"))</f>
        <v/>
      </c>
      <c r="M994" s="1" t="str">
        <f aca="false">IF(Suiza_DE_CN_ID!A344="","",IFERROR(INDEX(Gamma_Catalogo!$C$3:$C$1451,MATCH(Suiza_DE_CN_ID!D344,Gamma_Catalogo!$A$3:$A$1451,0)),"Revisar Ip Code"))</f>
        <v/>
      </c>
      <c r="N994" s="1" t="str">
        <f aca="false">IF(Suiza_DE_CN_ID!A344="","",IFERROR(INDEX(Gamma_Catalogo!$E$3:$E$1451,MATCH(Suiza_DE_CN_ID!D344,Gamma_Catalogo!$A$3:$A$1451,0)),"Revisar Ip Code"))</f>
        <v/>
      </c>
      <c r="O994" s="1" t="str">
        <f aca="false">IF(Suiza_DE_CN_ID!A344="","","Suiza")</f>
        <v/>
      </c>
    </row>
    <row r="995" customFormat="false" ht="15" hidden="false" customHeight="true" outlineLevel="0" collapsed="false">
      <c r="A995" s="1" t="str">
        <f aca="false">IF(Suiza_DE_CN_ID!A345="","",IFERROR(INDEX(Mercados!$C$2:$C$32,MATCH(Suiza_DE_CN_ID!B345,Mercados!$A$2:$A$32,0)),"Revisar Tscode"))</f>
        <v/>
      </c>
      <c r="B995" s="1" t="str">
        <f aca="false">IF(Suiza_DE_CN_ID!A345="","",Suiza_DE_CN_ID!A345)</f>
        <v/>
      </c>
      <c r="C995" s="1" t="str">
        <f aca="false">IF(Suiza_DE_CN_ID!A345="","",Suiza_DE_CN_ID!C345)</f>
        <v/>
      </c>
      <c r="D995" s="1" t="str">
        <f aca="false">IF(Suiza_DE_CN_ID!A345="","",Suiza_DE_CN_ID!D345)</f>
        <v/>
      </c>
      <c r="E995" s="1" t="str">
        <f aca="false">IF(Suiza_DE_CN_ID!A345="","",Suiza_DE_CN_ID!E345)</f>
        <v/>
      </c>
      <c r="F995" s="1" t="str">
        <f aca="false">IF(Suiza_DE_CN_ID!A345="","",Suiza_DE_CN_ID!G345)</f>
        <v/>
      </c>
      <c r="I995" s="1" t="str">
        <f aca="false">IF(Suiza_DE_CN_ID!A345="","",Suiza_DE_CN_ID!H345)</f>
        <v/>
      </c>
      <c r="J995" s="1" t="str">
        <f aca="false">IF(Suiza_DE_CN_ID!A345="","",Suiza_DE_CN_ID!I345)</f>
        <v/>
      </c>
      <c r="K995" s="1" t="str">
        <f aca="false">IF(Suiza_DE_CN_ID!A345="","",UPPER(Suiza_DE_CN_ID!J345))</f>
        <v/>
      </c>
      <c r="L995" s="1" t="str">
        <f aca="false">IF(Suiza_DE_CN_ID!A345="","",IFERROR(INDEX(Gamma_Catalogo!$D$3:$D$1451,MATCH(Suiza_DE_CN_ID!D345,Gamma_Catalogo!$A$3:$A$1451,0)),"Revisar Ip Code"))</f>
        <v/>
      </c>
      <c r="M995" s="1" t="str">
        <f aca="false">IF(Suiza_DE_CN_ID!A345="","",IFERROR(INDEX(Gamma_Catalogo!$C$3:$C$1451,MATCH(Suiza_DE_CN_ID!D345,Gamma_Catalogo!$A$3:$A$1451,0)),"Revisar Ip Code"))</f>
        <v/>
      </c>
      <c r="N995" s="1" t="str">
        <f aca="false">IF(Suiza_DE_CN_ID!A345="","",IFERROR(INDEX(Gamma_Catalogo!$E$3:$E$1451,MATCH(Suiza_DE_CN_ID!D345,Gamma_Catalogo!$A$3:$A$1451,0)),"Revisar Ip Code"))</f>
        <v/>
      </c>
      <c r="O995" s="1" t="str">
        <f aca="false">IF(Suiza_DE_CN_ID!A345="","","Suiza")</f>
        <v/>
      </c>
    </row>
    <row r="996" customFormat="false" ht="15" hidden="false" customHeight="true" outlineLevel="0" collapsed="false">
      <c r="A996" s="1" t="str">
        <f aca="false">IF(Suiza_DE_CN_ID!A346="","",IFERROR(INDEX(Mercados!$C$2:$C$32,MATCH(Suiza_DE_CN_ID!B346,Mercados!$A$2:$A$32,0)),"Revisar Tscode"))</f>
        <v/>
      </c>
      <c r="B996" s="1" t="str">
        <f aca="false">IF(Suiza_DE_CN_ID!A346="","",Suiza_DE_CN_ID!A346)</f>
        <v/>
      </c>
      <c r="C996" s="1" t="str">
        <f aca="false">IF(Suiza_DE_CN_ID!A346="","",Suiza_DE_CN_ID!C346)</f>
        <v/>
      </c>
      <c r="D996" s="1" t="str">
        <f aca="false">IF(Suiza_DE_CN_ID!A346="","",Suiza_DE_CN_ID!D346)</f>
        <v/>
      </c>
      <c r="E996" s="1" t="str">
        <f aca="false">IF(Suiza_DE_CN_ID!A346="","",Suiza_DE_CN_ID!E346)</f>
        <v/>
      </c>
      <c r="F996" s="1" t="str">
        <f aca="false">IF(Suiza_DE_CN_ID!A346="","",Suiza_DE_CN_ID!G346)</f>
        <v/>
      </c>
      <c r="I996" s="1" t="str">
        <f aca="false">IF(Suiza_DE_CN_ID!A346="","",Suiza_DE_CN_ID!H346)</f>
        <v/>
      </c>
      <c r="J996" s="1" t="str">
        <f aca="false">IF(Suiza_DE_CN_ID!A346="","",Suiza_DE_CN_ID!I346)</f>
        <v/>
      </c>
      <c r="K996" s="1" t="str">
        <f aca="false">IF(Suiza_DE_CN_ID!A346="","",UPPER(Suiza_DE_CN_ID!J346))</f>
        <v/>
      </c>
      <c r="L996" s="1" t="str">
        <f aca="false">IF(Suiza_DE_CN_ID!A346="","",IFERROR(INDEX(Gamma_Catalogo!$D$3:$D$1451,MATCH(Suiza_DE_CN_ID!D346,Gamma_Catalogo!$A$3:$A$1451,0)),"Revisar Ip Code"))</f>
        <v/>
      </c>
      <c r="M996" s="1" t="str">
        <f aca="false">IF(Suiza_DE_CN_ID!A346="","",IFERROR(INDEX(Gamma_Catalogo!$C$3:$C$1451,MATCH(Suiza_DE_CN_ID!D346,Gamma_Catalogo!$A$3:$A$1451,0)),"Revisar Ip Code"))</f>
        <v/>
      </c>
      <c r="N996" s="1" t="str">
        <f aca="false">IF(Suiza_DE_CN_ID!A346="","",IFERROR(INDEX(Gamma_Catalogo!$E$3:$E$1451,MATCH(Suiza_DE_CN_ID!D346,Gamma_Catalogo!$A$3:$A$1451,0)),"Revisar Ip Code"))</f>
        <v/>
      </c>
      <c r="O996" s="1" t="str">
        <f aca="false">IF(Suiza_DE_CN_ID!A346="","","Suiza")</f>
        <v/>
      </c>
    </row>
    <row r="997" customFormat="false" ht="15" hidden="false" customHeight="true" outlineLevel="0" collapsed="false">
      <c r="A997" s="1" t="str">
        <f aca="false">IF(Suiza_DE_CN_ID!A347="","",IFERROR(INDEX(Mercados!$C$2:$C$32,MATCH(Suiza_DE_CN_ID!B347,Mercados!$A$2:$A$32,0)),"Revisar Tscode"))</f>
        <v/>
      </c>
      <c r="B997" s="1" t="str">
        <f aca="false">IF(Suiza_DE_CN_ID!A347="","",Suiza_DE_CN_ID!A347)</f>
        <v/>
      </c>
      <c r="C997" s="1" t="str">
        <f aca="false">IF(Suiza_DE_CN_ID!A347="","",Suiza_DE_CN_ID!C347)</f>
        <v/>
      </c>
      <c r="D997" s="1" t="str">
        <f aca="false">IF(Suiza_DE_CN_ID!A347="","",Suiza_DE_CN_ID!D347)</f>
        <v/>
      </c>
      <c r="E997" s="1" t="str">
        <f aca="false">IF(Suiza_DE_CN_ID!A347="","",Suiza_DE_CN_ID!E347)</f>
        <v/>
      </c>
      <c r="F997" s="1" t="str">
        <f aca="false">IF(Suiza_DE_CN_ID!A347="","",Suiza_DE_CN_ID!G347)</f>
        <v/>
      </c>
      <c r="I997" s="1" t="str">
        <f aca="false">IF(Suiza_DE_CN_ID!A347="","",Suiza_DE_CN_ID!H347)</f>
        <v/>
      </c>
      <c r="J997" s="1" t="str">
        <f aca="false">IF(Suiza_DE_CN_ID!A347="","",Suiza_DE_CN_ID!I347)</f>
        <v/>
      </c>
      <c r="K997" s="1" t="str">
        <f aca="false">IF(Suiza_DE_CN_ID!A347="","",UPPER(Suiza_DE_CN_ID!J347))</f>
        <v/>
      </c>
      <c r="L997" s="1" t="str">
        <f aca="false">IF(Suiza_DE_CN_ID!A347="","",IFERROR(INDEX(Gamma_Catalogo!$D$3:$D$1451,MATCH(Suiza_DE_CN_ID!D347,Gamma_Catalogo!$A$3:$A$1451,0)),"Revisar Ip Code"))</f>
        <v/>
      </c>
      <c r="M997" s="1" t="str">
        <f aca="false">IF(Suiza_DE_CN_ID!A347="","",IFERROR(INDEX(Gamma_Catalogo!$C$3:$C$1451,MATCH(Suiza_DE_CN_ID!D347,Gamma_Catalogo!$A$3:$A$1451,0)),"Revisar Ip Code"))</f>
        <v/>
      </c>
      <c r="N997" s="1" t="str">
        <f aca="false">IF(Suiza_DE_CN_ID!A347="","",IFERROR(INDEX(Gamma_Catalogo!$E$3:$E$1451,MATCH(Suiza_DE_CN_ID!D347,Gamma_Catalogo!$A$3:$A$1451,0)),"Revisar Ip Code"))</f>
        <v/>
      </c>
      <c r="O997" s="1" t="str">
        <f aca="false">IF(Suiza_DE_CN_ID!A347="","","Suiza")</f>
        <v/>
      </c>
    </row>
    <row r="998" customFormat="false" ht="15" hidden="false" customHeight="true" outlineLevel="0" collapsed="false">
      <c r="A998" s="1" t="str">
        <f aca="false">IF(Suiza_DE_CN_ID!A348="","",IFERROR(INDEX(Mercados!$C$2:$C$32,MATCH(Suiza_DE_CN_ID!B348,Mercados!$A$2:$A$32,0)),"Revisar Tscode"))</f>
        <v/>
      </c>
      <c r="B998" s="1" t="str">
        <f aca="false">IF(Suiza_DE_CN_ID!A348="","",Suiza_DE_CN_ID!A348)</f>
        <v/>
      </c>
      <c r="C998" s="1" t="str">
        <f aca="false">IF(Suiza_DE_CN_ID!A348="","",Suiza_DE_CN_ID!C348)</f>
        <v/>
      </c>
      <c r="D998" s="1" t="str">
        <f aca="false">IF(Suiza_DE_CN_ID!A348="","",Suiza_DE_CN_ID!D348)</f>
        <v/>
      </c>
      <c r="E998" s="1" t="str">
        <f aca="false">IF(Suiza_DE_CN_ID!A348="","",Suiza_DE_CN_ID!E348)</f>
        <v/>
      </c>
      <c r="F998" s="1" t="str">
        <f aca="false">IF(Suiza_DE_CN_ID!A348="","",Suiza_DE_CN_ID!G348)</f>
        <v/>
      </c>
      <c r="I998" s="1" t="str">
        <f aca="false">IF(Suiza_DE_CN_ID!A348="","",Suiza_DE_CN_ID!H348)</f>
        <v/>
      </c>
      <c r="J998" s="1" t="str">
        <f aca="false">IF(Suiza_DE_CN_ID!A348="","",Suiza_DE_CN_ID!I348)</f>
        <v/>
      </c>
      <c r="K998" s="1" t="str">
        <f aca="false">IF(Suiza_DE_CN_ID!A348="","",UPPER(Suiza_DE_CN_ID!J348))</f>
        <v/>
      </c>
      <c r="L998" s="1" t="str">
        <f aca="false">IF(Suiza_DE_CN_ID!A348="","",IFERROR(INDEX(Gamma_Catalogo!$D$3:$D$1451,MATCH(Suiza_DE_CN_ID!D348,Gamma_Catalogo!$A$3:$A$1451,0)),"Revisar Ip Code"))</f>
        <v/>
      </c>
      <c r="M998" s="1" t="str">
        <f aca="false">IF(Suiza_DE_CN_ID!A348="","",IFERROR(INDEX(Gamma_Catalogo!$C$3:$C$1451,MATCH(Suiza_DE_CN_ID!D348,Gamma_Catalogo!$A$3:$A$1451,0)),"Revisar Ip Code"))</f>
        <v/>
      </c>
      <c r="N998" s="1" t="str">
        <f aca="false">IF(Suiza_DE_CN_ID!A348="","",IFERROR(INDEX(Gamma_Catalogo!$E$3:$E$1451,MATCH(Suiza_DE_CN_ID!D348,Gamma_Catalogo!$A$3:$A$1451,0)),"Revisar Ip Code"))</f>
        <v/>
      </c>
      <c r="O998" s="1" t="str">
        <f aca="false">IF(Suiza_DE_CN_ID!A348="","","Suiza")</f>
        <v/>
      </c>
    </row>
    <row r="999" customFormat="false" ht="15" hidden="false" customHeight="true" outlineLevel="0" collapsed="false">
      <c r="A999" s="1" t="str">
        <f aca="false">IF(Suiza_DE_CN_ID!A349="","",IFERROR(INDEX(Mercados!$C$2:$C$32,MATCH(Suiza_DE_CN_ID!B349,Mercados!$A$2:$A$32,0)),"Revisar Tscode"))</f>
        <v/>
      </c>
      <c r="B999" s="1" t="str">
        <f aca="false">IF(Suiza_DE_CN_ID!A349="","",Suiza_DE_CN_ID!A349)</f>
        <v/>
      </c>
      <c r="C999" s="1" t="str">
        <f aca="false">IF(Suiza_DE_CN_ID!A349="","",Suiza_DE_CN_ID!C349)</f>
        <v/>
      </c>
      <c r="D999" s="1" t="str">
        <f aca="false">IF(Suiza_DE_CN_ID!A349="","",Suiza_DE_CN_ID!D349)</f>
        <v/>
      </c>
      <c r="E999" s="1" t="str">
        <f aca="false">IF(Suiza_DE_CN_ID!A349="","",Suiza_DE_CN_ID!E349)</f>
        <v/>
      </c>
      <c r="F999" s="1" t="str">
        <f aca="false">IF(Suiza_DE_CN_ID!A349="","",Suiza_DE_CN_ID!G349)</f>
        <v/>
      </c>
      <c r="I999" s="1" t="str">
        <f aca="false">IF(Suiza_DE_CN_ID!A349="","",Suiza_DE_CN_ID!H349)</f>
        <v/>
      </c>
      <c r="J999" s="1" t="str">
        <f aca="false">IF(Suiza_DE_CN_ID!A349="","",Suiza_DE_CN_ID!I349)</f>
        <v/>
      </c>
      <c r="K999" s="1" t="str">
        <f aca="false">IF(Suiza_DE_CN_ID!A349="","",UPPER(Suiza_DE_CN_ID!J349))</f>
        <v/>
      </c>
      <c r="L999" s="1" t="str">
        <f aca="false">IF(Suiza_DE_CN_ID!A349="","",IFERROR(INDEX(Gamma_Catalogo!$D$3:$D$1451,MATCH(Suiza_DE_CN_ID!D349,Gamma_Catalogo!$A$3:$A$1451,0)),"Revisar Ip Code"))</f>
        <v/>
      </c>
      <c r="M999" s="1" t="str">
        <f aca="false">IF(Suiza_DE_CN_ID!A349="","",IFERROR(INDEX(Gamma_Catalogo!$C$3:$C$1451,MATCH(Suiza_DE_CN_ID!D349,Gamma_Catalogo!$A$3:$A$1451,0)),"Revisar Ip Code"))</f>
        <v/>
      </c>
      <c r="N999" s="1" t="str">
        <f aca="false">IF(Suiza_DE_CN_ID!A349="","",IFERROR(INDEX(Gamma_Catalogo!$E$3:$E$1451,MATCH(Suiza_DE_CN_ID!D349,Gamma_Catalogo!$A$3:$A$1451,0)),"Revisar Ip Code"))</f>
        <v/>
      </c>
      <c r="O999" s="1" t="str">
        <f aca="false">IF(Suiza_DE_CN_ID!A349="","","Suiza")</f>
        <v/>
      </c>
    </row>
    <row r="1000" customFormat="false" ht="15" hidden="false" customHeight="true" outlineLevel="0" collapsed="false">
      <c r="A1000" s="1" t="str">
        <f aca="false">IF(Suiza_DE_CN_ID!A350="","",IFERROR(INDEX(Mercados!$C$2:$C$32,MATCH(Suiza_DE_CN_ID!B350,Mercados!$A$2:$A$32,0)),"Revisar Tscode"))</f>
        <v/>
      </c>
      <c r="B1000" s="1" t="str">
        <f aca="false">IF(Suiza_DE_CN_ID!A350="","",Suiza_DE_CN_ID!A350)</f>
        <v/>
      </c>
      <c r="C1000" s="1" t="str">
        <f aca="false">IF(Suiza_DE_CN_ID!A350="","",Suiza_DE_CN_ID!C350)</f>
        <v/>
      </c>
      <c r="D1000" s="1" t="str">
        <f aca="false">IF(Suiza_DE_CN_ID!A350="","",Suiza_DE_CN_ID!D350)</f>
        <v/>
      </c>
      <c r="E1000" s="1" t="str">
        <f aca="false">IF(Suiza_DE_CN_ID!A350="","",Suiza_DE_CN_ID!E350)</f>
        <v/>
      </c>
      <c r="F1000" s="1" t="str">
        <f aca="false">IF(Suiza_DE_CN_ID!A350="","",Suiza_DE_CN_ID!G350)</f>
        <v/>
      </c>
      <c r="I1000" s="1" t="str">
        <f aca="false">IF(Suiza_DE_CN_ID!A350="","",Suiza_DE_CN_ID!H350)</f>
        <v/>
      </c>
      <c r="J1000" s="1" t="str">
        <f aca="false">IF(Suiza_DE_CN_ID!A350="","",Suiza_DE_CN_ID!I350)</f>
        <v/>
      </c>
      <c r="K1000" s="1" t="str">
        <f aca="false">IF(Suiza_DE_CN_ID!A350="","",UPPER(Suiza_DE_CN_ID!J350))</f>
        <v/>
      </c>
      <c r="L1000" s="1" t="str">
        <f aca="false">IF(Suiza_DE_CN_ID!A350="","",IFERROR(INDEX(Gamma_Catalogo!$D$3:$D$1451,MATCH(Suiza_DE_CN_ID!D350,Gamma_Catalogo!$A$3:$A$1451,0)),"Revisar Ip Code"))</f>
        <v/>
      </c>
      <c r="M1000" s="1" t="str">
        <f aca="false">IF(Suiza_DE_CN_ID!A350="","",IFERROR(INDEX(Gamma_Catalogo!$C$3:$C$1451,MATCH(Suiza_DE_CN_ID!D350,Gamma_Catalogo!$A$3:$A$1451,0)),"Revisar Ip Code"))</f>
        <v/>
      </c>
      <c r="N1000" s="1" t="str">
        <f aca="false">IF(Suiza_DE_CN_ID!A350="","",IFERROR(INDEX(Gamma_Catalogo!$E$3:$E$1451,MATCH(Suiza_DE_CN_ID!D350,Gamma_Catalogo!$A$3:$A$1451,0)),"Revisar Ip Code"))</f>
        <v/>
      </c>
      <c r="O1000" s="1" t="str">
        <f aca="false">IF(Suiza_DE_CN_ID!A350="","","Suiza")</f>
        <v/>
      </c>
    </row>
    <row r="1001" customFormat="false" ht="15" hidden="false" customHeight="true" outlineLevel="0" collapsed="false">
      <c r="A1001" s="1" t="str">
        <f aca="false">IF(Suiza_DE_CN_ID!A351="","",IFERROR(INDEX(Mercados!$C$2:$C$32,MATCH(Suiza_DE_CN_ID!B351,Mercados!$A$2:$A$32,0)),"Revisar Tscode"))</f>
        <v/>
      </c>
      <c r="B1001" s="1" t="str">
        <f aca="false">IF(Suiza_DE_CN_ID!A351="","",Suiza_DE_CN_ID!A351)</f>
        <v/>
      </c>
      <c r="C1001" s="1" t="str">
        <f aca="false">IF(Suiza_DE_CN_ID!A351="","",Suiza_DE_CN_ID!C351)</f>
        <v/>
      </c>
      <c r="D1001" s="1" t="str">
        <f aca="false">IF(Suiza_DE_CN_ID!A351="","",Suiza_DE_CN_ID!D351)</f>
        <v/>
      </c>
      <c r="E1001" s="1" t="str">
        <f aca="false">IF(Suiza_DE_CN_ID!A351="","",Suiza_DE_CN_ID!E351)</f>
        <v/>
      </c>
      <c r="F1001" s="1" t="str">
        <f aca="false">IF(Suiza_DE_CN_ID!A351="","",Suiza_DE_CN_ID!G351)</f>
        <v/>
      </c>
      <c r="I1001" s="1" t="str">
        <f aca="false">IF(Suiza_DE_CN_ID!A351="","",Suiza_DE_CN_ID!H351)</f>
        <v/>
      </c>
      <c r="J1001" s="1" t="str">
        <f aca="false">IF(Suiza_DE_CN_ID!A351="","",Suiza_DE_CN_ID!I351)</f>
        <v/>
      </c>
      <c r="K1001" s="1" t="str">
        <f aca="false">IF(Suiza_DE_CN_ID!A351="","",UPPER(Suiza_DE_CN_ID!J351))</f>
        <v/>
      </c>
      <c r="L1001" s="1" t="str">
        <f aca="false">IF(Suiza_DE_CN_ID!A351="","",IFERROR(INDEX(Gamma_Catalogo!$D$3:$D$1451,MATCH(Suiza_DE_CN_ID!D351,Gamma_Catalogo!$A$3:$A$1451,0)),"Revisar Ip Code"))</f>
        <v/>
      </c>
      <c r="M1001" s="1" t="str">
        <f aca="false">IF(Suiza_DE_CN_ID!A351="","",IFERROR(INDEX(Gamma_Catalogo!$C$3:$C$1451,MATCH(Suiza_DE_CN_ID!D351,Gamma_Catalogo!$A$3:$A$1451,0)),"Revisar Ip Code"))</f>
        <v/>
      </c>
      <c r="N1001" s="1" t="str">
        <f aca="false">IF(Suiza_DE_CN_ID!A351="","",IFERROR(INDEX(Gamma_Catalogo!$E$3:$E$1451,MATCH(Suiza_DE_CN_ID!D351,Gamma_Catalogo!$A$3:$A$1451,0)),"Revisar Ip Code"))</f>
        <v/>
      </c>
      <c r="O1001" s="1" t="str">
        <f aca="false">IF(Suiza_DE_CN_ID!A351="","","Suiza")</f>
        <v/>
      </c>
    </row>
    <row r="1002" customFormat="false" ht="15" hidden="false" customHeight="true" outlineLevel="0" collapsed="false">
      <c r="A1002" s="1" t="str">
        <f aca="false">IF(Suiza_DE_CN_ID!A352="","",IFERROR(INDEX(Mercados!$C$2:$C$32,MATCH(Suiza_DE_CN_ID!B352,Mercados!$A$2:$A$32,0)),"Revisar Tscode"))</f>
        <v/>
      </c>
      <c r="B1002" s="1" t="str">
        <f aca="false">IF(Suiza_DE_CN_ID!A352="","",Suiza_DE_CN_ID!A352)</f>
        <v/>
      </c>
      <c r="C1002" s="1" t="str">
        <f aca="false">IF(Suiza_DE_CN_ID!A352="","",Suiza_DE_CN_ID!C352)</f>
        <v/>
      </c>
      <c r="D1002" s="1" t="str">
        <f aca="false">IF(Suiza_DE_CN_ID!A352="","",Suiza_DE_CN_ID!D352)</f>
        <v/>
      </c>
      <c r="E1002" s="1" t="str">
        <f aca="false">IF(Suiza_DE_CN_ID!A352="","",Suiza_DE_CN_ID!E352)</f>
        <v/>
      </c>
      <c r="F1002" s="1" t="str">
        <f aca="false">IF(Suiza_DE_CN_ID!A352="","",Suiza_DE_CN_ID!G352)</f>
        <v/>
      </c>
      <c r="I1002" s="1" t="str">
        <f aca="false">IF(Suiza_DE_CN_ID!A352="","",Suiza_DE_CN_ID!H352)</f>
        <v/>
      </c>
      <c r="J1002" s="1" t="str">
        <f aca="false">IF(Suiza_DE_CN_ID!A352="","",Suiza_DE_CN_ID!I352)</f>
        <v/>
      </c>
      <c r="K1002" s="1" t="str">
        <f aca="false">IF(Suiza_DE_CN_ID!A352="","",UPPER(Suiza_DE_CN_ID!J352))</f>
        <v/>
      </c>
      <c r="L1002" s="1" t="str">
        <f aca="false">IF(Suiza_DE_CN_ID!A352="","",IFERROR(INDEX(Gamma_Catalogo!$D$3:$D$1451,MATCH(Suiza_DE_CN_ID!D352,Gamma_Catalogo!$A$3:$A$1451,0)),"Revisar Ip Code"))</f>
        <v/>
      </c>
      <c r="M1002" s="1" t="str">
        <f aca="false">IF(Suiza_DE_CN_ID!A352="","",IFERROR(INDEX(Gamma_Catalogo!$C$3:$C$1451,MATCH(Suiza_DE_CN_ID!D352,Gamma_Catalogo!$A$3:$A$1451,0)),"Revisar Ip Code"))</f>
        <v/>
      </c>
      <c r="N1002" s="1" t="str">
        <f aca="false">IF(Suiza_DE_CN_ID!A352="","",IFERROR(INDEX(Gamma_Catalogo!$E$3:$E$1451,MATCH(Suiza_DE_CN_ID!D352,Gamma_Catalogo!$A$3:$A$1451,0)),"Revisar Ip Code"))</f>
        <v/>
      </c>
      <c r="O1002" s="1" t="str">
        <f aca="false">IF(Suiza_DE_CN_ID!A352="","","Suiza")</f>
        <v/>
      </c>
    </row>
    <row r="1003" customFormat="false" ht="15" hidden="false" customHeight="true" outlineLevel="0" collapsed="false">
      <c r="A1003" s="1" t="str">
        <f aca="false">IF(Suiza_DE_CN_ID!A353="","",IFERROR(INDEX(Mercados!$C$2:$C$32,MATCH(Suiza_DE_CN_ID!B353,Mercados!$A$2:$A$32,0)),"Revisar Tscode"))</f>
        <v/>
      </c>
      <c r="B1003" s="1" t="str">
        <f aca="false">IF(Suiza_DE_CN_ID!A353="","",Suiza_DE_CN_ID!A353)</f>
        <v/>
      </c>
      <c r="C1003" s="1" t="str">
        <f aca="false">IF(Suiza_DE_CN_ID!A353="","",Suiza_DE_CN_ID!C353)</f>
        <v/>
      </c>
      <c r="D1003" s="1" t="str">
        <f aca="false">IF(Suiza_DE_CN_ID!A353="","",Suiza_DE_CN_ID!D353)</f>
        <v/>
      </c>
      <c r="E1003" s="1" t="str">
        <f aca="false">IF(Suiza_DE_CN_ID!A353="","",Suiza_DE_CN_ID!E353)</f>
        <v/>
      </c>
      <c r="F1003" s="1" t="str">
        <f aca="false">IF(Suiza_DE_CN_ID!A353="","",Suiza_DE_CN_ID!G353)</f>
        <v/>
      </c>
      <c r="I1003" s="1" t="str">
        <f aca="false">IF(Suiza_DE_CN_ID!A353="","",Suiza_DE_CN_ID!H353)</f>
        <v/>
      </c>
      <c r="J1003" s="1" t="str">
        <f aca="false">IF(Suiza_DE_CN_ID!A353="","",Suiza_DE_CN_ID!I353)</f>
        <v/>
      </c>
      <c r="K1003" s="1" t="str">
        <f aca="false">IF(Suiza_DE_CN_ID!A353="","",UPPER(Suiza_DE_CN_ID!J353))</f>
        <v/>
      </c>
      <c r="L1003" s="1" t="str">
        <f aca="false">IF(Suiza_DE_CN_ID!A353="","",IFERROR(INDEX(Gamma_Catalogo!$D$3:$D$1451,MATCH(Suiza_DE_CN_ID!D353,Gamma_Catalogo!$A$3:$A$1451,0)),"Revisar Ip Code"))</f>
        <v/>
      </c>
      <c r="M1003" s="1" t="str">
        <f aca="false">IF(Suiza_DE_CN_ID!A353="","",IFERROR(INDEX(Gamma_Catalogo!$C$3:$C$1451,MATCH(Suiza_DE_CN_ID!D353,Gamma_Catalogo!$A$3:$A$1451,0)),"Revisar Ip Code"))</f>
        <v/>
      </c>
      <c r="N1003" s="1" t="str">
        <f aca="false">IF(Suiza_DE_CN_ID!A353="","",IFERROR(INDEX(Gamma_Catalogo!$E$3:$E$1451,MATCH(Suiza_DE_CN_ID!D353,Gamma_Catalogo!$A$3:$A$1451,0)),"Revisar Ip Code"))</f>
        <v/>
      </c>
      <c r="O1003" s="1" t="str">
        <f aca="false">IF(Suiza_DE_CN_ID!A353="","","Suiza")</f>
        <v/>
      </c>
    </row>
    <row r="1004" customFormat="false" ht="15" hidden="false" customHeight="true" outlineLevel="0" collapsed="false">
      <c r="A1004" s="1" t="str">
        <f aca="false">IF(Suiza_DE_CN_ID!A354="","",IFERROR(INDEX(Mercados!$C$2:$C$32,MATCH(Suiza_DE_CN_ID!B354,Mercados!$A$2:$A$32,0)),"Revisar Tscode"))</f>
        <v/>
      </c>
      <c r="B1004" s="1" t="str">
        <f aca="false">IF(Suiza_DE_CN_ID!A354="","",Suiza_DE_CN_ID!A354)</f>
        <v/>
      </c>
      <c r="C1004" s="1" t="str">
        <f aca="false">IF(Suiza_DE_CN_ID!A354="","",Suiza_DE_CN_ID!C354)</f>
        <v/>
      </c>
      <c r="D1004" s="1" t="str">
        <f aca="false">IF(Suiza_DE_CN_ID!A354="","",Suiza_DE_CN_ID!D354)</f>
        <v/>
      </c>
      <c r="E1004" s="1" t="str">
        <f aca="false">IF(Suiza_DE_CN_ID!A354="","",Suiza_DE_CN_ID!E354)</f>
        <v/>
      </c>
      <c r="F1004" s="1" t="str">
        <f aca="false">IF(Suiza_DE_CN_ID!A354="","",Suiza_DE_CN_ID!G354)</f>
        <v/>
      </c>
      <c r="I1004" s="1" t="str">
        <f aca="false">IF(Suiza_DE_CN_ID!A354="","",Suiza_DE_CN_ID!H354)</f>
        <v/>
      </c>
      <c r="J1004" s="1" t="str">
        <f aca="false">IF(Suiza_DE_CN_ID!A354="","",Suiza_DE_CN_ID!I354)</f>
        <v/>
      </c>
      <c r="K1004" s="1" t="str">
        <f aca="false">IF(Suiza_DE_CN_ID!A354="","",UPPER(Suiza_DE_CN_ID!J354))</f>
        <v/>
      </c>
      <c r="L1004" s="1" t="str">
        <f aca="false">IF(Suiza_DE_CN_ID!A354="","",IFERROR(INDEX(Gamma_Catalogo!$D$3:$D$1451,MATCH(Suiza_DE_CN_ID!D354,Gamma_Catalogo!$A$3:$A$1451,0)),"Revisar Ip Code"))</f>
        <v/>
      </c>
      <c r="M1004" s="1" t="str">
        <f aca="false">IF(Suiza_DE_CN_ID!A354="","",IFERROR(INDEX(Gamma_Catalogo!$C$3:$C$1451,MATCH(Suiza_DE_CN_ID!D354,Gamma_Catalogo!$A$3:$A$1451,0)),"Revisar Ip Code"))</f>
        <v/>
      </c>
      <c r="N1004" s="1" t="str">
        <f aca="false">IF(Suiza_DE_CN_ID!A354="","",IFERROR(INDEX(Gamma_Catalogo!$E$3:$E$1451,MATCH(Suiza_DE_CN_ID!D354,Gamma_Catalogo!$A$3:$A$1451,0)),"Revisar Ip Code"))</f>
        <v/>
      </c>
      <c r="O1004" s="1" t="str">
        <f aca="false">IF(Suiza_DE_CN_ID!A354="","","Suiza")</f>
        <v/>
      </c>
    </row>
    <row r="1005" customFormat="false" ht="15" hidden="false" customHeight="true" outlineLevel="0" collapsed="false">
      <c r="A1005" s="1" t="str">
        <f aca="false">IF(Suiza_DE_CN_ID!A355="","",IFERROR(INDEX(Mercados!$C$2:$C$32,MATCH(Suiza_DE_CN_ID!B355,Mercados!$A$2:$A$32,0)),"Revisar Tscode"))</f>
        <v/>
      </c>
      <c r="B1005" s="1" t="str">
        <f aca="false">IF(Suiza_DE_CN_ID!A355="","",Suiza_DE_CN_ID!A355)</f>
        <v/>
      </c>
      <c r="C1005" s="1" t="str">
        <f aca="false">IF(Suiza_DE_CN_ID!A355="","",Suiza_DE_CN_ID!C355)</f>
        <v/>
      </c>
      <c r="D1005" s="1" t="str">
        <f aca="false">IF(Suiza_DE_CN_ID!A355="","",Suiza_DE_CN_ID!D355)</f>
        <v/>
      </c>
      <c r="E1005" s="1" t="str">
        <f aca="false">IF(Suiza_DE_CN_ID!A355="","",Suiza_DE_CN_ID!E355)</f>
        <v/>
      </c>
      <c r="F1005" s="1" t="str">
        <f aca="false">IF(Suiza_DE_CN_ID!A355="","",Suiza_DE_CN_ID!G355)</f>
        <v/>
      </c>
      <c r="I1005" s="1" t="str">
        <f aca="false">IF(Suiza_DE_CN_ID!A355="","",Suiza_DE_CN_ID!H355)</f>
        <v/>
      </c>
      <c r="J1005" s="1" t="str">
        <f aca="false">IF(Suiza_DE_CN_ID!A355="","",Suiza_DE_CN_ID!I355)</f>
        <v/>
      </c>
      <c r="K1005" s="1" t="str">
        <f aca="false">IF(Suiza_DE_CN_ID!A355="","",UPPER(Suiza_DE_CN_ID!J355))</f>
        <v/>
      </c>
      <c r="L1005" s="1" t="str">
        <f aca="false">IF(Suiza_DE_CN_ID!A355="","",IFERROR(INDEX(Gamma_Catalogo!$D$3:$D$1451,MATCH(Suiza_DE_CN_ID!D355,Gamma_Catalogo!$A$3:$A$1451,0)),"Revisar Ip Code"))</f>
        <v/>
      </c>
      <c r="M1005" s="1" t="str">
        <f aca="false">IF(Suiza_DE_CN_ID!A355="","",IFERROR(INDEX(Gamma_Catalogo!$C$3:$C$1451,MATCH(Suiza_DE_CN_ID!D355,Gamma_Catalogo!$A$3:$A$1451,0)),"Revisar Ip Code"))</f>
        <v/>
      </c>
      <c r="N1005" s="1" t="str">
        <f aca="false">IF(Suiza_DE_CN_ID!A355="","",IFERROR(INDEX(Gamma_Catalogo!$E$3:$E$1451,MATCH(Suiza_DE_CN_ID!D355,Gamma_Catalogo!$A$3:$A$1451,0)),"Revisar Ip Code"))</f>
        <v/>
      </c>
      <c r="O1005" s="1" t="str">
        <f aca="false">IF(Suiza_DE_CN_ID!A355="","","Suiza")</f>
        <v/>
      </c>
    </row>
    <row r="1006" customFormat="false" ht="15" hidden="false" customHeight="true" outlineLevel="0" collapsed="false">
      <c r="A1006" s="1" t="str">
        <f aca="false">IF(Suiza_DE_CN_ID!A356="","",IFERROR(INDEX(Mercados!$C$2:$C$32,MATCH(Suiza_DE_CN_ID!B356,Mercados!$A$2:$A$32,0)),"Revisar Tscode"))</f>
        <v/>
      </c>
      <c r="B1006" s="1" t="str">
        <f aca="false">IF(Suiza_DE_CN_ID!A356="","",Suiza_DE_CN_ID!A356)</f>
        <v/>
      </c>
      <c r="C1006" s="1" t="str">
        <f aca="false">IF(Suiza_DE_CN_ID!A356="","",Suiza_DE_CN_ID!C356)</f>
        <v/>
      </c>
      <c r="D1006" s="1" t="str">
        <f aca="false">IF(Suiza_DE_CN_ID!A356="","",Suiza_DE_CN_ID!D356)</f>
        <v/>
      </c>
      <c r="E1006" s="1" t="str">
        <f aca="false">IF(Suiza_DE_CN_ID!A356="","",Suiza_DE_CN_ID!E356)</f>
        <v/>
      </c>
      <c r="F1006" s="1" t="str">
        <f aca="false">IF(Suiza_DE_CN_ID!A356="","",Suiza_DE_CN_ID!G356)</f>
        <v/>
      </c>
      <c r="I1006" s="1" t="str">
        <f aca="false">IF(Suiza_DE_CN_ID!A356="","",Suiza_DE_CN_ID!H356)</f>
        <v/>
      </c>
      <c r="J1006" s="1" t="str">
        <f aca="false">IF(Suiza_DE_CN_ID!A356="","",Suiza_DE_CN_ID!I356)</f>
        <v/>
      </c>
      <c r="K1006" s="1" t="str">
        <f aca="false">IF(Suiza_DE_CN_ID!A356="","",UPPER(Suiza_DE_CN_ID!J356))</f>
        <v/>
      </c>
      <c r="L1006" s="1" t="str">
        <f aca="false">IF(Suiza_DE_CN_ID!A356="","",IFERROR(INDEX(Gamma_Catalogo!$D$3:$D$1451,MATCH(Suiza_DE_CN_ID!D356,Gamma_Catalogo!$A$3:$A$1451,0)),"Revisar Ip Code"))</f>
        <v/>
      </c>
      <c r="M1006" s="1" t="str">
        <f aca="false">IF(Suiza_DE_CN_ID!A356="","",IFERROR(INDEX(Gamma_Catalogo!$C$3:$C$1451,MATCH(Suiza_DE_CN_ID!D356,Gamma_Catalogo!$A$3:$A$1451,0)),"Revisar Ip Code"))</f>
        <v/>
      </c>
      <c r="N1006" s="1" t="str">
        <f aca="false">IF(Suiza_DE_CN_ID!A356="","",IFERROR(INDEX(Gamma_Catalogo!$E$3:$E$1451,MATCH(Suiza_DE_CN_ID!D356,Gamma_Catalogo!$A$3:$A$1451,0)),"Revisar Ip Code"))</f>
        <v/>
      </c>
      <c r="O1006" s="1" t="str">
        <f aca="false">IF(Suiza_DE_CN_ID!A356="","","Suiza")</f>
        <v/>
      </c>
    </row>
    <row r="1007" customFormat="false" ht="15" hidden="false" customHeight="true" outlineLevel="0" collapsed="false">
      <c r="A1007" s="1" t="str">
        <f aca="false">IF(Suiza_DE_CN_ID!A357="","",IFERROR(INDEX(Mercados!$C$2:$C$32,MATCH(Suiza_DE_CN_ID!B357,Mercados!$A$2:$A$32,0)),"Revisar Tscode"))</f>
        <v/>
      </c>
      <c r="B1007" s="1" t="str">
        <f aca="false">IF(Suiza_DE_CN_ID!A357="","",Suiza_DE_CN_ID!A357)</f>
        <v/>
      </c>
      <c r="C1007" s="1" t="str">
        <f aca="false">IF(Suiza_DE_CN_ID!A357="","",Suiza_DE_CN_ID!C357)</f>
        <v/>
      </c>
      <c r="D1007" s="1" t="str">
        <f aca="false">IF(Suiza_DE_CN_ID!A357="","",Suiza_DE_CN_ID!D357)</f>
        <v/>
      </c>
      <c r="E1007" s="1" t="str">
        <f aca="false">IF(Suiza_DE_CN_ID!A357="","",Suiza_DE_CN_ID!E357)</f>
        <v/>
      </c>
      <c r="F1007" s="1" t="str">
        <f aca="false">IF(Suiza_DE_CN_ID!A357="","",Suiza_DE_CN_ID!G357)</f>
        <v/>
      </c>
      <c r="I1007" s="1" t="str">
        <f aca="false">IF(Suiza_DE_CN_ID!A357="","",Suiza_DE_CN_ID!H357)</f>
        <v/>
      </c>
      <c r="J1007" s="1" t="str">
        <f aca="false">IF(Suiza_DE_CN_ID!A357="","",Suiza_DE_CN_ID!I357)</f>
        <v/>
      </c>
      <c r="K1007" s="1" t="str">
        <f aca="false">IF(Suiza_DE_CN_ID!A357="","",UPPER(Suiza_DE_CN_ID!J357))</f>
        <v/>
      </c>
      <c r="L1007" s="1" t="str">
        <f aca="false">IF(Suiza_DE_CN_ID!A357="","",IFERROR(INDEX(Gamma_Catalogo!$D$3:$D$1451,MATCH(Suiza_DE_CN_ID!D357,Gamma_Catalogo!$A$3:$A$1451,0)),"Revisar Ip Code"))</f>
        <v/>
      </c>
      <c r="M1007" s="1" t="str">
        <f aca="false">IF(Suiza_DE_CN_ID!A357="","",IFERROR(INDEX(Gamma_Catalogo!$C$3:$C$1451,MATCH(Suiza_DE_CN_ID!D357,Gamma_Catalogo!$A$3:$A$1451,0)),"Revisar Ip Code"))</f>
        <v/>
      </c>
      <c r="N1007" s="1" t="str">
        <f aca="false">IF(Suiza_DE_CN_ID!A357="","",IFERROR(INDEX(Gamma_Catalogo!$E$3:$E$1451,MATCH(Suiza_DE_CN_ID!D357,Gamma_Catalogo!$A$3:$A$1451,0)),"Revisar Ip Code"))</f>
        <v/>
      </c>
      <c r="O1007" s="1" t="str">
        <f aca="false">IF(Suiza_DE_CN_ID!A357="","","Suiza")</f>
        <v/>
      </c>
    </row>
    <row r="1008" customFormat="false" ht="15" hidden="false" customHeight="true" outlineLevel="0" collapsed="false">
      <c r="A1008" s="1" t="str">
        <f aca="false">IF(Suiza_DE_CN_ID!A358="","",IFERROR(INDEX(Mercados!$C$2:$C$32,MATCH(Suiza_DE_CN_ID!B358,Mercados!$A$2:$A$32,0)),"Revisar Tscode"))</f>
        <v/>
      </c>
      <c r="B1008" s="1" t="str">
        <f aca="false">IF(Suiza_DE_CN_ID!A358="","",Suiza_DE_CN_ID!A358)</f>
        <v/>
      </c>
      <c r="C1008" s="1" t="str">
        <f aca="false">IF(Suiza_DE_CN_ID!A358="","",Suiza_DE_CN_ID!C358)</f>
        <v/>
      </c>
      <c r="D1008" s="1" t="str">
        <f aca="false">IF(Suiza_DE_CN_ID!A358="","",Suiza_DE_CN_ID!D358)</f>
        <v/>
      </c>
      <c r="E1008" s="1" t="str">
        <f aca="false">IF(Suiza_DE_CN_ID!A358="","",Suiza_DE_CN_ID!E358)</f>
        <v/>
      </c>
      <c r="F1008" s="1" t="str">
        <f aca="false">IF(Suiza_DE_CN_ID!A358="","",Suiza_DE_CN_ID!G358)</f>
        <v/>
      </c>
      <c r="I1008" s="1" t="str">
        <f aca="false">IF(Suiza_DE_CN_ID!A358="","",Suiza_DE_CN_ID!H358)</f>
        <v/>
      </c>
      <c r="J1008" s="1" t="str">
        <f aca="false">IF(Suiza_DE_CN_ID!A358="","",Suiza_DE_CN_ID!I358)</f>
        <v/>
      </c>
      <c r="K1008" s="1" t="str">
        <f aca="false">IF(Suiza_DE_CN_ID!A358="","",UPPER(Suiza_DE_CN_ID!J358))</f>
        <v/>
      </c>
      <c r="L1008" s="1" t="str">
        <f aca="false">IF(Suiza_DE_CN_ID!A358="","",IFERROR(INDEX(Gamma_Catalogo!$D$3:$D$1451,MATCH(Suiza_DE_CN_ID!D358,Gamma_Catalogo!$A$3:$A$1451,0)),"Revisar Ip Code"))</f>
        <v/>
      </c>
      <c r="M1008" s="1" t="str">
        <f aca="false">IF(Suiza_DE_CN_ID!A358="","",IFERROR(INDEX(Gamma_Catalogo!$C$3:$C$1451,MATCH(Suiza_DE_CN_ID!D358,Gamma_Catalogo!$A$3:$A$1451,0)),"Revisar Ip Code"))</f>
        <v/>
      </c>
      <c r="N1008" s="1" t="str">
        <f aca="false">IF(Suiza_DE_CN_ID!A358="","",IFERROR(INDEX(Gamma_Catalogo!$E$3:$E$1451,MATCH(Suiza_DE_CN_ID!D358,Gamma_Catalogo!$A$3:$A$1451,0)),"Revisar Ip Code"))</f>
        <v/>
      </c>
      <c r="O1008" s="1" t="str">
        <f aca="false">IF(Suiza_DE_CN_ID!A358="","","Suiza")</f>
        <v/>
      </c>
    </row>
    <row r="1009" customFormat="false" ht="15" hidden="false" customHeight="true" outlineLevel="0" collapsed="false">
      <c r="A1009" s="1" t="str">
        <f aca="false">IF(Suiza_DE_CN_ID!A359="","",IFERROR(INDEX(Mercados!$C$2:$C$32,MATCH(Suiza_DE_CN_ID!B359,Mercados!$A$2:$A$32,0)),"Revisar Tscode"))</f>
        <v/>
      </c>
      <c r="B1009" s="1" t="str">
        <f aca="false">IF(Suiza_DE_CN_ID!A359="","",Suiza_DE_CN_ID!A359)</f>
        <v/>
      </c>
      <c r="C1009" s="1" t="str">
        <f aca="false">IF(Suiza_DE_CN_ID!A359="","",Suiza_DE_CN_ID!C359)</f>
        <v/>
      </c>
      <c r="D1009" s="1" t="str">
        <f aca="false">IF(Suiza_DE_CN_ID!A359="","",Suiza_DE_CN_ID!D359)</f>
        <v/>
      </c>
      <c r="E1009" s="1" t="str">
        <f aca="false">IF(Suiza_DE_CN_ID!A359="","",Suiza_DE_CN_ID!E359)</f>
        <v/>
      </c>
      <c r="F1009" s="1" t="str">
        <f aca="false">IF(Suiza_DE_CN_ID!A359="","",Suiza_DE_CN_ID!G359)</f>
        <v/>
      </c>
      <c r="I1009" s="1" t="str">
        <f aca="false">IF(Suiza_DE_CN_ID!A359="","",Suiza_DE_CN_ID!H359)</f>
        <v/>
      </c>
      <c r="J1009" s="1" t="str">
        <f aca="false">IF(Suiza_DE_CN_ID!A359="","",Suiza_DE_CN_ID!I359)</f>
        <v/>
      </c>
      <c r="K1009" s="1" t="str">
        <f aca="false">IF(Suiza_DE_CN_ID!A359="","",UPPER(Suiza_DE_CN_ID!J359))</f>
        <v/>
      </c>
      <c r="L1009" s="1" t="str">
        <f aca="false">IF(Suiza_DE_CN_ID!A359="","",IFERROR(INDEX(Gamma_Catalogo!$D$3:$D$1451,MATCH(Suiza_DE_CN_ID!D359,Gamma_Catalogo!$A$3:$A$1451,0)),"Revisar Ip Code"))</f>
        <v/>
      </c>
      <c r="M1009" s="1" t="str">
        <f aca="false">IF(Suiza_DE_CN_ID!A359="","",IFERROR(INDEX(Gamma_Catalogo!$C$3:$C$1451,MATCH(Suiza_DE_CN_ID!D359,Gamma_Catalogo!$A$3:$A$1451,0)),"Revisar Ip Code"))</f>
        <v/>
      </c>
      <c r="N1009" s="1" t="str">
        <f aca="false">IF(Suiza_DE_CN_ID!A359="","",IFERROR(INDEX(Gamma_Catalogo!$E$3:$E$1451,MATCH(Suiza_DE_CN_ID!D359,Gamma_Catalogo!$A$3:$A$1451,0)),"Revisar Ip Code"))</f>
        <v/>
      </c>
      <c r="O1009" s="1" t="str">
        <f aca="false">IF(Suiza_DE_CN_ID!A359="","","Suiza")</f>
        <v/>
      </c>
    </row>
    <row r="1010" customFormat="false" ht="15" hidden="false" customHeight="true" outlineLevel="0" collapsed="false">
      <c r="A1010" s="1" t="str">
        <f aca="false">IF(Suiza_DE_CN_ID!A360="","",IFERROR(INDEX(Mercados!$C$2:$C$32,MATCH(Suiza_DE_CN_ID!B360,Mercados!$A$2:$A$32,0)),"Revisar Tscode"))</f>
        <v/>
      </c>
      <c r="B1010" s="1" t="str">
        <f aca="false">IF(Suiza_DE_CN_ID!A360="","",Suiza_DE_CN_ID!A360)</f>
        <v/>
      </c>
      <c r="C1010" s="1" t="str">
        <f aca="false">IF(Suiza_DE_CN_ID!A360="","",Suiza_DE_CN_ID!C360)</f>
        <v/>
      </c>
      <c r="D1010" s="1" t="str">
        <f aca="false">IF(Suiza_DE_CN_ID!A360="","",Suiza_DE_CN_ID!D360)</f>
        <v/>
      </c>
      <c r="E1010" s="1" t="str">
        <f aca="false">IF(Suiza_DE_CN_ID!A360="","",Suiza_DE_CN_ID!E360)</f>
        <v/>
      </c>
      <c r="F1010" s="1" t="str">
        <f aca="false">IF(Suiza_DE_CN_ID!A360="","",Suiza_DE_CN_ID!G360)</f>
        <v/>
      </c>
      <c r="I1010" s="1" t="str">
        <f aca="false">IF(Suiza_DE_CN_ID!A360="","",Suiza_DE_CN_ID!H360)</f>
        <v/>
      </c>
      <c r="J1010" s="1" t="str">
        <f aca="false">IF(Suiza_DE_CN_ID!A360="","",Suiza_DE_CN_ID!I360)</f>
        <v/>
      </c>
      <c r="K1010" s="1" t="str">
        <f aca="false">IF(Suiza_DE_CN_ID!A360="","",UPPER(Suiza_DE_CN_ID!J360))</f>
        <v/>
      </c>
      <c r="L1010" s="1" t="str">
        <f aca="false">IF(Suiza_DE_CN_ID!A360="","",IFERROR(INDEX(Gamma_Catalogo!$D$3:$D$1451,MATCH(Suiza_DE_CN_ID!D360,Gamma_Catalogo!$A$3:$A$1451,0)),"Revisar Ip Code"))</f>
        <v/>
      </c>
      <c r="M1010" s="1" t="str">
        <f aca="false">IF(Suiza_DE_CN_ID!A360="","",IFERROR(INDEX(Gamma_Catalogo!$C$3:$C$1451,MATCH(Suiza_DE_CN_ID!D360,Gamma_Catalogo!$A$3:$A$1451,0)),"Revisar Ip Code"))</f>
        <v/>
      </c>
      <c r="N1010" s="1" t="str">
        <f aca="false">IF(Suiza_DE_CN_ID!A360="","",IFERROR(INDEX(Gamma_Catalogo!$E$3:$E$1451,MATCH(Suiza_DE_CN_ID!D360,Gamma_Catalogo!$A$3:$A$1451,0)),"Revisar Ip Code"))</f>
        <v/>
      </c>
      <c r="O1010" s="1" t="str">
        <f aca="false">IF(Suiza_DE_CN_ID!A360="","","Suiza")</f>
        <v/>
      </c>
    </row>
    <row r="1011" customFormat="false" ht="15" hidden="false" customHeight="true" outlineLevel="0" collapsed="false">
      <c r="A1011" s="1" t="str">
        <f aca="false">IF(Suiza_DE_CN_ID!A361="","",IFERROR(INDEX(Mercados!$C$2:$C$32,MATCH(Suiza_DE_CN_ID!B361,Mercados!$A$2:$A$32,0)),"Revisar Tscode"))</f>
        <v/>
      </c>
      <c r="B1011" s="1" t="str">
        <f aca="false">IF(Suiza_DE_CN_ID!A361="","",Suiza_DE_CN_ID!A361)</f>
        <v/>
      </c>
      <c r="C1011" s="1" t="str">
        <f aca="false">IF(Suiza_DE_CN_ID!A361="","",Suiza_DE_CN_ID!C361)</f>
        <v/>
      </c>
      <c r="D1011" s="1" t="str">
        <f aca="false">IF(Suiza_DE_CN_ID!A361="","",Suiza_DE_CN_ID!D361)</f>
        <v/>
      </c>
      <c r="E1011" s="1" t="str">
        <f aca="false">IF(Suiza_DE_CN_ID!A361="","",Suiza_DE_CN_ID!E361)</f>
        <v/>
      </c>
      <c r="F1011" s="1" t="str">
        <f aca="false">IF(Suiza_DE_CN_ID!A361="","",Suiza_DE_CN_ID!G361)</f>
        <v/>
      </c>
      <c r="I1011" s="1" t="str">
        <f aca="false">IF(Suiza_DE_CN_ID!A361="","",Suiza_DE_CN_ID!H361)</f>
        <v/>
      </c>
      <c r="J1011" s="1" t="str">
        <f aca="false">IF(Suiza_DE_CN_ID!A361="","",Suiza_DE_CN_ID!I361)</f>
        <v/>
      </c>
      <c r="K1011" s="1" t="str">
        <f aca="false">IF(Suiza_DE_CN_ID!A361="","",UPPER(Suiza_DE_CN_ID!J361))</f>
        <v/>
      </c>
      <c r="L1011" s="1" t="str">
        <f aca="false">IF(Suiza_DE_CN_ID!A361="","",IFERROR(INDEX(Gamma_Catalogo!$D$3:$D$1451,MATCH(Suiza_DE_CN_ID!D361,Gamma_Catalogo!$A$3:$A$1451,0)),"Revisar Ip Code"))</f>
        <v/>
      </c>
      <c r="M1011" s="1" t="str">
        <f aca="false">IF(Suiza_DE_CN_ID!A361="","",IFERROR(INDEX(Gamma_Catalogo!$C$3:$C$1451,MATCH(Suiza_DE_CN_ID!D361,Gamma_Catalogo!$A$3:$A$1451,0)),"Revisar Ip Code"))</f>
        <v/>
      </c>
      <c r="N1011" s="1" t="str">
        <f aca="false">IF(Suiza_DE_CN_ID!A361="","",IFERROR(INDEX(Gamma_Catalogo!$E$3:$E$1451,MATCH(Suiza_DE_CN_ID!D361,Gamma_Catalogo!$A$3:$A$1451,0)),"Revisar Ip Code"))</f>
        <v/>
      </c>
      <c r="O1011" s="1" t="str">
        <f aca="false">IF(Suiza_DE_CN_ID!A361="","","Suiza")</f>
        <v/>
      </c>
    </row>
    <row r="1012" customFormat="false" ht="15" hidden="false" customHeight="true" outlineLevel="0" collapsed="false">
      <c r="A1012" s="1" t="str">
        <f aca="false">IF(Suiza_DE_CN_ID!A362="","",IFERROR(INDEX(Mercados!$C$2:$C$32,MATCH(Suiza_DE_CN_ID!B362,Mercados!$A$2:$A$32,0)),"Revisar Tscode"))</f>
        <v/>
      </c>
      <c r="B1012" s="1" t="str">
        <f aca="false">IF(Suiza_DE_CN_ID!A362="","",Suiza_DE_CN_ID!A362)</f>
        <v/>
      </c>
      <c r="C1012" s="1" t="str">
        <f aca="false">IF(Suiza_DE_CN_ID!A362="","",Suiza_DE_CN_ID!C362)</f>
        <v/>
      </c>
      <c r="D1012" s="1" t="str">
        <f aca="false">IF(Suiza_DE_CN_ID!A362="","",Suiza_DE_CN_ID!D362)</f>
        <v/>
      </c>
      <c r="E1012" s="1" t="str">
        <f aca="false">IF(Suiza_DE_CN_ID!A362="","",Suiza_DE_CN_ID!E362)</f>
        <v/>
      </c>
      <c r="F1012" s="1" t="str">
        <f aca="false">IF(Suiza_DE_CN_ID!A362="","",Suiza_DE_CN_ID!G362)</f>
        <v/>
      </c>
      <c r="I1012" s="1" t="str">
        <f aca="false">IF(Suiza_DE_CN_ID!A362="","",Suiza_DE_CN_ID!H362)</f>
        <v/>
      </c>
      <c r="J1012" s="1" t="str">
        <f aca="false">IF(Suiza_DE_CN_ID!A362="","",Suiza_DE_CN_ID!I362)</f>
        <v/>
      </c>
      <c r="K1012" s="1" t="str">
        <f aca="false">IF(Suiza_DE_CN_ID!A362="","",UPPER(Suiza_DE_CN_ID!J362))</f>
        <v/>
      </c>
      <c r="L1012" s="1" t="str">
        <f aca="false">IF(Suiza_DE_CN_ID!A362="","",IFERROR(INDEX(Gamma_Catalogo!$D$3:$D$1451,MATCH(Suiza_DE_CN_ID!D362,Gamma_Catalogo!$A$3:$A$1451,0)),"Revisar Ip Code"))</f>
        <v/>
      </c>
      <c r="M1012" s="1" t="str">
        <f aca="false">IF(Suiza_DE_CN_ID!A362="","",IFERROR(INDEX(Gamma_Catalogo!$C$3:$C$1451,MATCH(Suiza_DE_CN_ID!D362,Gamma_Catalogo!$A$3:$A$1451,0)),"Revisar Ip Code"))</f>
        <v/>
      </c>
      <c r="N1012" s="1" t="str">
        <f aca="false">IF(Suiza_DE_CN_ID!A362="","",IFERROR(INDEX(Gamma_Catalogo!$E$3:$E$1451,MATCH(Suiza_DE_CN_ID!D362,Gamma_Catalogo!$A$3:$A$1451,0)),"Revisar Ip Code"))</f>
        <v/>
      </c>
      <c r="O1012" s="1" t="str">
        <f aca="false">IF(Suiza_DE_CN_ID!A362="","","Suiza")</f>
        <v/>
      </c>
    </row>
    <row r="1013" customFormat="false" ht="15" hidden="false" customHeight="true" outlineLevel="0" collapsed="false">
      <c r="A1013" s="1" t="str">
        <f aca="false">IF(Suiza_DE_CN_ID!A363="","",IFERROR(INDEX(Mercados!$C$2:$C$32,MATCH(Suiza_DE_CN_ID!B363,Mercados!$A$2:$A$32,0)),"Revisar Tscode"))</f>
        <v/>
      </c>
      <c r="B1013" s="1" t="str">
        <f aca="false">IF(Suiza_DE_CN_ID!A363="","",Suiza_DE_CN_ID!A363)</f>
        <v/>
      </c>
      <c r="C1013" s="1" t="str">
        <f aca="false">IF(Suiza_DE_CN_ID!A363="","",Suiza_DE_CN_ID!C363)</f>
        <v/>
      </c>
      <c r="D1013" s="1" t="str">
        <f aca="false">IF(Suiza_DE_CN_ID!A363="","",Suiza_DE_CN_ID!D363)</f>
        <v/>
      </c>
      <c r="E1013" s="1" t="str">
        <f aca="false">IF(Suiza_DE_CN_ID!A363="","",Suiza_DE_CN_ID!E363)</f>
        <v/>
      </c>
      <c r="F1013" s="1" t="str">
        <f aca="false">IF(Suiza_DE_CN_ID!A363="","",Suiza_DE_CN_ID!G363)</f>
        <v/>
      </c>
      <c r="I1013" s="1" t="str">
        <f aca="false">IF(Suiza_DE_CN_ID!A363="","",Suiza_DE_CN_ID!H363)</f>
        <v/>
      </c>
      <c r="J1013" s="1" t="str">
        <f aca="false">IF(Suiza_DE_CN_ID!A363="","",Suiza_DE_CN_ID!I363)</f>
        <v/>
      </c>
      <c r="K1013" s="1" t="str">
        <f aca="false">IF(Suiza_DE_CN_ID!A363="","",UPPER(Suiza_DE_CN_ID!J363))</f>
        <v/>
      </c>
      <c r="L1013" s="1" t="str">
        <f aca="false">IF(Suiza_DE_CN_ID!A363="","",IFERROR(INDEX(Gamma_Catalogo!$D$3:$D$1451,MATCH(Suiza_DE_CN_ID!D363,Gamma_Catalogo!$A$3:$A$1451,0)),"Revisar Ip Code"))</f>
        <v/>
      </c>
      <c r="M1013" s="1" t="str">
        <f aca="false">IF(Suiza_DE_CN_ID!A363="","",IFERROR(INDEX(Gamma_Catalogo!$C$3:$C$1451,MATCH(Suiza_DE_CN_ID!D363,Gamma_Catalogo!$A$3:$A$1451,0)),"Revisar Ip Code"))</f>
        <v/>
      </c>
      <c r="N1013" s="1" t="str">
        <f aca="false">IF(Suiza_DE_CN_ID!A363="","",IFERROR(INDEX(Gamma_Catalogo!$E$3:$E$1451,MATCH(Suiza_DE_CN_ID!D363,Gamma_Catalogo!$A$3:$A$1451,0)),"Revisar Ip Code"))</f>
        <v/>
      </c>
      <c r="O1013" s="1" t="str">
        <f aca="false">IF(Suiza_DE_CN_ID!A363="","","Suiza")</f>
        <v/>
      </c>
    </row>
    <row r="1014" customFormat="false" ht="15" hidden="false" customHeight="true" outlineLevel="0" collapsed="false">
      <c r="A1014" s="1" t="str">
        <f aca="false">IF(Suiza_DE_CN_ID!A364="","",IFERROR(INDEX(Mercados!$C$2:$C$32,MATCH(Suiza_DE_CN_ID!B364,Mercados!$A$2:$A$32,0)),"Revisar Tscode"))</f>
        <v/>
      </c>
      <c r="B1014" s="1" t="str">
        <f aca="false">IF(Suiza_DE_CN_ID!A364="","",Suiza_DE_CN_ID!A364)</f>
        <v/>
      </c>
      <c r="C1014" s="1" t="str">
        <f aca="false">IF(Suiza_DE_CN_ID!A364="","",Suiza_DE_CN_ID!C364)</f>
        <v/>
      </c>
      <c r="D1014" s="1" t="str">
        <f aca="false">IF(Suiza_DE_CN_ID!A364="","",Suiza_DE_CN_ID!D364)</f>
        <v/>
      </c>
      <c r="E1014" s="1" t="str">
        <f aca="false">IF(Suiza_DE_CN_ID!A364="","",Suiza_DE_CN_ID!E364)</f>
        <v/>
      </c>
      <c r="F1014" s="1" t="str">
        <f aca="false">IF(Suiza_DE_CN_ID!A364="","",Suiza_DE_CN_ID!G364)</f>
        <v/>
      </c>
      <c r="I1014" s="1" t="str">
        <f aca="false">IF(Suiza_DE_CN_ID!A364="","",Suiza_DE_CN_ID!H364)</f>
        <v/>
      </c>
      <c r="J1014" s="1" t="str">
        <f aca="false">IF(Suiza_DE_CN_ID!A364="","",Suiza_DE_CN_ID!I364)</f>
        <v/>
      </c>
      <c r="K1014" s="1" t="str">
        <f aca="false">IF(Suiza_DE_CN_ID!A364="","",UPPER(Suiza_DE_CN_ID!J364))</f>
        <v/>
      </c>
      <c r="L1014" s="1" t="str">
        <f aca="false">IF(Suiza_DE_CN_ID!A364="","",IFERROR(INDEX(Gamma_Catalogo!$D$3:$D$1451,MATCH(Suiza_DE_CN_ID!D364,Gamma_Catalogo!$A$3:$A$1451,0)),"Revisar Ip Code"))</f>
        <v/>
      </c>
      <c r="M1014" s="1" t="str">
        <f aca="false">IF(Suiza_DE_CN_ID!A364="","",IFERROR(INDEX(Gamma_Catalogo!$C$3:$C$1451,MATCH(Suiza_DE_CN_ID!D364,Gamma_Catalogo!$A$3:$A$1451,0)),"Revisar Ip Code"))</f>
        <v/>
      </c>
      <c r="N1014" s="1" t="str">
        <f aca="false">IF(Suiza_DE_CN_ID!A364="","",IFERROR(INDEX(Gamma_Catalogo!$E$3:$E$1451,MATCH(Suiza_DE_CN_ID!D364,Gamma_Catalogo!$A$3:$A$1451,0)),"Revisar Ip Code"))</f>
        <v/>
      </c>
      <c r="O1014" s="1" t="str">
        <f aca="false">IF(Suiza_DE_CN_ID!A364="","","Suiza")</f>
        <v/>
      </c>
    </row>
    <row r="1015" customFormat="false" ht="15" hidden="false" customHeight="true" outlineLevel="0" collapsed="false">
      <c r="A1015" s="1" t="str">
        <f aca="false">IF(Suiza_DE_CN_ID!A365="","",IFERROR(INDEX(Mercados!$C$2:$C$32,MATCH(Suiza_DE_CN_ID!B365,Mercados!$A$2:$A$32,0)),"Revisar Tscode"))</f>
        <v/>
      </c>
      <c r="B1015" s="1" t="str">
        <f aca="false">IF(Suiza_DE_CN_ID!A365="","",Suiza_DE_CN_ID!A365)</f>
        <v/>
      </c>
      <c r="C1015" s="1" t="str">
        <f aca="false">IF(Suiza_DE_CN_ID!A365="","",Suiza_DE_CN_ID!C365)</f>
        <v/>
      </c>
      <c r="D1015" s="1" t="str">
        <f aca="false">IF(Suiza_DE_CN_ID!A365="","",Suiza_DE_CN_ID!D365)</f>
        <v/>
      </c>
      <c r="E1015" s="1" t="str">
        <f aca="false">IF(Suiza_DE_CN_ID!A365="","",Suiza_DE_CN_ID!E365)</f>
        <v/>
      </c>
      <c r="F1015" s="1" t="str">
        <f aca="false">IF(Suiza_DE_CN_ID!A365="","",Suiza_DE_CN_ID!G365)</f>
        <v/>
      </c>
      <c r="I1015" s="1" t="str">
        <f aca="false">IF(Suiza_DE_CN_ID!A365="","",Suiza_DE_CN_ID!H365)</f>
        <v/>
      </c>
      <c r="J1015" s="1" t="str">
        <f aca="false">IF(Suiza_DE_CN_ID!A365="","",Suiza_DE_CN_ID!I365)</f>
        <v/>
      </c>
      <c r="K1015" s="1" t="str">
        <f aca="false">IF(Suiza_DE_CN_ID!A365="","",UPPER(Suiza_DE_CN_ID!J365))</f>
        <v/>
      </c>
      <c r="L1015" s="1" t="str">
        <f aca="false">IF(Suiza_DE_CN_ID!A365="","",IFERROR(INDEX(Gamma_Catalogo!$D$3:$D$1451,MATCH(Suiza_DE_CN_ID!D365,Gamma_Catalogo!$A$3:$A$1451,0)),"Revisar Ip Code"))</f>
        <v/>
      </c>
      <c r="M1015" s="1" t="str">
        <f aca="false">IF(Suiza_DE_CN_ID!A365="","",IFERROR(INDEX(Gamma_Catalogo!$C$3:$C$1451,MATCH(Suiza_DE_CN_ID!D365,Gamma_Catalogo!$A$3:$A$1451,0)),"Revisar Ip Code"))</f>
        <v/>
      </c>
      <c r="N1015" s="1" t="str">
        <f aca="false">IF(Suiza_DE_CN_ID!A365="","",IFERROR(INDEX(Gamma_Catalogo!$E$3:$E$1451,MATCH(Suiza_DE_CN_ID!D365,Gamma_Catalogo!$A$3:$A$1451,0)),"Revisar Ip Code"))</f>
        <v/>
      </c>
      <c r="O1015" s="1" t="str">
        <f aca="false">IF(Suiza_DE_CN_ID!A365="","","Suiza")</f>
        <v/>
      </c>
    </row>
    <row r="1016" customFormat="false" ht="15" hidden="false" customHeight="true" outlineLevel="0" collapsed="false">
      <c r="A1016" s="1" t="str">
        <f aca="false">IF(Suiza_DE_CN_ID!A366="","",IFERROR(INDEX(Mercados!$C$2:$C$32,MATCH(Suiza_DE_CN_ID!B366,Mercados!$A$2:$A$32,0)),"Revisar Tscode"))</f>
        <v/>
      </c>
      <c r="B1016" s="1" t="str">
        <f aca="false">IF(Suiza_DE_CN_ID!A366="","",Suiza_DE_CN_ID!A366)</f>
        <v/>
      </c>
      <c r="C1016" s="1" t="str">
        <f aca="false">IF(Suiza_DE_CN_ID!A366="","",Suiza_DE_CN_ID!C366)</f>
        <v/>
      </c>
      <c r="D1016" s="1" t="str">
        <f aca="false">IF(Suiza_DE_CN_ID!A366="","",Suiza_DE_CN_ID!D366)</f>
        <v/>
      </c>
      <c r="E1016" s="1" t="str">
        <f aca="false">IF(Suiza_DE_CN_ID!A366="","",Suiza_DE_CN_ID!E366)</f>
        <v/>
      </c>
      <c r="F1016" s="1" t="str">
        <f aca="false">IF(Suiza_DE_CN_ID!A366="","",Suiza_DE_CN_ID!G366)</f>
        <v/>
      </c>
      <c r="I1016" s="1" t="str">
        <f aca="false">IF(Suiza_DE_CN_ID!A366="","",Suiza_DE_CN_ID!H366)</f>
        <v/>
      </c>
      <c r="J1016" s="1" t="str">
        <f aca="false">IF(Suiza_DE_CN_ID!A366="","",Suiza_DE_CN_ID!I366)</f>
        <v/>
      </c>
      <c r="K1016" s="1" t="str">
        <f aca="false">IF(Suiza_DE_CN_ID!A366="","",UPPER(Suiza_DE_CN_ID!J366))</f>
        <v/>
      </c>
      <c r="L1016" s="1" t="str">
        <f aca="false">IF(Suiza_DE_CN_ID!A366="","",IFERROR(INDEX(Gamma_Catalogo!$D$3:$D$1451,MATCH(Suiza_DE_CN_ID!D366,Gamma_Catalogo!$A$3:$A$1451,0)),"Revisar Ip Code"))</f>
        <v/>
      </c>
      <c r="M1016" s="1" t="str">
        <f aca="false">IF(Suiza_DE_CN_ID!A366="","",IFERROR(INDEX(Gamma_Catalogo!$C$3:$C$1451,MATCH(Suiza_DE_CN_ID!D366,Gamma_Catalogo!$A$3:$A$1451,0)),"Revisar Ip Code"))</f>
        <v/>
      </c>
      <c r="N1016" s="1" t="str">
        <f aca="false">IF(Suiza_DE_CN_ID!A366="","",IFERROR(INDEX(Gamma_Catalogo!$E$3:$E$1451,MATCH(Suiza_DE_CN_ID!D366,Gamma_Catalogo!$A$3:$A$1451,0)),"Revisar Ip Code"))</f>
        <v/>
      </c>
      <c r="O1016" s="1" t="str">
        <f aca="false">IF(Suiza_DE_CN_ID!A366="","","Suiza")</f>
        <v/>
      </c>
    </row>
    <row r="1017" customFormat="false" ht="15" hidden="false" customHeight="true" outlineLevel="0" collapsed="false">
      <c r="A1017" s="1" t="str">
        <f aca="false">IF(Suiza_DE_CN_ID!A367="","",IFERROR(INDEX(Mercados!$C$2:$C$32,MATCH(Suiza_DE_CN_ID!B367,Mercados!$A$2:$A$32,0)),"Revisar Tscode"))</f>
        <v/>
      </c>
      <c r="B1017" s="1" t="str">
        <f aca="false">IF(Suiza_DE_CN_ID!A367="","",Suiza_DE_CN_ID!A367)</f>
        <v/>
      </c>
      <c r="C1017" s="1" t="str">
        <f aca="false">IF(Suiza_DE_CN_ID!A367="","",Suiza_DE_CN_ID!C367)</f>
        <v/>
      </c>
      <c r="D1017" s="1" t="str">
        <f aca="false">IF(Suiza_DE_CN_ID!A367="","",Suiza_DE_CN_ID!D367)</f>
        <v/>
      </c>
      <c r="E1017" s="1" t="str">
        <f aca="false">IF(Suiza_DE_CN_ID!A367="","",Suiza_DE_CN_ID!E367)</f>
        <v/>
      </c>
      <c r="F1017" s="1" t="str">
        <f aca="false">IF(Suiza_DE_CN_ID!A367="","",Suiza_DE_CN_ID!G367)</f>
        <v/>
      </c>
      <c r="I1017" s="1" t="str">
        <f aca="false">IF(Suiza_DE_CN_ID!A367="","",Suiza_DE_CN_ID!H367)</f>
        <v/>
      </c>
      <c r="J1017" s="1" t="str">
        <f aca="false">IF(Suiza_DE_CN_ID!A367="","",Suiza_DE_CN_ID!I367)</f>
        <v/>
      </c>
      <c r="K1017" s="1" t="str">
        <f aca="false">IF(Suiza_DE_CN_ID!A367="","",UPPER(Suiza_DE_CN_ID!J367))</f>
        <v/>
      </c>
      <c r="L1017" s="1" t="str">
        <f aca="false">IF(Suiza_DE_CN_ID!A367="","",IFERROR(INDEX(Gamma_Catalogo!$D$3:$D$1451,MATCH(Suiza_DE_CN_ID!D367,Gamma_Catalogo!$A$3:$A$1451,0)),"Revisar Ip Code"))</f>
        <v/>
      </c>
      <c r="M1017" s="1" t="str">
        <f aca="false">IF(Suiza_DE_CN_ID!A367="","",IFERROR(INDEX(Gamma_Catalogo!$C$3:$C$1451,MATCH(Suiza_DE_CN_ID!D367,Gamma_Catalogo!$A$3:$A$1451,0)),"Revisar Ip Code"))</f>
        <v/>
      </c>
      <c r="N1017" s="1" t="str">
        <f aca="false">IF(Suiza_DE_CN_ID!A367="","",IFERROR(INDEX(Gamma_Catalogo!$E$3:$E$1451,MATCH(Suiza_DE_CN_ID!D367,Gamma_Catalogo!$A$3:$A$1451,0)),"Revisar Ip Code"))</f>
        <v/>
      </c>
      <c r="O1017" s="1" t="str">
        <f aca="false">IF(Suiza_DE_CN_ID!A367="","","Suiza")</f>
        <v/>
      </c>
    </row>
    <row r="1018" customFormat="false" ht="15" hidden="false" customHeight="true" outlineLevel="0" collapsed="false">
      <c r="A1018" s="1" t="str">
        <f aca="false">IF(Suiza_DE_CN_ID!A368="","",IFERROR(INDEX(Mercados!$C$2:$C$32,MATCH(Suiza_DE_CN_ID!B368,Mercados!$A$2:$A$32,0)),"Revisar Tscode"))</f>
        <v/>
      </c>
      <c r="B1018" s="1" t="str">
        <f aca="false">IF(Suiza_DE_CN_ID!A368="","",Suiza_DE_CN_ID!A368)</f>
        <v/>
      </c>
      <c r="C1018" s="1" t="str">
        <f aca="false">IF(Suiza_DE_CN_ID!A368="","",Suiza_DE_CN_ID!C368)</f>
        <v/>
      </c>
      <c r="D1018" s="1" t="str">
        <f aca="false">IF(Suiza_DE_CN_ID!A368="","",Suiza_DE_CN_ID!D368)</f>
        <v/>
      </c>
      <c r="E1018" s="1" t="str">
        <f aca="false">IF(Suiza_DE_CN_ID!A368="","",Suiza_DE_CN_ID!E368)</f>
        <v/>
      </c>
      <c r="F1018" s="1" t="str">
        <f aca="false">IF(Suiza_DE_CN_ID!A368="","",Suiza_DE_CN_ID!G368)</f>
        <v/>
      </c>
      <c r="I1018" s="1" t="str">
        <f aca="false">IF(Suiza_DE_CN_ID!A368="","",Suiza_DE_CN_ID!H368)</f>
        <v/>
      </c>
      <c r="J1018" s="1" t="str">
        <f aca="false">IF(Suiza_DE_CN_ID!A368="","",Suiza_DE_CN_ID!I368)</f>
        <v/>
      </c>
      <c r="K1018" s="1" t="str">
        <f aca="false">IF(Suiza_DE_CN_ID!A368="","",UPPER(Suiza_DE_CN_ID!J368))</f>
        <v/>
      </c>
      <c r="L1018" s="1" t="str">
        <f aca="false">IF(Suiza_DE_CN_ID!A368="","",IFERROR(INDEX(Gamma_Catalogo!$D$3:$D$1451,MATCH(Suiza_DE_CN_ID!D368,Gamma_Catalogo!$A$3:$A$1451,0)),"Revisar Ip Code"))</f>
        <v/>
      </c>
      <c r="M1018" s="1" t="str">
        <f aca="false">IF(Suiza_DE_CN_ID!A368="","",IFERROR(INDEX(Gamma_Catalogo!$C$3:$C$1451,MATCH(Suiza_DE_CN_ID!D368,Gamma_Catalogo!$A$3:$A$1451,0)),"Revisar Ip Code"))</f>
        <v/>
      </c>
      <c r="N1018" s="1" t="str">
        <f aca="false">IF(Suiza_DE_CN_ID!A368="","",IFERROR(INDEX(Gamma_Catalogo!$E$3:$E$1451,MATCH(Suiza_DE_CN_ID!D368,Gamma_Catalogo!$A$3:$A$1451,0)),"Revisar Ip Code"))</f>
        <v/>
      </c>
      <c r="O1018" s="1" t="str">
        <f aca="false">IF(Suiza_DE_CN_ID!A368="","","Suiza")</f>
        <v/>
      </c>
    </row>
    <row r="1019" customFormat="false" ht="15" hidden="false" customHeight="true" outlineLevel="0" collapsed="false">
      <c r="A1019" s="1" t="str">
        <f aca="false">IF(Suiza_DE_CN_ID!A369="","",IFERROR(INDEX(Mercados!$C$2:$C$32,MATCH(Suiza_DE_CN_ID!B369,Mercados!$A$2:$A$32,0)),"Revisar Tscode"))</f>
        <v/>
      </c>
      <c r="B1019" s="1" t="str">
        <f aca="false">IF(Suiza_DE_CN_ID!A369="","",Suiza_DE_CN_ID!A369)</f>
        <v/>
      </c>
      <c r="C1019" s="1" t="str">
        <f aca="false">IF(Suiza_DE_CN_ID!A369="","",Suiza_DE_CN_ID!C369)</f>
        <v/>
      </c>
      <c r="D1019" s="1" t="str">
        <f aca="false">IF(Suiza_DE_CN_ID!A369="","",Suiza_DE_CN_ID!D369)</f>
        <v/>
      </c>
      <c r="E1019" s="1" t="str">
        <f aca="false">IF(Suiza_DE_CN_ID!A369="","",Suiza_DE_CN_ID!E369)</f>
        <v/>
      </c>
      <c r="F1019" s="1" t="str">
        <f aca="false">IF(Suiza_DE_CN_ID!A369="","",Suiza_DE_CN_ID!G369)</f>
        <v/>
      </c>
      <c r="I1019" s="1" t="str">
        <f aca="false">IF(Suiza_DE_CN_ID!A369="","",Suiza_DE_CN_ID!H369)</f>
        <v/>
      </c>
      <c r="J1019" s="1" t="str">
        <f aca="false">IF(Suiza_DE_CN_ID!A369="","",Suiza_DE_CN_ID!I369)</f>
        <v/>
      </c>
      <c r="K1019" s="1" t="str">
        <f aca="false">IF(Suiza_DE_CN_ID!A369="","",UPPER(Suiza_DE_CN_ID!J369))</f>
        <v/>
      </c>
      <c r="L1019" s="1" t="str">
        <f aca="false">IF(Suiza_DE_CN_ID!A369="","",IFERROR(INDEX(Gamma_Catalogo!$D$3:$D$1451,MATCH(Suiza_DE_CN_ID!D369,Gamma_Catalogo!$A$3:$A$1451,0)),"Revisar Ip Code"))</f>
        <v/>
      </c>
      <c r="M1019" s="1" t="str">
        <f aca="false">IF(Suiza_DE_CN_ID!A369="","",IFERROR(INDEX(Gamma_Catalogo!$C$3:$C$1451,MATCH(Suiza_DE_CN_ID!D369,Gamma_Catalogo!$A$3:$A$1451,0)),"Revisar Ip Code"))</f>
        <v/>
      </c>
      <c r="N1019" s="1" t="str">
        <f aca="false">IF(Suiza_DE_CN_ID!A369="","",IFERROR(INDEX(Gamma_Catalogo!$E$3:$E$1451,MATCH(Suiza_DE_CN_ID!D369,Gamma_Catalogo!$A$3:$A$1451,0)),"Revisar Ip Code"))</f>
        <v/>
      </c>
      <c r="O1019" s="1" t="str">
        <f aca="false">IF(Suiza_DE_CN_ID!A369="","","Suiza")</f>
        <v/>
      </c>
    </row>
    <row r="1020" customFormat="false" ht="15" hidden="false" customHeight="true" outlineLevel="0" collapsed="false">
      <c r="A1020" s="1" t="str">
        <f aca="false">IF(Suiza_DE_CN_ID!A370="","",IFERROR(INDEX(Mercados!$C$2:$C$32,MATCH(Suiza_DE_CN_ID!B370,Mercados!$A$2:$A$32,0)),"Revisar Tscode"))</f>
        <v/>
      </c>
      <c r="B1020" s="1" t="str">
        <f aca="false">IF(Suiza_DE_CN_ID!A370="","",Suiza_DE_CN_ID!A370)</f>
        <v/>
      </c>
      <c r="C1020" s="1" t="str">
        <f aca="false">IF(Suiza_DE_CN_ID!A370="","",Suiza_DE_CN_ID!C370)</f>
        <v/>
      </c>
      <c r="D1020" s="1" t="str">
        <f aca="false">IF(Suiza_DE_CN_ID!A370="","",Suiza_DE_CN_ID!D370)</f>
        <v/>
      </c>
      <c r="E1020" s="1" t="str">
        <f aca="false">IF(Suiza_DE_CN_ID!A370="","",Suiza_DE_CN_ID!E370)</f>
        <v/>
      </c>
      <c r="F1020" s="1" t="str">
        <f aca="false">IF(Suiza_DE_CN_ID!A370="","",Suiza_DE_CN_ID!G370)</f>
        <v/>
      </c>
      <c r="I1020" s="1" t="str">
        <f aca="false">IF(Suiza_DE_CN_ID!A370="","",Suiza_DE_CN_ID!H370)</f>
        <v/>
      </c>
      <c r="J1020" s="1" t="str">
        <f aca="false">IF(Suiza_DE_CN_ID!A370="","",Suiza_DE_CN_ID!I370)</f>
        <v/>
      </c>
      <c r="K1020" s="1" t="str">
        <f aca="false">IF(Suiza_DE_CN_ID!A370="","",UPPER(Suiza_DE_CN_ID!J370))</f>
        <v/>
      </c>
      <c r="L1020" s="1" t="str">
        <f aca="false">IF(Suiza_DE_CN_ID!A370="","",IFERROR(INDEX(Gamma_Catalogo!$D$3:$D$1451,MATCH(Suiza_DE_CN_ID!D370,Gamma_Catalogo!$A$3:$A$1451,0)),"Revisar Ip Code"))</f>
        <v/>
      </c>
      <c r="M1020" s="1" t="str">
        <f aca="false">IF(Suiza_DE_CN_ID!A370="","",IFERROR(INDEX(Gamma_Catalogo!$C$3:$C$1451,MATCH(Suiza_DE_CN_ID!D370,Gamma_Catalogo!$A$3:$A$1451,0)),"Revisar Ip Code"))</f>
        <v/>
      </c>
      <c r="N1020" s="1" t="str">
        <f aca="false">IF(Suiza_DE_CN_ID!A370="","",IFERROR(INDEX(Gamma_Catalogo!$E$3:$E$1451,MATCH(Suiza_DE_CN_ID!D370,Gamma_Catalogo!$A$3:$A$1451,0)),"Revisar Ip Code"))</f>
        <v/>
      </c>
      <c r="O1020" s="1" t="str">
        <f aca="false">IF(Suiza_DE_CN_ID!A370="","","Suiza")</f>
        <v/>
      </c>
    </row>
    <row r="1021" customFormat="false" ht="15" hidden="false" customHeight="true" outlineLevel="0" collapsed="false">
      <c r="A1021" s="1" t="str">
        <f aca="false">IF(Suiza_DE_CN_ID!A371="","",IFERROR(INDEX(Mercados!$C$2:$C$32,MATCH(Suiza_DE_CN_ID!B371,Mercados!$A$2:$A$32,0)),"Revisar Tscode"))</f>
        <v/>
      </c>
      <c r="B1021" s="1" t="str">
        <f aca="false">IF(Suiza_DE_CN_ID!A371="","",Suiza_DE_CN_ID!A371)</f>
        <v/>
      </c>
      <c r="C1021" s="1" t="str">
        <f aca="false">IF(Suiza_DE_CN_ID!A371="","",Suiza_DE_CN_ID!C371)</f>
        <v/>
      </c>
      <c r="D1021" s="1" t="str">
        <f aca="false">IF(Suiza_DE_CN_ID!A371="","",Suiza_DE_CN_ID!D371)</f>
        <v/>
      </c>
      <c r="E1021" s="1" t="str">
        <f aca="false">IF(Suiza_DE_CN_ID!A371="","",Suiza_DE_CN_ID!E371)</f>
        <v/>
      </c>
      <c r="F1021" s="1" t="str">
        <f aca="false">IF(Suiza_DE_CN_ID!A371="","",Suiza_DE_CN_ID!G371)</f>
        <v/>
      </c>
      <c r="I1021" s="1" t="str">
        <f aca="false">IF(Suiza_DE_CN_ID!A371="","",Suiza_DE_CN_ID!H371)</f>
        <v/>
      </c>
      <c r="J1021" s="1" t="str">
        <f aca="false">IF(Suiza_DE_CN_ID!A371="","",Suiza_DE_CN_ID!I371)</f>
        <v/>
      </c>
      <c r="K1021" s="1" t="str">
        <f aca="false">IF(Suiza_DE_CN_ID!A371="","",UPPER(Suiza_DE_CN_ID!J371))</f>
        <v/>
      </c>
      <c r="L1021" s="1" t="str">
        <f aca="false">IF(Suiza_DE_CN_ID!A371="","",IFERROR(INDEX(Gamma_Catalogo!$D$3:$D$1451,MATCH(Suiza_DE_CN_ID!D371,Gamma_Catalogo!$A$3:$A$1451,0)),"Revisar Ip Code"))</f>
        <v/>
      </c>
      <c r="M1021" s="1" t="str">
        <f aca="false">IF(Suiza_DE_CN_ID!A371="","",IFERROR(INDEX(Gamma_Catalogo!$C$3:$C$1451,MATCH(Suiza_DE_CN_ID!D371,Gamma_Catalogo!$A$3:$A$1451,0)),"Revisar Ip Code"))</f>
        <v/>
      </c>
      <c r="N1021" s="1" t="str">
        <f aca="false">IF(Suiza_DE_CN_ID!A371="","",IFERROR(INDEX(Gamma_Catalogo!$E$3:$E$1451,MATCH(Suiza_DE_CN_ID!D371,Gamma_Catalogo!$A$3:$A$1451,0)),"Revisar Ip Code"))</f>
        <v/>
      </c>
      <c r="O1021" s="1" t="str">
        <f aca="false">IF(Suiza_DE_CN_ID!A371="","","Suiza")</f>
        <v/>
      </c>
    </row>
    <row r="1022" customFormat="false" ht="15" hidden="false" customHeight="true" outlineLevel="0" collapsed="false">
      <c r="A1022" s="1" t="str">
        <f aca="false">IF(Suiza_DE_CN_ID!A372="","",IFERROR(INDEX(Mercados!$C$2:$C$32,MATCH(Suiza_DE_CN_ID!B372,Mercados!$A$2:$A$32,0)),"Revisar Tscode"))</f>
        <v/>
      </c>
      <c r="B1022" s="1" t="str">
        <f aca="false">IF(Suiza_DE_CN_ID!A372="","",Suiza_DE_CN_ID!A372)</f>
        <v/>
      </c>
      <c r="C1022" s="1" t="str">
        <f aca="false">IF(Suiza_DE_CN_ID!A372="","",Suiza_DE_CN_ID!C372)</f>
        <v/>
      </c>
      <c r="D1022" s="1" t="str">
        <f aca="false">IF(Suiza_DE_CN_ID!A372="","",Suiza_DE_CN_ID!D372)</f>
        <v/>
      </c>
      <c r="E1022" s="1" t="str">
        <f aca="false">IF(Suiza_DE_CN_ID!A372="","",Suiza_DE_CN_ID!E372)</f>
        <v/>
      </c>
      <c r="F1022" s="1" t="str">
        <f aca="false">IF(Suiza_DE_CN_ID!A372="","",Suiza_DE_CN_ID!G372)</f>
        <v/>
      </c>
      <c r="I1022" s="1" t="str">
        <f aca="false">IF(Suiza_DE_CN_ID!A372="","",Suiza_DE_CN_ID!H372)</f>
        <v/>
      </c>
      <c r="J1022" s="1" t="str">
        <f aca="false">IF(Suiza_DE_CN_ID!A372="","",Suiza_DE_CN_ID!I372)</f>
        <v/>
      </c>
      <c r="K1022" s="1" t="str">
        <f aca="false">IF(Suiza_DE_CN_ID!A372="","",UPPER(Suiza_DE_CN_ID!J372))</f>
        <v/>
      </c>
      <c r="L1022" s="1" t="str">
        <f aca="false">IF(Suiza_DE_CN_ID!A372="","",IFERROR(INDEX(Gamma_Catalogo!$D$3:$D$1451,MATCH(Suiza_DE_CN_ID!D372,Gamma_Catalogo!$A$3:$A$1451,0)),"Revisar Ip Code"))</f>
        <v/>
      </c>
      <c r="M1022" s="1" t="str">
        <f aca="false">IF(Suiza_DE_CN_ID!A372="","",IFERROR(INDEX(Gamma_Catalogo!$C$3:$C$1451,MATCH(Suiza_DE_CN_ID!D372,Gamma_Catalogo!$A$3:$A$1451,0)),"Revisar Ip Code"))</f>
        <v/>
      </c>
      <c r="N1022" s="1" t="str">
        <f aca="false">IF(Suiza_DE_CN_ID!A372="","",IFERROR(INDEX(Gamma_Catalogo!$E$3:$E$1451,MATCH(Suiza_DE_CN_ID!D372,Gamma_Catalogo!$A$3:$A$1451,0)),"Revisar Ip Code"))</f>
        <v/>
      </c>
      <c r="O1022" s="1" t="str">
        <f aca="false">IF(Suiza_DE_CN_ID!A372="","","Suiza")</f>
        <v/>
      </c>
    </row>
    <row r="1023" customFormat="false" ht="15" hidden="false" customHeight="true" outlineLevel="0" collapsed="false">
      <c r="A1023" s="1" t="str">
        <f aca="false">IF(Suiza_DE_CN_ID!A373="","",IFERROR(INDEX(Mercados!$C$2:$C$32,MATCH(Suiza_DE_CN_ID!B373,Mercados!$A$2:$A$32,0)),"Revisar Tscode"))</f>
        <v/>
      </c>
      <c r="B1023" s="1" t="str">
        <f aca="false">IF(Suiza_DE_CN_ID!A373="","",Suiza_DE_CN_ID!A373)</f>
        <v/>
      </c>
      <c r="C1023" s="1" t="str">
        <f aca="false">IF(Suiza_DE_CN_ID!A373="","",Suiza_DE_CN_ID!C373)</f>
        <v/>
      </c>
      <c r="D1023" s="1" t="str">
        <f aca="false">IF(Suiza_DE_CN_ID!A373="","",Suiza_DE_CN_ID!D373)</f>
        <v/>
      </c>
      <c r="E1023" s="1" t="str">
        <f aca="false">IF(Suiza_DE_CN_ID!A373="","",Suiza_DE_CN_ID!E373)</f>
        <v/>
      </c>
      <c r="F1023" s="1" t="str">
        <f aca="false">IF(Suiza_DE_CN_ID!A373="","",Suiza_DE_CN_ID!G373)</f>
        <v/>
      </c>
      <c r="I1023" s="1" t="str">
        <f aca="false">IF(Suiza_DE_CN_ID!A373="","",Suiza_DE_CN_ID!H373)</f>
        <v/>
      </c>
      <c r="J1023" s="1" t="str">
        <f aca="false">IF(Suiza_DE_CN_ID!A373="","",Suiza_DE_CN_ID!I373)</f>
        <v/>
      </c>
      <c r="K1023" s="1" t="str">
        <f aca="false">IF(Suiza_DE_CN_ID!A373="","",UPPER(Suiza_DE_CN_ID!J373))</f>
        <v/>
      </c>
      <c r="L1023" s="1" t="str">
        <f aca="false">IF(Suiza_DE_CN_ID!A373="","",IFERROR(INDEX(Gamma_Catalogo!$D$3:$D$1451,MATCH(Suiza_DE_CN_ID!D373,Gamma_Catalogo!$A$3:$A$1451,0)),"Revisar Ip Code"))</f>
        <v/>
      </c>
      <c r="M1023" s="1" t="str">
        <f aca="false">IF(Suiza_DE_CN_ID!A373="","",IFERROR(INDEX(Gamma_Catalogo!$C$3:$C$1451,MATCH(Suiza_DE_CN_ID!D373,Gamma_Catalogo!$A$3:$A$1451,0)),"Revisar Ip Code"))</f>
        <v/>
      </c>
      <c r="N1023" s="1" t="str">
        <f aca="false">IF(Suiza_DE_CN_ID!A373="","",IFERROR(INDEX(Gamma_Catalogo!$E$3:$E$1451,MATCH(Suiza_DE_CN_ID!D373,Gamma_Catalogo!$A$3:$A$1451,0)),"Revisar Ip Code"))</f>
        <v/>
      </c>
      <c r="O1023" s="1" t="str">
        <f aca="false">IF(Suiza_DE_CN_ID!A373="","","Suiza")</f>
        <v/>
      </c>
    </row>
    <row r="1024" customFormat="false" ht="15" hidden="false" customHeight="true" outlineLevel="0" collapsed="false">
      <c r="A1024" s="1" t="str">
        <f aca="false">IF(Suiza_DE_CN_ID!A374="","",IFERROR(INDEX(Mercados!$C$2:$C$32,MATCH(Suiza_DE_CN_ID!B374,Mercados!$A$2:$A$32,0)),"Revisar Tscode"))</f>
        <v/>
      </c>
      <c r="B1024" s="1" t="str">
        <f aca="false">IF(Suiza_DE_CN_ID!A374="","",Suiza_DE_CN_ID!A374)</f>
        <v/>
      </c>
      <c r="C1024" s="1" t="str">
        <f aca="false">IF(Suiza_DE_CN_ID!A374="","",Suiza_DE_CN_ID!C374)</f>
        <v/>
      </c>
      <c r="D1024" s="1" t="str">
        <f aca="false">IF(Suiza_DE_CN_ID!A374="","",Suiza_DE_CN_ID!D374)</f>
        <v/>
      </c>
      <c r="E1024" s="1" t="str">
        <f aca="false">IF(Suiza_DE_CN_ID!A374="","",Suiza_DE_CN_ID!E374)</f>
        <v/>
      </c>
      <c r="F1024" s="1" t="str">
        <f aca="false">IF(Suiza_DE_CN_ID!A374="","",Suiza_DE_CN_ID!G374)</f>
        <v/>
      </c>
      <c r="I1024" s="1" t="str">
        <f aca="false">IF(Suiza_DE_CN_ID!A374="","",Suiza_DE_CN_ID!H374)</f>
        <v/>
      </c>
      <c r="J1024" s="1" t="str">
        <f aca="false">IF(Suiza_DE_CN_ID!A374="","",Suiza_DE_CN_ID!I374)</f>
        <v/>
      </c>
      <c r="K1024" s="1" t="str">
        <f aca="false">IF(Suiza_DE_CN_ID!A374="","",UPPER(Suiza_DE_CN_ID!J374))</f>
        <v/>
      </c>
      <c r="L1024" s="1" t="str">
        <f aca="false">IF(Suiza_DE_CN_ID!A374="","",IFERROR(INDEX(Gamma_Catalogo!$D$3:$D$1451,MATCH(Suiza_DE_CN_ID!D374,Gamma_Catalogo!$A$3:$A$1451,0)),"Revisar Ip Code"))</f>
        <v/>
      </c>
      <c r="M1024" s="1" t="str">
        <f aca="false">IF(Suiza_DE_CN_ID!A374="","",IFERROR(INDEX(Gamma_Catalogo!$C$3:$C$1451,MATCH(Suiza_DE_CN_ID!D374,Gamma_Catalogo!$A$3:$A$1451,0)),"Revisar Ip Code"))</f>
        <v/>
      </c>
      <c r="N1024" s="1" t="str">
        <f aca="false">IF(Suiza_DE_CN_ID!A374="","",IFERROR(INDEX(Gamma_Catalogo!$E$3:$E$1451,MATCH(Suiza_DE_CN_ID!D374,Gamma_Catalogo!$A$3:$A$1451,0)),"Revisar Ip Code"))</f>
        <v/>
      </c>
      <c r="O1024" s="1" t="str">
        <f aca="false">IF(Suiza_DE_CN_ID!A374="","","Suiza")</f>
        <v/>
      </c>
    </row>
    <row r="1025" customFormat="false" ht="15" hidden="false" customHeight="true" outlineLevel="0" collapsed="false">
      <c r="A1025" s="1" t="str">
        <f aca="false">IF(Suiza_DE_CN_ID!A375="","",IFERROR(INDEX(Mercados!$C$2:$C$32,MATCH(Suiza_DE_CN_ID!B375,Mercados!$A$2:$A$32,0)),"Revisar Tscode"))</f>
        <v/>
      </c>
      <c r="B1025" s="1" t="str">
        <f aca="false">IF(Suiza_DE_CN_ID!A375="","",Suiza_DE_CN_ID!A375)</f>
        <v/>
      </c>
      <c r="C1025" s="1" t="str">
        <f aca="false">IF(Suiza_DE_CN_ID!A375="","",Suiza_DE_CN_ID!C375)</f>
        <v/>
      </c>
      <c r="D1025" s="1" t="str">
        <f aca="false">IF(Suiza_DE_CN_ID!A375="","",Suiza_DE_CN_ID!D375)</f>
        <v/>
      </c>
      <c r="E1025" s="1" t="str">
        <f aca="false">IF(Suiza_DE_CN_ID!A375="","",Suiza_DE_CN_ID!E375)</f>
        <v/>
      </c>
      <c r="F1025" s="1" t="str">
        <f aca="false">IF(Suiza_DE_CN_ID!A375="","",Suiza_DE_CN_ID!G375)</f>
        <v/>
      </c>
      <c r="I1025" s="1" t="str">
        <f aca="false">IF(Suiza_DE_CN_ID!A375="","",Suiza_DE_CN_ID!H375)</f>
        <v/>
      </c>
      <c r="J1025" s="1" t="str">
        <f aca="false">IF(Suiza_DE_CN_ID!A375="","",Suiza_DE_CN_ID!I375)</f>
        <v/>
      </c>
      <c r="K1025" s="1" t="str">
        <f aca="false">IF(Suiza_DE_CN_ID!A375="","",UPPER(Suiza_DE_CN_ID!J375))</f>
        <v/>
      </c>
      <c r="L1025" s="1" t="str">
        <f aca="false">IF(Suiza_DE_CN_ID!A375="","",IFERROR(INDEX(Gamma_Catalogo!$D$3:$D$1451,MATCH(Suiza_DE_CN_ID!D375,Gamma_Catalogo!$A$3:$A$1451,0)),"Revisar Ip Code"))</f>
        <v/>
      </c>
      <c r="M1025" s="1" t="str">
        <f aca="false">IF(Suiza_DE_CN_ID!A375="","",IFERROR(INDEX(Gamma_Catalogo!$C$3:$C$1451,MATCH(Suiza_DE_CN_ID!D375,Gamma_Catalogo!$A$3:$A$1451,0)),"Revisar Ip Code"))</f>
        <v/>
      </c>
      <c r="N1025" s="1" t="str">
        <f aca="false">IF(Suiza_DE_CN_ID!A375="","",IFERROR(INDEX(Gamma_Catalogo!$E$3:$E$1451,MATCH(Suiza_DE_CN_ID!D375,Gamma_Catalogo!$A$3:$A$1451,0)),"Revisar Ip Code"))</f>
        <v/>
      </c>
      <c r="O1025" s="1" t="str">
        <f aca="false">IF(Suiza_DE_CN_ID!A375="","","Suiza")</f>
        <v/>
      </c>
    </row>
    <row r="1026" customFormat="false" ht="15" hidden="false" customHeight="true" outlineLevel="0" collapsed="false">
      <c r="A1026" s="1" t="str">
        <f aca="false">IF(Suiza_DE_CN_ID!A376="","",IFERROR(INDEX(Mercados!$C$2:$C$32,MATCH(Suiza_DE_CN_ID!B376,Mercados!$A$2:$A$32,0)),"Revisar Tscode"))</f>
        <v/>
      </c>
      <c r="B1026" s="1" t="str">
        <f aca="false">IF(Suiza_DE_CN_ID!A376="","",Suiza_DE_CN_ID!A376)</f>
        <v/>
      </c>
      <c r="C1026" s="1" t="str">
        <f aca="false">IF(Suiza_DE_CN_ID!A376="","",Suiza_DE_CN_ID!C376)</f>
        <v/>
      </c>
      <c r="D1026" s="1" t="str">
        <f aca="false">IF(Suiza_DE_CN_ID!A376="","",Suiza_DE_CN_ID!D376)</f>
        <v/>
      </c>
      <c r="E1026" s="1" t="str">
        <f aca="false">IF(Suiza_DE_CN_ID!A376="","",Suiza_DE_CN_ID!E376)</f>
        <v/>
      </c>
      <c r="F1026" s="1" t="str">
        <f aca="false">IF(Suiza_DE_CN_ID!A376="","",Suiza_DE_CN_ID!G376)</f>
        <v/>
      </c>
      <c r="I1026" s="1" t="str">
        <f aca="false">IF(Suiza_DE_CN_ID!A376="","",Suiza_DE_CN_ID!H376)</f>
        <v/>
      </c>
      <c r="J1026" s="1" t="str">
        <f aca="false">IF(Suiza_DE_CN_ID!A376="","",Suiza_DE_CN_ID!I376)</f>
        <v/>
      </c>
      <c r="K1026" s="1" t="str">
        <f aca="false">IF(Suiza_DE_CN_ID!A376="","",UPPER(Suiza_DE_CN_ID!J376))</f>
        <v/>
      </c>
      <c r="L1026" s="1" t="str">
        <f aca="false">IF(Suiza_DE_CN_ID!A376="","",IFERROR(INDEX(Gamma_Catalogo!$D$3:$D$1451,MATCH(Suiza_DE_CN_ID!D376,Gamma_Catalogo!$A$3:$A$1451,0)),"Revisar Ip Code"))</f>
        <v/>
      </c>
      <c r="M1026" s="1" t="str">
        <f aca="false">IF(Suiza_DE_CN_ID!A376="","",IFERROR(INDEX(Gamma_Catalogo!$C$3:$C$1451,MATCH(Suiza_DE_CN_ID!D376,Gamma_Catalogo!$A$3:$A$1451,0)),"Revisar Ip Code"))</f>
        <v/>
      </c>
      <c r="N1026" s="1" t="str">
        <f aca="false">IF(Suiza_DE_CN_ID!A376="","",IFERROR(INDEX(Gamma_Catalogo!$E$3:$E$1451,MATCH(Suiza_DE_CN_ID!D376,Gamma_Catalogo!$A$3:$A$1451,0)),"Revisar Ip Code"))</f>
        <v/>
      </c>
      <c r="O1026" s="1" t="str">
        <f aca="false">IF(Suiza_DE_CN_ID!A376="","","Suiza")</f>
        <v/>
      </c>
    </row>
    <row r="1027" customFormat="false" ht="15" hidden="false" customHeight="true" outlineLevel="0" collapsed="false">
      <c r="A1027" s="1" t="str">
        <f aca="false">IF(Suiza_DE_CN_ID!A377="","",IFERROR(INDEX(Mercados!$C$2:$C$32,MATCH(Suiza_DE_CN_ID!B377,Mercados!$A$2:$A$32,0)),"Revisar Tscode"))</f>
        <v/>
      </c>
      <c r="B1027" s="1" t="str">
        <f aca="false">IF(Suiza_DE_CN_ID!A377="","",Suiza_DE_CN_ID!A377)</f>
        <v/>
      </c>
      <c r="C1027" s="1" t="str">
        <f aca="false">IF(Suiza_DE_CN_ID!A377="","",Suiza_DE_CN_ID!C377)</f>
        <v/>
      </c>
      <c r="D1027" s="1" t="str">
        <f aca="false">IF(Suiza_DE_CN_ID!A377="","",Suiza_DE_CN_ID!D377)</f>
        <v/>
      </c>
      <c r="E1027" s="1" t="str">
        <f aca="false">IF(Suiza_DE_CN_ID!A377="","",Suiza_DE_CN_ID!E377)</f>
        <v/>
      </c>
      <c r="F1027" s="1" t="str">
        <f aca="false">IF(Suiza_DE_CN_ID!A377="","",Suiza_DE_CN_ID!G377)</f>
        <v/>
      </c>
      <c r="I1027" s="1" t="str">
        <f aca="false">IF(Suiza_DE_CN_ID!A377="","",Suiza_DE_CN_ID!H377)</f>
        <v/>
      </c>
      <c r="J1027" s="1" t="str">
        <f aca="false">IF(Suiza_DE_CN_ID!A377="","",Suiza_DE_CN_ID!I377)</f>
        <v/>
      </c>
      <c r="K1027" s="1" t="str">
        <f aca="false">IF(Suiza_DE_CN_ID!A377="","",UPPER(Suiza_DE_CN_ID!J377))</f>
        <v/>
      </c>
      <c r="L1027" s="1" t="str">
        <f aca="false">IF(Suiza_DE_CN_ID!A377="","",IFERROR(INDEX(Gamma_Catalogo!$D$3:$D$1451,MATCH(Suiza_DE_CN_ID!D377,Gamma_Catalogo!$A$3:$A$1451,0)),"Revisar Ip Code"))</f>
        <v/>
      </c>
      <c r="M1027" s="1" t="str">
        <f aca="false">IF(Suiza_DE_CN_ID!A377="","",IFERROR(INDEX(Gamma_Catalogo!$C$3:$C$1451,MATCH(Suiza_DE_CN_ID!D377,Gamma_Catalogo!$A$3:$A$1451,0)),"Revisar Ip Code"))</f>
        <v/>
      </c>
      <c r="N1027" s="1" t="str">
        <f aca="false">IF(Suiza_DE_CN_ID!A377="","",IFERROR(INDEX(Gamma_Catalogo!$E$3:$E$1451,MATCH(Suiza_DE_CN_ID!D377,Gamma_Catalogo!$A$3:$A$1451,0)),"Revisar Ip Code"))</f>
        <v/>
      </c>
      <c r="O1027" s="1" t="str">
        <f aca="false">IF(Suiza_DE_CN_ID!A377="","","Suiza")</f>
        <v/>
      </c>
    </row>
    <row r="1028" customFormat="false" ht="15" hidden="false" customHeight="true" outlineLevel="0" collapsed="false">
      <c r="A1028" s="1" t="str">
        <f aca="false">IF(Suiza_DE_CN_ID!A378="","",IFERROR(INDEX(Mercados!$C$2:$C$32,MATCH(Suiza_DE_CN_ID!B378,Mercados!$A$2:$A$32,0)),"Revisar Tscode"))</f>
        <v/>
      </c>
      <c r="B1028" s="1" t="str">
        <f aca="false">IF(Suiza_DE_CN_ID!A378="","",Suiza_DE_CN_ID!A378)</f>
        <v/>
      </c>
      <c r="C1028" s="1" t="str">
        <f aca="false">IF(Suiza_DE_CN_ID!A378="","",Suiza_DE_CN_ID!C378)</f>
        <v/>
      </c>
      <c r="D1028" s="1" t="str">
        <f aca="false">IF(Suiza_DE_CN_ID!A378="","",Suiza_DE_CN_ID!D378)</f>
        <v/>
      </c>
      <c r="E1028" s="1" t="str">
        <f aca="false">IF(Suiza_DE_CN_ID!A378="","",Suiza_DE_CN_ID!E378)</f>
        <v/>
      </c>
      <c r="F1028" s="1" t="str">
        <f aca="false">IF(Suiza_DE_CN_ID!A378="","",Suiza_DE_CN_ID!G378)</f>
        <v/>
      </c>
      <c r="I1028" s="1" t="str">
        <f aca="false">IF(Suiza_DE_CN_ID!A378="","",Suiza_DE_CN_ID!H378)</f>
        <v/>
      </c>
      <c r="J1028" s="1" t="str">
        <f aca="false">IF(Suiza_DE_CN_ID!A378="","",Suiza_DE_CN_ID!I378)</f>
        <v/>
      </c>
      <c r="K1028" s="1" t="str">
        <f aca="false">IF(Suiza_DE_CN_ID!A378="","",UPPER(Suiza_DE_CN_ID!J378))</f>
        <v/>
      </c>
      <c r="L1028" s="1" t="str">
        <f aca="false">IF(Suiza_DE_CN_ID!A378="","",IFERROR(INDEX(Gamma_Catalogo!$D$3:$D$1451,MATCH(Suiza_DE_CN_ID!D378,Gamma_Catalogo!$A$3:$A$1451,0)),"Revisar Ip Code"))</f>
        <v/>
      </c>
      <c r="M1028" s="1" t="str">
        <f aca="false">IF(Suiza_DE_CN_ID!A378="","",IFERROR(INDEX(Gamma_Catalogo!$C$3:$C$1451,MATCH(Suiza_DE_CN_ID!D378,Gamma_Catalogo!$A$3:$A$1451,0)),"Revisar Ip Code"))</f>
        <v/>
      </c>
      <c r="N1028" s="1" t="str">
        <f aca="false">IF(Suiza_DE_CN_ID!A378="","",IFERROR(INDEX(Gamma_Catalogo!$E$3:$E$1451,MATCH(Suiza_DE_CN_ID!D378,Gamma_Catalogo!$A$3:$A$1451,0)),"Revisar Ip Code"))</f>
        <v/>
      </c>
      <c r="O1028" s="1" t="str">
        <f aca="false">IF(Suiza_DE_CN_ID!A378="","","Suiza")</f>
        <v/>
      </c>
    </row>
    <row r="1029" customFormat="false" ht="15" hidden="false" customHeight="true" outlineLevel="0" collapsed="false">
      <c r="A1029" s="1" t="str">
        <f aca="false">IF(Suiza_DE_CN_ID!A379="","",IFERROR(INDEX(Mercados!$C$2:$C$32,MATCH(Suiza_DE_CN_ID!B379,Mercados!$A$2:$A$32,0)),"Revisar Tscode"))</f>
        <v/>
      </c>
      <c r="B1029" s="1" t="str">
        <f aca="false">IF(Suiza_DE_CN_ID!A379="","",Suiza_DE_CN_ID!A379)</f>
        <v/>
      </c>
      <c r="C1029" s="1" t="str">
        <f aca="false">IF(Suiza_DE_CN_ID!A379="","",Suiza_DE_CN_ID!C379)</f>
        <v/>
      </c>
      <c r="D1029" s="1" t="str">
        <f aca="false">IF(Suiza_DE_CN_ID!A379="","",Suiza_DE_CN_ID!D379)</f>
        <v/>
      </c>
      <c r="E1029" s="1" t="str">
        <f aca="false">IF(Suiza_DE_CN_ID!A379="","",Suiza_DE_CN_ID!E379)</f>
        <v/>
      </c>
      <c r="F1029" s="1" t="str">
        <f aca="false">IF(Suiza_DE_CN_ID!A379="","",Suiza_DE_CN_ID!G379)</f>
        <v/>
      </c>
      <c r="I1029" s="1" t="str">
        <f aca="false">IF(Suiza_DE_CN_ID!A379="","",Suiza_DE_CN_ID!H379)</f>
        <v/>
      </c>
      <c r="J1029" s="1" t="str">
        <f aca="false">IF(Suiza_DE_CN_ID!A379="","",Suiza_DE_CN_ID!I379)</f>
        <v/>
      </c>
      <c r="K1029" s="1" t="str">
        <f aca="false">IF(Suiza_DE_CN_ID!A379="","",UPPER(Suiza_DE_CN_ID!J379))</f>
        <v/>
      </c>
      <c r="L1029" s="1" t="str">
        <f aca="false">IF(Suiza_DE_CN_ID!A379="","",IFERROR(INDEX(Gamma_Catalogo!$D$3:$D$1451,MATCH(Suiza_DE_CN_ID!D379,Gamma_Catalogo!$A$3:$A$1451,0)),"Revisar Ip Code"))</f>
        <v/>
      </c>
      <c r="M1029" s="1" t="str">
        <f aca="false">IF(Suiza_DE_CN_ID!A379="","",IFERROR(INDEX(Gamma_Catalogo!$C$3:$C$1451,MATCH(Suiza_DE_CN_ID!D379,Gamma_Catalogo!$A$3:$A$1451,0)),"Revisar Ip Code"))</f>
        <v/>
      </c>
      <c r="N1029" s="1" t="str">
        <f aca="false">IF(Suiza_DE_CN_ID!A379="","",IFERROR(INDEX(Gamma_Catalogo!$E$3:$E$1451,MATCH(Suiza_DE_CN_ID!D379,Gamma_Catalogo!$A$3:$A$1451,0)),"Revisar Ip Code"))</f>
        <v/>
      </c>
      <c r="O1029" s="1" t="str">
        <f aca="false">IF(Suiza_DE_CN_ID!A379="","","Suiza")</f>
        <v/>
      </c>
    </row>
    <row r="1030" customFormat="false" ht="15" hidden="false" customHeight="true" outlineLevel="0" collapsed="false">
      <c r="A1030" s="1" t="str">
        <f aca="false">IF(Suiza_DE_CN_ID!A380="","",IFERROR(INDEX(Mercados!$C$2:$C$32,MATCH(Suiza_DE_CN_ID!B380,Mercados!$A$2:$A$32,0)),"Revisar Tscode"))</f>
        <v/>
      </c>
      <c r="B1030" s="1" t="str">
        <f aca="false">IF(Suiza_DE_CN_ID!A380="","",Suiza_DE_CN_ID!A380)</f>
        <v/>
      </c>
      <c r="C1030" s="1" t="str">
        <f aca="false">IF(Suiza_DE_CN_ID!A380="","",Suiza_DE_CN_ID!C380)</f>
        <v/>
      </c>
      <c r="D1030" s="1" t="str">
        <f aca="false">IF(Suiza_DE_CN_ID!A380="","",Suiza_DE_CN_ID!D380)</f>
        <v/>
      </c>
      <c r="E1030" s="1" t="str">
        <f aca="false">IF(Suiza_DE_CN_ID!A380="","",Suiza_DE_CN_ID!E380)</f>
        <v/>
      </c>
      <c r="F1030" s="1" t="str">
        <f aca="false">IF(Suiza_DE_CN_ID!A380="","",Suiza_DE_CN_ID!G380)</f>
        <v/>
      </c>
      <c r="I1030" s="1" t="str">
        <f aca="false">IF(Suiza_DE_CN_ID!A380="","",Suiza_DE_CN_ID!H380)</f>
        <v/>
      </c>
      <c r="J1030" s="1" t="str">
        <f aca="false">IF(Suiza_DE_CN_ID!A380="","",Suiza_DE_CN_ID!I380)</f>
        <v/>
      </c>
      <c r="K1030" s="1" t="str">
        <f aca="false">IF(Suiza_DE_CN_ID!A380="","",UPPER(Suiza_DE_CN_ID!J380))</f>
        <v/>
      </c>
      <c r="L1030" s="1" t="str">
        <f aca="false">IF(Suiza_DE_CN_ID!A380="","",IFERROR(INDEX(Gamma_Catalogo!$D$3:$D$1451,MATCH(Suiza_DE_CN_ID!D380,Gamma_Catalogo!$A$3:$A$1451,0)),"Revisar Ip Code"))</f>
        <v/>
      </c>
      <c r="M1030" s="1" t="str">
        <f aca="false">IF(Suiza_DE_CN_ID!A380="","",IFERROR(INDEX(Gamma_Catalogo!$C$3:$C$1451,MATCH(Suiza_DE_CN_ID!D380,Gamma_Catalogo!$A$3:$A$1451,0)),"Revisar Ip Code"))</f>
        <v/>
      </c>
      <c r="N1030" s="1" t="str">
        <f aca="false">IF(Suiza_DE_CN_ID!A380="","",IFERROR(INDEX(Gamma_Catalogo!$E$3:$E$1451,MATCH(Suiza_DE_CN_ID!D380,Gamma_Catalogo!$A$3:$A$1451,0)),"Revisar Ip Code"))</f>
        <v/>
      </c>
      <c r="O1030" s="1" t="str">
        <f aca="false">IF(Suiza_DE_CN_ID!A380="","","Suiza")</f>
        <v/>
      </c>
    </row>
    <row r="1031" customFormat="false" ht="15" hidden="false" customHeight="true" outlineLevel="0" collapsed="false">
      <c r="A1031" s="1" t="str">
        <f aca="false">IF(Suiza_DE_CN_ID!A381="","",IFERROR(INDEX(Mercados!$C$2:$C$32,MATCH(Suiza_DE_CN_ID!B381,Mercados!$A$2:$A$32,0)),"Revisar Tscode"))</f>
        <v/>
      </c>
      <c r="B1031" s="1" t="str">
        <f aca="false">IF(Suiza_DE_CN_ID!A381="","",Suiza_DE_CN_ID!A381)</f>
        <v/>
      </c>
      <c r="C1031" s="1" t="str">
        <f aca="false">IF(Suiza_DE_CN_ID!A381="","",Suiza_DE_CN_ID!C381)</f>
        <v/>
      </c>
      <c r="D1031" s="1" t="str">
        <f aca="false">IF(Suiza_DE_CN_ID!A381="","",Suiza_DE_CN_ID!D381)</f>
        <v/>
      </c>
      <c r="E1031" s="1" t="str">
        <f aca="false">IF(Suiza_DE_CN_ID!A381="","",Suiza_DE_CN_ID!E381)</f>
        <v/>
      </c>
      <c r="F1031" s="1" t="str">
        <f aca="false">IF(Suiza_DE_CN_ID!A381="","",Suiza_DE_CN_ID!G381)</f>
        <v/>
      </c>
      <c r="I1031" s="1" t="str">
        <f aca="false">IF(Suiza_DE_CN_ID!A381="","",Suiza_DE_CN_ID!H381)</f>
        <v/>
      </c>
      <c r="J1031" s="1" t="str">
        <f aca="false">IF(Suiza_DE_CN_ID!A381="","",Suiza_DE_CN_ID!I381)</f>
        <v/>
      </c>
      <c r="K1031" s="1" t="str">
        <f aca="false">IF(Suiza_DE_CN_ID!A381="","",UPPER(Suiza_DE_CN_ID!J381))</f>
        <v/>
      </c>
      <c r="L1031" s="1" t="str">
        <f aca="false">IF(Suiza_DE_CN_ID!A381="","",IFERROR(INDEX(Gamma_Catalogo!$D$3:$D$1451,MATCH(Suiza_DE_CN_ID!D381,Gamma_Catalogo!$A$3:$A$1451,0)),"Revisar Ip Code"))</f>
        <v/>
      </c>
      <c r="M1031" s="1" t="str">
        <f aca="false">IF(Suiza_DE_CN_ID!A381="","",IFERROR(INDEX(Gamma_Catalogo!$C$3:$C$1451,MATCH(Suiza_DE_CN_ID!D381,Gamma_Catalogo!$A$3:$A$1451,0)),"Revisar Ip Code"))</f>
        <v/>
      </c>
      <c r="N1031" s="1" t="str">
        <f aca="false">IF(Suiza_DE_CN_ID!A381="","",IFERROR(INDEX(Gamma_Catalogo!$E$3:$E$1451,MATCH(Suiza_DE_CN_ID!D381,Gamma_Catalogo!$A$3:$A$1451,0)),"Revisar Ip Code"))</f>
        <v/>
      </c>
      <c r="O1031" s="1" t="str">
        <f aca="false">IF(Suiza_DE_CN_ID!A381="","","Suiza")</f>
        <v/>
      </c>
    </row>
    <row r="1032" customFormat="false" ht="15" hidden="false" customHeight="true" outlineLevel="0" collapsed="false">
      <c r="A1032" s="1" t="str">
        <f aca="false">IF(Suiza_DE_CN_ID!A382="","",IFERROR(INDEX(Mercados!$C$2:$C$32,MATCH(Suiza_DE_CN_ID!B382,Mercados!$A$2:$A$32,0)),"Revisar Tscode"))</f>
        <v/>
      </c>
      <c r="B1032" s="1" t="str">
        <f aca="false">IF(Suiza_DE_CN_ID!A382="","",Suiza_DE_CN_ID!A382)</f>
        <v/>
      </c>
      <c r="C1032" s="1" t="str">
        <f aca="false">IF(Suiza_DE_CN_ID!A382="","",Suiza_DE_CN_ID!C382)</f>
        <v/>
      </c>
      <c r="D1032" s="1" t="str">
        <f aca="false">IF(Suiza_DE_CN_ID!A382="","",Suiza_DE_CN_ID!D382)</f>
        <v/>
      </c>
      <c r="E1032" s="1" t="str">
        <f aca="false">IF(Suiza_DE_CN_ID!A382="","",Suiza_DE_CN_ID!E382)</f>
        <v/>
      </c>
      <c r="F1032" s="1" t="str">
        <f aca="false">IF(Suiza_DE_CN_ID!A382="","",Suiza_DE_CN_ID!G382)</f>
        <v/>
      </c>
      <c r="I1032" s="1" t="str">
        <f aca="false">IF(Suiza_DE_CN_ID!A382="","",Suiza_DE_CN_ID!H382)</f>
        <v/>
      </c>
      <c r="J1032" s="1" t="str">
        <f aca="false">IF(Suiza_DE_CN_ID!A382="","",Suiza_DE_CN_ID!I382)</f>
        <v/>
      </c>
      <c r="K1032" s="1" t="str">
        <f aca="false">IF(Suiza_DE_CN_ID!A382="","",UPPER(Suiza_DE_CN_ID!J382))</f>
        <v/>
      </c>
      <c r="L1032" s="1" t="str">
        <f aca="false">IF(Suiza_DE_CN_ID!A382="","",IFERROR(INDEX(Gamma_Catalogo!$D$3:$D$1451,MATCH(Suiza_DE_CN_ID!D382,Gamma_Catalogo!$A$3:$A$1451,0)),"Revisar Ip Code"))</f>
        <v/>
      </c>
      <c r="M1032" s="1" t="str">
        <f aca="false">IF(Suiza_DE_CN_ID!A382="","",IFERROR(INDEX(Gamma_Catalogo!$C$3:$C$1451,MATCH(Suiza_DE_CN_ID!D382,Gamma_Catalogo!$A$3:$A$1451,0)),"Revisar Ip Code"))</f>
        <v/>
      </c>
      <c r="N1032" s="1" t="str">
        <f aca="false">IF(Suiza_DE_CN_ID!A382="","",IFERROR(INDEX(Gamma_Catalogo!$E$3:$E$1451,MATCH(Suiza_DE_CN_ID!D382,Gamma_Catalogo!$A$3:$A$1451,0)),"Revisar Ip Code"))</f>
        <v/>
      </c>
      <c r="O1032" s="1" t="str">
        <f aca="false">IF(Suiza_DE_CN_ID!A382="","","Suiza")</f>
        <v/>
      </c>
    </row>
    <row r="1033" customFormat="false" ht="15" hidden="false" customHeight="true" outlineLevel="0" collapsed="false">
      <c r="A1033" s="1" t="str">
        <f aca="false">IF(Suiza_DE_CN_ID!A383="","",IFERROR(INDEX(Mercados!$C$2:$C$32,MATCH(Suiza_DE_CN_ID!B383,Mercados!$A$2:$A$32,0)),"Revisar Tscode"))</f>
        <v/>
      </c>
      <c r="B1033" s="1" t="str">
        <f aca="false">IF(Suiza_DE_CN_ID!A383="","",Suiza_DE_CN_ID!A383)</f>
        <v/>
      </c>
      <c r="C1033" s="1" t="str">
        <f aca="false">IF(Suiza_DE_CN_ID!A383="","",Suiza_DE_CN_ID!C383)</f>
        <v/>
      </c>
      <c r="D1033" s="1" t="str">
        <f aca="false">IF(Suiza_DE_CN_ID!A383="","",Suiza_DE_CN_ID!D383)</f>
        <v/>
      </c>
      <c r="E1033" s="1" t="str">
        <f aca="false">IF(Suiza_DE_CN_ID!A383="","",Suiza_DE_CN_ID!E383)</f>
        <v/>
      </c>
      <c r="F1033" s="1" t="str">
        <f aca="false">IF(Suiza_DE_CN_ID!A383="","",Suiza_DE_CN_ID!G383)</f>
        <v/>
      </c>
      <c r="I1033" s="1" t="str">
        <f aca="false">IF(Suiza_DE_CN_ID!A383="","",Suiza_DE_CN_ID!H383)</f>
        <v/>
      </c>
      <c r="J1033" s="1" t="str">
        <f aca="false">IF(Suiza_DE_CN_ID!A383="","",Suiza_DE_CN_ID!I383)</f>
        <v/>
      </c>
      <c r="K1033" s="1" t="str">
        <f aca="false">IF(Suiza_DE_CN_ID!A383="","",UPPER(Suiza_DE_CN_ID!J383))</f>
        <v/>
      </c>
      <c r="L1033" s="1" t="str">
        <f aca="false">IF(Suiza_DE_CN_ID!A383="","",IFERROR(INDEX(Gamma_Catalogo!$D$3:$D$1451,MATCH(Suiza_DE_CN_ID!D383,Gamma_Catalogo!$A$3:$A$1451,0)),"Revisar Ip Code"))</f>
        <v/>
      </c>
      <c r="M1033" s="1" t="str">
        <f aca="false">IF(Suiza_DE_CN_ID!A383="","",IFERROR(INDEX(Gamma_Catalogo!$C$3:$C$1451,MATCH(Suiza_DE_CN_ID!D383,Gamma_Catalogo!$A$3:$A$1451,0)),"Revisar Ip Code"))</f>
        <v/>
      </c>
      <c r="N1033" s="1" t="str">
        <f aca="false">IF(Suiza_DE_CN_ID!A383="","",IFERROR(INDEX(Gamma_Catalogo!$E$3:$E$1451,MATCH(Suiza_DE_CN_ID!D383,Gamma_Catalogo!$A$3:$A$1451,0)),"Revisar Ip Code"))</f>
        <v/>
      </c>
      <c r="O1033" s="1" t="str">
        <f aca="false">IF(Suiza_DE_CN_ID!A383="","","Suiza")</f>
        <v/>
      </c>
    </row>
    <row r="1034" customFormat="false" ht="15" hidden="false" customHeight="true" outlineLevel="0" collapsed="false">
      <c r="A1034" s="1" t="str">
        <f aca="false">IF(Suiza_DE_CN_ID!A384="","",IFERROR(INDEX(Mercados!$C$2:$C$32,MATCH(Suiza_DE_CN_ID!B384,Mercados!$A$2:$A$32,0)),"Revisar Tscode"))</f>
        <v/>
      </c>
      <c r="B1034" s="1" t="str">
        <f aca="false">IF(Suiza_DE_CN_ID!A384="","",Suiza_DE_CN_ID!A384)</f>
        <v/>
      </c>
      <c r="C1034" s="1" t="str">
        <f aca="false">IF(Suiza_DE_CN_ID!A384="","",Suiza_DE_CN_ID!C384)</f>
        <v/>
      </c>
      <c r="D1034" s="1" t="str">
        <f aca="false">IF(Suiza_DE_CN_ID!A384="","",Suiza_DE_CN_ID!D384)</f>
        <v/>
      </c>
      <c r="E1034" s="1" t="str">
        <f aca="false">IF(Suiza_DE_CN_ID!A384="","",Suiza_DE_CN_ID!E384)</f>
        <v/>
      </c>
      <c r="F1034" s="1" t="str">
        <f aca="false">IF(Suiza_DE_CN_ID!A384="","",Suiza_DE_CN_ID!G384)</f>
        <v/>
      </c>
      <c r="I1034" s="1" t="str">
        <f aca="false">IF(Suiza_DE_CN_ID!A384="","",Suiza_DE_CN_ID!H384)</f>
        <v/>
      </c>
      <c r="J1034" s="1" t="str">
        <f aca="false">IF(Suiza_DE_CN_ID!A384="","",Suiza_DE_CN_ID!I384)</f>
        <v/>
      </c>
      <c r="K1034" s="1" t="str">
        <f aca="false">IF(Suiza_DE_CN_ID!A384="","",UPPER(Suiza_DE_CN_ID!J384))</f>
        <v/>
      </c>
      <c r="L1034" s="1" t="str">
        <f aca="false">IF(Suiza_DE_CN_ID!A384="","",IFERROR(INDEX(Gamma_Catalogo!$D$3:$D$1451,MATCH(Suiza_DE_CN_ID!D384,Gamma_Catalogo!$A$3:$A$1451,0)),"Revisar Ip Code"))</f>
        <v/>
      </c>
      <c r="M1034" s="1" t="str">
        <f aca="false">IF(Suiza_DE_CN_ID!A384="","",IFERROR(INDEX(Gamma_Catalogo!$C$3:$C$1451,MATCH(Suiza_DE_CN_ID!D384,Gamma_Catalogo!$A$3:$A$1451,0)),"Revisar Ip Code"))</f>
        <v/>
      </c>
      <c r="N1034" s="1" t="str">
        <f aca="false">IF(Suiza_DE_CN_ID!A384="","",IFERROR(INDEX(Gamma_Catalogo!$E$3:$E$1451,MATCH(Suiza_DE_CN_ID!D384,Gamma_Catalogo!$A$3:$A$1451,0)),"Revisar Ip Code"))</f>
        <v/>
      </c>
      <c r="O1034" s="1" t="str">
        <f aca="false">IF(Suiza_DE_CN_ID!A384="","","Suiza")</f>
        <v/>
      </c>
    </row>
    <row r="1035" customFormat="false" ht="15" hidden="false" customHeight="true" outlineLevel="0" collapsed="false">
      <c r="A1035" s="1" t="str">
        <f aca="false">IF(Suiza_DE_CN_ID!A385="","",IFERROR(INDEX(Mercados!$C$2:$C$32,MATCH(Suiza_DE_CN_ID!B385,Mercados!$A$2:$A$32,0)),"Revisar Tscode"))</f>
        <v/>
      </c>
      <c r="B1035" s="1" t="str">
        <f aca="false">IF(Suiza_DE_CN_ID!A385="","",Suiza_DE_CN_ID!A385)</f>
        <v/>
      </c>
      <c r="C1035" s="1" t="str">
        <f aca="false">IF(Suiza_DE_CN_ID!A385="","",Suiza_DE_CN_ID!C385)</f>
        <v/>
      </c>
      <c r="D1035" s="1" t="str">
        <f aca="false">IF(Suiza_DE_CN_ID!A385="","",Suiza_DE_CN_ID!D385)</f>
        <v/>
      </c>
      <c r="E1035" s="1" t="str">
        <f aca="false">IF(Suiza_DE_CN_ID!A385="","",Suiza_DE_CN_ID!E385)</f>
        <v/>
      </c>
      <c r="F1035" s="1" t="str">
        <f aca="false">IF(Suiza_DE_CN_ID!A385="","",Suiza_DE_CN_ID!G385)</f>
        <v/>
      </c>
      <c r="I1035" s="1" t="str">
        <f aca="false">IF(Suiza_DE_CN_ID!A385="","",Suiza_DE_CN_ID!H385)</f>
        <v/>
      </c>
      <c r="J1035" s="1" t="str">
        <f aca="false">IF(Suiza_DE_CN_ID!A385="","",Suiza_DE_CN_ID!I385)</f>
        <v/>
      </c>
      <c r="K1035" s="1" t="str">
        <f aca="false">IF(Suiza_DE_CN_ID!A385="","",UPPER(Suiza_DE_CN_ID!J385))</f>
        <v/>
      </c>
      <c r="L1035" s="1" t="str">
        <f aca="false">IF(Suiza_DE_CN_ID!A385="","",IFERROR(INDEX(Gamma_Catalogo!$D$3:$D$1451,MATCH(Suiza_DE_CN_ID!D385,Gamma_Catalogo!$A$3:$A$1451,0)),"Revisar Ip Code"))</f>
        <v/>
      </c>
      <c r="M1035" s="1" t="str">
        <f aca="false">IF(Suiza_DE_CN_ID!A385="","",IFERROR(INDEX(Gamma_Catalogo!$C$3:$C$1451,MATCH(Suiza_DE_CN_ID!D385,Gamma_Catalogo!$A$3:$A$1451,0)),"Revisar Ip Code"))</f>
        <v/>
      </c>
      <c r="N1035" s="1" t="str">
        <f aca="false">IF(Suiza_DE_CN_ID!A385="","",IFERROR(INDEX(Gamma_Catalogo!$E$3:$E$1451,MATCH(Suiza_DE_CN_ID!D385,Gamma_Catalogo!$A$3:$A$1451,0)),"Revisar Ip Code"))</f>
        <v/>
      </c>
      <c r="O1035" s="1" t="str">
        <f aca="false">IF(Suiza_DE_CN_ID!A385="","","Suiza")</f>
        <v/>
      </c>
    </row>
    <row r="1036" customFormat="false" ht="15" hidden="false" customHeight="true" outlineLevel="0" collapsed="false">
      <c r="A1036" s="1" t="str">
        <f aca="false">IF(Suiza_DE_CN_ID!A386="","",IFERROR(INDEX(Mercados!$C$2:$C$32,MATCH(Suiza_DE_CN_ID!B386,Mercados!$A$2:$A$32,0)),"Revisar Tscode"))</f>
        <v/>
      </c>
      <c r="B1036" s="1" t="str">
        <f aca="false">IF(Suiza_DE_CN_ID!A386="","",Suiza_DE_CN_ID!A386)</f>
        <v/>
      </c>
      <c r="C1036" s="1" t="str">
        <f aca="false">IF(Suiza_DE_CN_ID!A386="","",Suiza_DE_CN_ID!C386)</f>
        <v/>
      </c>
      <c r="D1036" s="1" t="str">
        <f aca="false">IF(Suiza_DE_CN_ID!A386="","",Suiza_DE_CN_ID!D386)</f>
        <v/>
      </c>
      <c r="E1036" s="1" t="str">
        <f aca="false">IF(Suiza_DE_CN_ID!A386="","",Suiza_DE_CN_ID!E386)</f>
        <v/>
      </c>
      <c r="F1036" s="1" t="str">
        <f aca="false">IF(Suiza_DE_CN_ID!A386="","",Suiza_DE_CN_ID!G386)</f>
        <v/>
      </c>
      <c r="I1036" s="1" t="str">
        <f aca="false">IF(Suiza_DE_CN_ID!A386="","",Suiza_DE_CN_ID!H386)</f>
        <v/>
      </c>
      <c r="J1036" s="1" t="str">
        <f aca="false">IF(Suiza_DE_CN_ID!A386="","",Suiza_DE_CN_ID!I386)</f>
        <v/>
      </c>
      <c r="K1036" s="1" t="str">
        <f aca="false">IF(Suiza_DE_CN_ID!A386="","",UPPER(Suiza_DE_CN_ID!J386))</f>
        <v/>
      </c>
      <c r="L1036" s="1" t="str">
        <f aca="false">IF(Suiza_DE_CN_ID!A386="","",IFERROR(INDEX(Gamma_Catalogo!$D$3:$D$1451,MATCH(Suiza_DE_CN_ID!D386,Gamma_Catalogo!$A$3:$A$1451,0)),"Revisar Ip Code"))</f>
        <v/>
      </c>
      <c r="M1036" s="1" t="str">
        <f aca="false">IF(Suiza_DE_CN_ID!A386="","",IFERROR(INDEX(Gamma_Catalogo!$C$3:$C$1451,MATCH(Suiza_DE_CN_ID!D386,Gamma_Catalogo!$A$3:$A$1451,0)),"Revisar Ip Code"))</f>
        <v/>
      </c>
      <c r="N1036" s="1" t="str">
        <f aca="false">IF(Suiza_DE_CN_ID!A386="","",IFERROR(INDEX(Gamma_Catalogo!$E$3:$E$1451,MATCH(Suiza_DE_CN_ID!D386,Gamma_Catalogo!$A$3:$A$1451,0)),"Revisar Ip Code"))</f>
        <v/>
      </c>
      <c r="O1036" s="1" t="str">
        <f aca="false">IF(Suiza_DE_CN_ID!A386="","","Suiza")</f>
        <v/>
      </c>
    </row>
    <row r="1037" customFormat="false" ht="15" hidden="false" customHeight="true" outlineLevel="0" collapsed="false">
      <c r="A1037" s="1" t="str">
        <f aca="false">IF(Suiza_DE_CN_ID!A387="","",IFERROR(INDEX(Mercados!$C$2:$C$32,MATCH(Suiza_DE_CN_ID!B387,Mercados!$A$2:$A$32,0)),"Revisar Tscode"))</f>
        <v/>
      </c>
      <c r="B1037" s="1" t="str">
        <f aca="false">IF(Suiza_DE_CN_ID!A387="","",Suiza_DE_CN_ID!A387)</f>
        <v/>
      </c>
      <c r="C1037" s="1" t="str">
        <f aca="false">IF(Suiza_DE_CN_ID!A387="","",Suiza_DE_CN_ID!C387)</f>
        <v/>
      </c>
      <c r="D1037" s="1" t="str">
        <f aca="false">IF(Suiza_DE_CN_ID!A387="","",Suiza_DE_CN_ID!D387)</f>
        <v/>
      </c>
      <c r="E1037" s="1" t="str">
        <f aca="false">IF(Suiza_DE_CN_ID!A387="","",Suiza_DE_CN_ID!E387)</f>
        <v/>
      </c>
      <c r="F1037" s="1" t="str">
        <f aca="false">IF(Suiza_DE_CN_ID!A387="","",Suiza_DE_CN_ID!G387)</f>
        <v/>
      </c>
      <c r="I1037" s="1" t="str">
        <f aca="false">IF(Suiza_DE_CN_ID!A387="","",Suiza_DE_CN_ID!H387)</f>
        <v/>
      </c>
      <c r="J1037" s="1" t="str">
        <f aca="false">IF(Suiza_DE_CN_ID!A387="","",Suiza_DE_CN_ID!I387)</f>
        <v/>
      </c>
      <c r="K1037" s="1" t="str">
        <f aca="false">IF(Suiza_DE_CN_ID!A387="","",UPPER(Suiza_DE_CN_ID!J387))</f>
        <v/>
      </c>
      <c r="L1037" s="1" t="str">
        <f aca="false">IF(Suiza_DE_CN_ID!A387="","",IFERROR(INDEX(Gamma_Catalogo!$D$3:$D$1451,MATCH(Suiza_DE_CN_ID!D387,Gamma_Catalogo!$A$3:$A$1451,0)),"Revisar Ip Code"))</f>
        <v/>
      </c>
      <c r="M1037" s="1" t="str">
        <f aca="false">IF(Suiza_DE_CN_ID!A387="","",IFERROR(INDEX(Gamma_Catalogo!$C$3:$C$1451,MATCH(Suiza_DE_CN_ID!D387,Gamma_Catalogo!$A$3:$A$1451,0)),"Revisar Ip Code"))</f>
        <v/>
      </c>
      <c r="N1037" s="1" t="str">
        <f aca="false">IF(Suiza_DE_CN_ID!A387="","",IFERROR(INDEX(Gamma_Catalogo!$E$3:$E$1451,MATCH(Suiza_DE_CN_ID!D387,Gamma_Catalogo!$A$3:$A$1451,0)),"Revisar Ip Code"))</f>
        <v/>
      </c>
      <c r="O1037" s="1" t="str">
        <f aca="false">IF(Suiza_DE_CN_ID!A387="","","Suiza")</f>
        <v/>
      </c>
    </row>
    <row r="1038" customFormat="false" ht="15" hidden="false" customHeight="true" outlineLevel="0" collapsed="false">
      <c r="A1038" s="1" t="str">
        <f aca="false">IF(Suiza_DE_CN_ID!A388="","",IFERROR(INDEX(Mercados!$C$2:$C$32,MATCH(Suiza_DE_CN_ID!B388,Mercados!$A$2:$A$32,0)),"Revisar Tscode"))</f>
        <v/>
      </c>
      <c r="B1038" s="1" t="str">
        <f aca="false">IF(Suiza_DE_CN_ID!A388="","",Suiza_DE_CN_ID!A388)</f>
        <v/>
      </c>
      <c r="C1038" s="1" t="str">
        <f aca="false">IF(Suiza_DE_CN_ID!A388="","",Suiza_DE_CN_ID!C388)</f>
        <v/>
      </c>
      <c r="D1038" s="1" t="str">
        <f aca="false">IF(Suiza_DE_CN_ID!A388="","",Suiza_DE_CN_ID!D388)</f>
        <v/>
      </c>
      <c r="E1038" s="1" t="str">
        <f aca="false">IF(Suiza_DE_CN_ID!A388="","",Suiza_DE_CN_ID!E388)</f>
        <v/>
      </c>
      <c r="F1038" s="1" t="str">
        <f aca="false">IF(Suiza_DE_CN_ID!A388="","",Suiza_DE_CN_ID!G388)</f>
        <v/>
      </c>
      <c r="I1038" s="1" t="str">
        <f aca="false">IF(Suiza_DE_CN_ID!A388="","",Suiza_DE_CN_ID!H388)</f>
        <v/>
      </c>
      <c r="J1038" s="1" t="str">
        <f aca="false">IF(Suiza_DE_CN_ID!A388="","",Suiza_DE_CN_ID!I388)</f>
        <v/>
      </c>
      <c r="K1038" s="1" t="str">
        <f aca="false">IF(Suiza_DE_CN_ID!A388="","",UPPER(Suiza_DE_CN_ID!J388))</f>
        <v/>
      </c>
      <c r="L1038" s="1" t="str">
        <f aca="false">IF(Suiza_DE_CN_ID!A388="","",IFERROR(INDEX(Gamma_Catalogo!$D$3:$D$1451,MATCH(Suiza_DE_CN_ID!D388,Gamma_Catalogo!$A$3:$A$1451,0)),"Revisar Ip Code"))</f>
        <v/>
      </c>
      <c r="M1038" s="1" t="str">
        <f aca="false">IF(Suiza_DE_CN_ID!A388="","",IFERROR(INDEX(Gamma_Catalogo!$C$3:$C$1451,MATCH(Suiza_DE_CN_ID!D388,Gamma_Catalogo!$A$3:$A$1451,0)),"Revisar Ip Code"))</f>
        <v/>
      </c>
      <c r="N1038" s="1" t="str">
        <f aca="false">IF(Suiza_DE_CN_ID!A388="","",IFERROR(INDEX(Gamma_Catalogo!$E$3:$E$1451,MATCH(Suiza_DE_CN_ID!D388,Gamma_Catalogo!$A$3:$A$1451,0)),"Revisar Ip Code"))</f>
        <v/>
      </c>
      <c r="O1038" s="1" t="str">
        <f aca="false">IF(Suiza_DE_CN_ID!A388="","","Suiza")</f>
        <v/>
      </c>
    </row>
    <row r="1039" customFormat="false" ht="15" hidden="false" customHeight="true" outlineLevel="0" collapsed="false">
      <c r="A1039" s="1" t="str">
        <f aca="false">IF(Suiza_DE_CN_ID!A389="","",IFERROR(INDEX(Mercados!$C$2:$C$32,MATCH(Suiza_DE_CN_ID!B389,Mercados!$A$2:$A$32,0)),"Revisar Tscode"))</f>
        <v/>
      </c>
      <c r="B1039" s="1" t="str">
        <f aca="false">IF(Suiza_DE_CN_ID!A389="","",Suiza_DE_CN_ID!A389)</f>
        <v/>
      </c>
      <c r="C1039" s="1" t="str">
        <f aca="false">IF(Suiza_DE_CN_ID!A389="","",Suiza_DE_CN_ID!C389)</f>
        <v/>
      </c>
      <c r="D1039" s="1" t="str">
        <f aca="false">IF(Suiza_DE_CN_ID!A389="","",Suiza_DE_CN_ID!D389)</f>
        <v/>
      </c>
      <c r="E1039" s="1" t="str">
        <f aca="false">IF(Suiza_DE_CN_ID!A389="","",Suiza_DE_CN_ID!E389)</f>
        <v/>
      </c>
      <c r="F1039" s="1" t="str">
        <f aca="false">IF(Suiza_DE_CN_ID!A389="","",Suiza_DE_CN_ID!G389)</f>
        <v/>
      </c>
      <c r="I1039" s="1" t="str">
        <f aca="false">IF(Suiza_DE_CN_ID!A389="","",Suiza_DE_CN_ID!H389)</f>
        <v/>
      </c>
      <c r="J1039" s="1" t="str">
        <f aca="false">IF(Suiza_DE_CN_ID!A389="","",Suiza_DE_CN_ID!I389)</f>
        <v/>
      </c>
      <c r="K1039" s="1" t="str">
        <f aca="false">IF(Suiza_DE_CN_ID!A389="","",UPPER(Suiza_DE_CN_ID!J389))</f>
        <v/>
      </c>
      <c r="L1039" s="1" t="str">
        <f aca="false">IF(Suiza_DE_CN_ID!A389="","",IFERROR(INDEX(Gamma_Catalogo!$D$3:$D$1451,MATCH(Suiza_DE_CN_ID!D389,Gamma_Catalogo!$A$3:$A$1451,0)),"Revisar Ip Code"))</f>
        <v/>
      </c>
      <c r="M1039" s="1" t="str">
        <f aca="false">IF(Suiza_DE_CN_ID!A389="","",IFERROR(INDEX(Gamma_Catalogo!$C$3:$C$1451,MATCH(Suiza_DE_CN_ID!D389,Gamma_Catalogo!$A$3:$A$1451,0)),"Revisar Ip Code"))</f>
        <v/>
      </c>
      <c r="N1039" s="1" t="str">
        <f aca="false">IF(Suiza_DE_CN_ID!A389="","",IFERROR(INDEX(Gamma_Catalogo!$E$3:$E$1451,MATCH(Suiza_DE_CN_ID!D389,Gamma_Catalogo!$A$3:$A$1451,0)),"Revisar Ip Code"))</f>
        <v/>
      </c>
      <c r="O1039" s="1" t="str">
        <f aca="false">IF(Suiza_DE_CN_ID!A389="","","Suiza")</f>
        <v/>
      </c>
    </row>
    <row r="1040" customFormat="false" ht="15" hidden="false" customHeight="true" outlineLevel="0" collapsed="false">
      <c r="A1040" s="1" t="str">
        <f aca="false">IF(Suiza_DE_CN_ID!A390="","",IFERROR(INDEX(Mercados!$C$2:$C$32,MATCH(Suiza_DE_CN_ID!B390,Mercados!$A$2:$A$32,0)),"Revisar Tscode"))</f>
        <v/>
      </c>
      <c r="B1040" s="1" t="str">
        <f aca="false">IF(Suiza_DE_CN_ID!A390="","",Suiza_DE_CN_ID!A390)</f>
        <v/>
      </c>
      <c r="C1040" s="1" t="str">
        <f aca="false">IF(Suiza_DE_CN_ID!A390="","",Suiza_DE_CN_ID!C390)</f>
        <v/>
      </c>
      <c r="D1040" s="1" t="str">
        <f aca="false">IF(Suiza_DE_CN_ID!A390="","",Suiza_DE_CN_ID!D390)</f>
        <v/>
      </c>
      <c r="E1040" s="1" t="str">
        <f aca="false">IF(Suiza_DE_CN_ID!A390="","",Suiza_DE_CN_ID!E390)</f>
        <v/>
      </c>
      <c r="F1040" s="1" t="str">
        <f aca="false">IF(Suiza_DE_CN_ID!A390="","",Suiza_DE_CN_ID!G390)</f>
        <v/>
      </c>
      <c r="I1040" s="1" t="str">
        <f aca="false">IF(Suiza_DE_CN_ID!A390="","",Suiza_DE_CN_ID!H390)</f>
        <v/>
      </c>
      <c r="J1040" s="1" t="str">
        <f aca="false">IF(Suiza_DE_CN_ID!A390="","",Suiza_DE_CN_ID!I390)</f>
        <v/>
      </c>
      <c r="K1040" s="1" t="str">
        <f aca="false">IF(Suiza_DE_CN_ID!A390="","",UPPER(Suiza_DE_CN_ID!J390))</f>
        <v/>
      </c>
      <c r="L1040" s="1" t="str">
        <f aca="false">IF(Suiza_DE_CN_ID!A390="","",IFERROR(INDEX(Gamma_Catalogo!$D$3:$D$1451,MATCH(Suiza_DE_CN_ID!D390,Gamma_Catalogo!$A$3:$A$1451,0)),"Revisar Ip Code"))</f>
        <v/>
      </c>
      <c r="M1040" s="1" t="str">
        <f aca="false">IF(Suiza_DE_CN_ID!A390="","",IFERROR(INDEX(Gamma_Catalogo!$C$3:$C$1451,MATCH(Suiza_DE_CN_ID!D390,Gamma_Catalogo!$A$3:$A$1451,0)),"Revisar Ip Code"))</f>
        <v/>
      </c>
      <c r="N1040" s="1" t="str">
        <f aca="false">IF(Suiza_DE_CN_ID!A390="","",IFERROR(INDEX(Gamma_Catalogo!$E$3:$E$1451,MATCH(Suiza_DE_CN_ID!D390,Gamma_Catalogo!$A$3:$A$1451,0)),"Revisar Ip Code"))</f>
        <v/>
      </c>
      <c r="O1040" s="1" t="str">
        <f aca="false">IF(Suiza_DE_CN_ID!A390="","","Suiza")</f>
        <v/>
      </c>
    </row>
    <row r="1041" customFormat="false" ht="15" hidden="false" customHeight="true" outlineLevel="0" collapsed="false">
      <c r="A1041" s="1" t="str">
        <f aca="false">IF(Suiza_DE_CN_ID!A391="","",IFERROR(INDEX(Mercados!$C$2:$C$32,MATCH(Suiza_DE_CN_ID!B391,Mercados!$A$2:$A$32,0)),"Revisar Tscode"))</f>
        <v/>
      </c>
      <c r="B1041" s="1" t="str">
        <f aca="false">IF(Suiza_DE_CN_ID!A391="","",Suiza_DE_CN_ID!A391)</f>
        <v/>
      </c>
      <c r="C1041" s="1" t="str">
        <f aca="false">IF(Suiza_DE_CN_ID!A391="","",Suiza_DE_CN_ID!C391)</f>
        <v/>
      </c>
      <c r="D1041" s="1" t="str">
        <f aca="false">IF(Suiza_DE_CN_ID!A391="","",Suiza_DE_CN_ID!D391)</f>
        <v/>
      </c>
      <c r="E1041" s="1" t="str">
        <f aca="false">IF(Suiza_DE_CN_ID!A391="","",Suiza_DE_CN_ID!E391)</f>
        <v/>
      </c>
      <c r="F1041" s="1" t="str">
        <f aca="false">IF(Suiza_DE_CN_ID!A391="","",Suiza_DE_CN_ID!G391)</f>
        <v/>
      </c>
      <c r="I1041" s="1" t="str">
        <f aca="false">IF(Suiza_DE_CN_ID!A391="","",Suiza_DE_CN_ID!H391)</f>
        <v/>
      </c>
      <c r="J1041" s="1" t="str">
        <f aca="false">IF(Suiza_DE_CN_ID!A391="","",Suiza_DE_CN_ID!I391)</f>
        <v/>
      </c>
      <c r="K1041" s="1" t="str">
        <f aca="false">IF(Suiza_DE_CN_ID!A391="","",UPPER(Suiza_DE_CN_ID!J391))</f>
        <v/>
      </c>
      <c r="L1041" s="1" t="str">
        <f aca="false">IF(Suiza_DE_CN_ID!A391="","",IFERROR(INDEX(Gamma_Catalogo!$D$3:$D$1451,MATCH(Suiza_DE_CN_ID!D391,Gamma_Catalogo!$A$3:$A$1451,0)),"Revisar Ip Code"))</f>
        <v/>
      </c>
      <c r="M1041" s="1" t="str">
        <f aca="false">IF(Suiza_DE_CN_ID!A391="","",IFERROR(INDEX(Gamma_Catalogo!$C$3:$C$1451,MATCH(Suiza_DE_CN_ID!D391,Gamma_Catalogo!$A$3:$A$1451,0)),"Revisar Ip Code"))</f>
        <v/>
      </c>
      <c r="N1041" s="1" t="str">
        <f aca="false">IF(Suiza_DE_CN_ID!A391="","",IFERROR(INDEX(Gamma_Catalogo!$E$3:$E$1451,MATCH(Suiza_DE_CN_ID!D391,Gamma_Catalogo!$A$3:$A$1451,0)),"Revisar Ip Code"))</f>
        <v/>
      </c>
      <c r="O1041" s="1" t="str">
        <f aca="false">IF(Suiza_DE_CN_ID!A391="","","Suiza")</f>
        <v/>
      </c>
    </row>
    <row r="1042" customFormat="false" ht="15" hidden="false" customHeight="true" outlineLevel="0" collapsed="false">
      <c r="A1042" s="1" t="str">
        <f aca="false">IF(Suiza_DE_CN_ID!A392="","",IFERROR(INDEX(Mercados!$C$2:$C$32,MATCH(Suiza_DE_CN_ID!B392,Mercados!$A$2:$A$32,0)),"Revisar Tscode"))</f>
        <v/>
      </c>
      <c r="B1042" s="1" t="str">
        <f aca="false">IF(Suiza_DE_CN_ID!A392="","",Suiza_DE_CN_ID!A392)</f>
        <v/>
      </c>
      <c r="C1042" s="1" t="str">
        <f aca="false">IF(Suiza_DE_CN_ID!A392="","",Suiza_DE_CN_ID!C392)</f>
        <v/>
      </c>
      <c r="D1042" s="1" t="str">
        <f aca="false">IF(Suiza_DE_CN_ID!A392="","",Suiza_DE_CN_ID!D392)</f>
        <v/>
      </c>
      <c r="E1042" s="1" t="str">
        <f aca="false">IF(Suiza_DE_CN_ID!A392="","",Suiza_DE_CN_ID!E392)</f>
        <v/>
      </c>
      <c r="F1042" s="1" t="str">
        <f aca="false">IF(Suiza_DE_CN_ID!A392="","",Suiza_DE_CN_ID!G392)</f>
        <v/>
      </c>
      <c r="I1042" s="1" t="str">
        <f aca="false">IF(Suiza_DE_CN_ID!A392="","",Suiza_DE_CN_ID!H392)</f>
        <v/>
      </c>
      <c r="J1042" s="1" t="str">
        <f aca="false">IF(Suiza_DE_CN_ID!A392="","",Suiza_DE_CN_ID!I392)</f>
        <v/>
      </c>
      <c r="K1042" s="1" t="str">
        <f aca="false">IF(Suiza_DE_CN_ID!A392="","",UPPER(Suiza_DE_CN_ID!J392))</f>
        <v/>
      </c>
      <c r="L1042" s="1" t="str">
        <f aca="false">IF(Suiza_DE_CN_ID!A392="","",IFERROR(INDEX(Gamma_Catalogo!$D$3:$D$1451,MATCH(Suiza_DE_CN_ID!D392,Gamma_Catalogo!$A$3:$A$1451,0)),"Revisar Ip Code"))</f>
        <v/>
      </c>
      <c r="M1042" s="1" t="str">
        <f aca="false">IF(Suiza_DE_CN_ID!A392="","",IFERROR(INDEX(Gamma_Catalogo!$C$3:$C$1451,MATCH(Suiza_DE_CN_ID!D392,Gamma_Catalogo!$A$3:$A$1451,0)),"Revisar Ip Code"))</f>
        <v/>
      </c>
      <c r="N1042" s="1" t="str">
        <f aca="false">IF(Suiza_DE_CN_ID!A392="","",IFERROR(INDEX(Gamma_Catalogo!$E$3:$E$1451,MATCH(Suiza_DE_CN_ID!D392,Gamma_Catalogo!$A$3:$A$1451,0)),"Revisar Ip Code"))</f>
        <v/>
      </c>
      <c r="O1042" s="1" t="str">
        <f aca="false">IF(Suiza_DE_CN_ID!A392="","","Suiza")</f>
        <v/>
      </c>
    </row>
    <row r="1043" customFormat="false" ht="15" hidden="false" customHeight="true" outlineLevel="0" collapsed="false">
      <c r="A1043" s="1" t="str">
        <f aca="false">IF(Suiza_DE_CN_ID!A393="","",IFERROR(INDEX(Mercados!$C$2:$C$32,MATCH(Suiza_DE_CN_ID!B393,Mercados!$A$2:$A$32,0)),"Revisar Tscode"))</f>
        <v/>
      </c>
      <c r="B1043" s="1" t="str">
        <f aca="false">IF(Suiza_DE_CN_ID!A393="","",Suiza_DE_CN_ID!A393)</f>
        <v/>
      </c>
      <c r="C1043" s="1" t="str">
        <f aca="false">IF(Suiza_DE_CN_ID!A393="","",Suiza_DE_CN_ID!C393)</f>
        <v/>
      </c>
      <c r="D1043" s="1" t="str">
        <f aca="false">IF(Suiza_DE_CN_ID!A393="","",Suiza_DE_CN_ID!D393)</f>
        <v/>
      </c>
      <c r="E1043" s="1" t="str">
        <f aca="false">IF(Suiza_DE_CN_ID!A393="","",Suiza_DE_CN_ID!E393)</f>
        <v/>
      </c>
      <c r="F1043" s="1" t="str">
        <f aca="false">IF(Suiza_DE_CN_ID!A393="","",Suiza_DE_CN_ID!G393)</f>
        <v/>
      </c>
      <c r="I1043" s="1" t="str">
        <f aca="false">IF(Suiza_DE_CN_ID!A393="","",Suiza_DE_CN_ID!H393)</f>
        <v/>
      </c>
      <c r="J1043" s="1" t="str">
        <f aca="false">IF(Suiza_DE_CN_ID!A393="","",Suiza_DE_CN_ID!I393)</f>
        <v/>
      </c>
      <c r="K1043" s="1" t="str">
        <f aca="false">IF(Suiza_DE_CN_ID!A393="","",UPPER(Suiza_DE_CN_ID!J393))</f>
        <v/>
      </c>
      <c r="L1043" s="1" t="str">
        <f aca="false">IF(Suiza_DE_CN_ID!A393="","",IFERROR(INDEX(Gamma_Catalogo!$D$3:$D$1451,MATCH(Suiza_DE_CN_ID!D393,Gamma_Catalogo!$A$3:$A$1451,0)),"Revisar Ip Code"))</f>
        <v/>
      </c>
      <c r="M1043" s="1" t="str">
        <f aca="false">IF(Suiza_DE_CN_ID!A393="","",IFERROR(INDEX(Gamma_Catalogo!$C$3:$C$1451,MATCH(Suiza_DE_CN_ID!D393,Gamma_Catalogo!$A$3:$A$1451,0)),"Revisar Ip Code"))</f>
        <v/>
      </c>
      <c r="N1043" s="1" t="str">
        <f aca="false">IF(Suiza_DE_CN_ID!A393="","",IFERROR(INDEX(Gamma_Catalogo!$E$3:$E$1451,MATCH(Suiza_DE_CN_ID!D393,Gamma_Catalogo!$A$3:$A$1451,0)),"Revisar Ip Code"))</f>
        <v/>
      </c>
      <c r="O1043" s="1" t="str">
        <f aca="false">IF(Suiza_DE_CN_ID!A393="","","Suiza")</f>
        <v/>
      </c>
    </row>
    <row r="1044" customFormat="false" ht="15" hidden="false" customHeight="true" outlineLevel="0" collapsed="false">
      <c r="A1044" s="1" t="str">
        <f aca="false">IF(Suiza_DE_CN_ID!A394="","",IFERROR(INDEX(Mercados!$C$2:$C$32,MATCH(Suiza_DE_CN_ID!B394,Mercados!$A$2:$A$32,0)),"Revisar Tscode"))</f>
        <v/>
      </c>
      <c r="B1044" s="1" t="str">
        <f aca="false">IF(Suiza_DE_CN_ID!A394="","",Suiza_DE_CN_ID!A394)</f>
        <v/>
      </c>
      <c r="C1044" s="1" t="str">
        <f aca="false">IF(Suiza_DE_CN_ID!A394="","",Suiza_DE_CN_ID!C394)</f>
        <v/>
      </c>
      <c r="D1044" s="1" t="str">
        <f aca="false">IF(Suiza_DE_CN_ID!A394="","",Suiza_DE_CN_ID!D394)</f>
        <v/>
      </c>
      <c r="E1044" s="1" t="str">
        <f aca="false">IF(Suiza_DE_CN_ID!A394="","",Suiza_DE_CN_ID!E394)</f>
        <v/>
      </c>
      <c r="F1044" s="1" t="str">
        <f aca="false">IF(Suiza_DE_CN_ID!A394="","",Suiza_DE_CN_ID!G394)</f>
        <v/>
      </c>
      <c r="I1044" s="1" t="str">
        <f aca="false">IF(Suiza_DE_CN_ID!A394="","",Suiza_DE_CN_ID!H394)</f>
        <v/>
      </c>
      <c r="J1044" s="1" t="str">
        <f aca="false">IF(Suiza_DE_CN_ID!A394="","",Suiza_DE_CN_ID!I394)</f>
        <v/>
      </c>
      <c r="K1044" s="1" t="str">
        <f aca="false">IF(Suiza_DE_CN_ID!A394="","",UPPER(Suiza_DE_CN_ID!J394))</f>
        <v/>
      </c>
      <c r="L1044" s="1" t="str">
        <f aca="false">IF(Suiza_DE_CN_ID!A394="","",IFERROR(INDEX(Gamma_Catalogo!$D$3:$D$1451,MATCH(Suiza_DE_CN_ID!D394,Gamma_Catalogo!$A$3:$A$1451,0)),"Revisar Ip Code"))</f>
        <v/>
      </c>
      <c r="M1044" s="1" t="str">
        <f aca="false">IF(Suiza_DE_CN_ID!A394="","",IFERROR(INDEX(Gamma_Catalogo!$C$3:$C$1451,MATCH(Suiza_DE_CN_ID!D394,Gamma_Catalogo!$A$3:$A$1451,0)),"Revisar Ip Code"))</f>
        <v/>
      </c>
      <c r="N1044" s="1" t="str">
        <f aca="false">IF(Suiza_DE_CN_ID!A394="","",IFERROR(INDEX(Gamma_Catalogo!$E$3:$E$1451,MATCH(Suiza_DE_CN_ID!D394,Gamma_Catalogo!$A$3:$A$1451,0)),"Revisar Ip Code"))</f>
        <v/>
      </c>
      <c r="O1044" s="1" t="str">
        <f aca="false">IF(Suiza_DE_CN_ID!A394="","","Suiza")</f>
        <v/>
      </c>
    </row>
    <row r="1045" customFormat="false" ht="15" hidden="false" customHeight="true" outlineLevel="0" collapsed="false">
      <c r="A1045" s="1" t="str">
        <f aca="false">IF(Suiza_DE_CN_ID!A395="","",IFERROR(INDEX(Mercados!$C$2:$C$32,MATCH(Suiza_DE_CN_ID!B395,Mercados!$A$2:$A$32,0)),"Revisar Tscode"))</f>
        <v/>
      </c>
      <c r="B1045" s="1" t="str">
        <f aca="false">IF(Suiza_DE_CN_ID!A395="","",Suiza_DE_CN_ID!A395)</f>
        <v/>
      </c>
      <c r="C1045" s="1" t="str">
        <f aca="false">IF(Suiza_DE_CN_ID!A395="","",Suiza_DE_CN_ID!C395)</f>
        <v/>
      </c>
      <c r="D1045" s="1" t="str">
        <f aca="false">IF(Suiza_DE_CN_ID!A395="","",Suiza_DE_CN_ID!D395)</f>
        <v/>
      </c>
      <c r="E1045" s="1" t="str">
        <f aca="false">IF(Suiza_DE_CN_ID!A395="","",Suiza_DE_CN_ID!E395)</f>
        <v/>
      </c>
      <c r="F1045" s="1" t="str">
        <f aca="false">IF(Suiza_DE_CN_ID!A395="","",Suiza_DE_CN_ID!G395)</f>
        <v/>
      </c>
      <c r="I1045" s="1" t="str">
        <f aca="false">IF(Suiza_DE_CN_ID!A395="","",Suiza_DE_CN_ID!H395)</f>
        <v/>
      </c>
      <c r="J1045" s="1" t="str">
        <f aca="false">IF(Suiza_DE_CN_ID!A395="","",Suiza_DE_CN_ID!I395)</f>
        <v/>
      </c>
      <c r="K1045" s="1" t="str">
        <f aca="false">IF(Suiza_DE_CN_ID!A395="","",UPPER(Suiza_DE_CN_ID!J395))</f>
        <v/>
      </c>
      <c r="L1045" s="1" t="str">
        <f aca="false">IF(Suiza_DE_CN_ID!A395="","",IFERROR(INDEX(Gamma_Catalogo!$D$3:$D$1451,MATCH(Suiza_DE_CN_ID!D395,Gamma_Catalogo!$A$3:$A$1451,0)),"Revisar Ip Code"))</f>
        <v/>
      </c>
      <c r="M1045" s="1" t="str">
        <f aca="false">IF(Suiza_DE_CN_ID!A395="","",IFERROR(INDEX(Gamma_Catalogo!$C$3:$C$1451,MATCH(Suiza_DE_CN_ID!D395,Gamma_Catalogo!$A$3:$A$1451,0)),"Revisar Ip Code"))</f>
        <v/>
      </c>
      <c r="N1045" s="1" t="str">
        <f aca="false">IF(Suiza_DE_CN_ID!A395="","",IFERROR(INDEX(Gamma_Catalogo!$E$3:$E$1451,MATCH(Suiza_DE_CN_ID!D395,Gamma_Catalogo!$A$3:$A$1451,0)),"Revisar Ip Code"))</f>
        <v/>
      </c>
      <c r="O1045" s="1" t="str">
        <f aca="false">IF(Suiza_DE_CN_ID!A395="","","Suiza")</f>
        <v/>
      </c>
    </row>
    <row r="1046" customFormat="false" ht="15" hidden="false" customHeight="true" outlineLevel="0" collapsed="false">
      <c r="A1046" s="1" t="str">
        <f aca="false">IF(Suiza_DE_CN_ID!A396="","",IFERROR(INDEX(Mercados!$C$2:$C$32,MATCH(Suiza_DE_CN_ID!B396,Mercados!$A$2:$A$32,0)),"Revisar Tscode"))</f>
        <v/>
      </c>
      <c r="B1046" s="1" t="str">
        <f aca="false">IF(Suiza_DE_CN_ID!A396="","",Suiza_DE_CN_ID!A396)</f>
        <v/>
      </c>
      <c r="C1046" s="1" t="str">
        <f aca="false">IF(Suiza_DE_CN_ID!A396="","",Suiza_DE_CN_ID!C396)</f>
        <v/>
      </c>
      <c r="D1046" s="1" t="str">
        <f aca="false">IF(Suiza_DE_CN_ID!A396="","",Suiza_DE_CN_ID!D396)</f>
        <v/>
      </c>
      <c r="E1046" s="1" t="str">
        <f aca="false">IF(Suiza_DE_CN_ID!A396="","",Suiza_DE_CN_ID!E396)</f>
        <v/>
      </c>
      <c r="F1046" s="1" t="str">
        <f aca="false">IF(Suiza_DE_CN_ID!A396="","",Suiza_DE_CN_ID!G396)</f>
        <v/>
      </c>
      <c r="I1046" s="1" t="str">
        <f aca="false">IF(Suiza_DE_CN_ID!A396="","",Suiza_DE_CN_ID!H396)</f>
        <v/>
      </c>
      <c r="J1046" s="1" t="str">
        <f aca="false">IF(Suiza_DE_CN_ID!A396="","",Suiza_DE_CN_ID!I396)</f>
        <v/>
      </c>
      <c r="K1046" s="1" t="str">
        <f aca="false">IF(Suiza_DE_CN_ID!A396="","",UPPER(Suiza_DE_CN_ID!J396))</f>
        <v/>
      </c>
      <c r="L1046" s="1" t="str">
        <f aca="false">IF(Suiza_DE_CN_ID!A396="","",IFERROR(INDEX(Gamma_Catalogo!$D$3:$D$1451,MATCH(Suiza_DE_CN_ID!D396,Gamma_Catalogo!$A$3:$A$1451,0)),"Revisar Ip Code"))</f>
        <v/>
      </c>
      <c r="M1046" s="1" t="str">
        <f aca="false">IF(Suiza_DE_CN_ID!A396="","",IFERROR(INDEX(Gamma_Catalogo!$C$3:$C$1451,MATCH(Suiza_DE_CN_ID!D396,Gamma_Catalogo!$A$3:$A$1451,0)),"Revisar Ip Code"))</f>
        <v/>
      </c>
      <c r="N1046" s="1" t="str">
        <f aca="false">IF(Suiza_DE_CN_ID!A396="","",IFERROR(INDEX(Gamma_Catalogo!$E$3:$E$1451,MATCH(Suiza_DE_CN_ID!D396,Gamma_Catalogo!$A$3:$A$1451,0)),"Revisar Ip Code"))</f>
        <v/>
      </c>
      <c r="O1046" s="1" t="str">
        <f aca="false">IF(Suiza_DE_CN_ID!A396="","","Suiza")</f>
        <v/>
      </c>
    </row>
    <row r="1047" customFormat="false" ht="15" hidden="false" customHeight="true" outlineLevel="0" collapsed="false">
      <c r="A1047" s="1" t="str">
        <f aca="false">IF(Suiza_DE_CN_ID!A397="","",IFERROR(INDEX(Mercados!$C$2:$C$32,MATCH(Suiza_DE_CN_ID!B397,Mercados!$A$2:$A$32,0)),"Revisar Tscode"))</f>
        <v/>
      </c>
      <c r="B1047" s="1" t="str">
        <f aca="false">IF(Suiza_DE_CN_ID!A397="","",Suiza_DE_CN_ID!A397)</f>
        <v/>
      </c>
      <c r="C1047" s="1" t="str">
        <f aca="false">IF(Suiza_DE_CN_ID!A397="","",Suiza_DE_CN_ID!C397)</f>
        <v/>
      </c>
      <c r="D1047" s="1" t="str">
        <f aca="false">IF(Suiza_DE_CN_ID!A397="","",Suiza_DE_CN_ID!D397)</f>
        <v/>
      </c>
      <c r="E1047" s="1" t="str">
        <f aca="false">IF(Suiza_DE_CN_ID!A397="","",Suiza_DE_CN_ID!E397)</f>
        <v/>
      </c>
      <c r="F1047" s="1" t="str">
        <f aca="false">IF(Suiza_DE_CN_ID!A397="","",Suiza_DE_CN_ID!G397)</f>
        <v/>
      </c>
      <c r="I1047" s="1" t="str">
        <f aca="false">IF(Suiza_DE_CN_ID!A397="","",Suiza_DE_CN_ID!H397)</f>
        <v/>
      </c>
      <c r="J1047" s="1" t="str">
        <f aca="false">IF(Suiza_DE_CN_ID!A397="","",Suiza_DE_CN_ID!I397)</f>
        <v/>
      </c>
      <c r="K1047" s="1" t="str">
        <f aca="false">IF(Suiza_DE_CN_ID!A397="","",UPPER(Suiza_DE_CN_ID!J397))</f>
        <v/>
      </c>
      <c r="L1047" s="1" t="str">
        <f aca="false">IF(Suiza_DE_CN_ID!A397="","",IFERROR(INDEX(Gamma_Catalogo!$D$3:$D$1451,MATCH(Suiza_DE_CN_ID!D397,Gamma_Catalogo!$A$3:$A$1451,0)),"Revisar Ip Code"))</f>
        <v/>
      </c>
      <c r="M1047" s="1" t="str">
        <f aca="false">IF(Suiza_DE_CN_ID!A397="","",IFERROR(INDEX(Gamma_Catalogo!$C$3:$C$1451,MATCH(Suiza_DE_CN_ID!D397,Gamma_Catalogo!$A$3:$A$1451,0)),"Revisar Ip Code"))</f>
        <v/>
      </c>
      <c r="N1047" s="1" t="str">
        <f aca="false">IF(Suiza_DE_CN_ID!A397="","",IFERROR(INDEX(Gamma_Catalogo!$E$3:$E$1451,MATCH(Suiza_DE_CN_ID!D397,Gamma_Catalogo!$A$3:$A$1451,0)),"Revisar Ip Code"))</f>
        <v/>
      </c>
      <c r="O1047" s="1" t="str">
        <f aca="false">IF(Suiza_DE_CN_ID!A397="","","Suiza")</f>
        <v/>
      </c>
    </row>
    <row r="1048" customFormat="false" ht="15" hidden="false" customHeight="true" outlineLevel="0" collapsed="false">
      <c r="A1048" s="1" t="str">
        <f aca="false">IF(Suiza_DE_CN_ID!A398="","",IFERROR(INDEX(Mercados!$C$2:$C$32,MATCH(Suiza_DE_CN_ID!B398,Mercados!$A$2:$A$32,0)),"Revisar Tscode"))</f>
        <v/>
      </c>
      <c r="B1048" s="1" t="str">
        <f aca="false">IF(Suiza_DE_CN_ID!A398="","",Suiza_DE_CN_ID!A398)</f>
        <v/>
      </c>
      <c r="C1048" s="1" t="str">
        <f aca="false">IF(Suiza_DE_CN_ID!A398="","",Suiza_DE_CN_ID!C398)</f>
        <v/>
      </c>
      <c r="D1048" s="1" t="str">
        <f aca="false">IF(Suiza_DE_CN_ID!A398="","",Suiza_DE_CN_ID!D398)</f>
        <v/>
      </c>
      <c r="E1048" s="1" t="str">
        <f aca="false">IF(Suiza_DE_CN_ID!A398="","",Suiza_DE_CN_ID!E398)</f>
        <v/>
      </c>
      <c r="F1048" s="1" t="str">
        <f aca="false">IF(Suiza_DE_CN_ID!A398="","",Suiza_DE_CN_ID!G398)</f>
        <v/>
      </c>
      <c r="I1048" s="1" t="str">
        <f aca="false">IF(Suiza_DE_CN_ID!A398="","",Suiza_DE_CN_ID!H398)</f>
        <v/>
      </c>
      <c r="J1048" s="1" t="str">
        <f aca="false">IF(Suiza_DE_CN_ID!A398="","",Suiza_DE_CN_ID!I398)</f>
        <v/>
      </c>
      <c r="K1048" s="1" t="str">
        <f aca="false">IF(Suiza_DE_CN_ID!A398="","",UPPER(Suiza_DE_CN_ID!J398))</f>
        <v/>
      </c>
      <c r="L1048" s="1" t="str">
        <f aca="false">IF(Suiza_DE_CN_ID!A398="","",IFERROR(INDEX(Gamma_Catalogo!$D$3:$D$1451,MATCH(Suiza_DE_CN_ID!D398,Gamma_Catalogo!$A$3:$A$1451,0)),"Revisar Ip Code"))</f>
        <v/>
      </c>
      <c r="M1048" s="1" t="str">
        <f aca="false">IF(Suiza_DE_CN_ID!A398="","",IFERROR(INDEX(Gamma_Catalogo!$C$3:$C$1451,MATCH(Suiza_DE_CN_ID!D398,Gamma_Catalogo!$A$3:$A$1451,0)),"Revisar Ip Code"))</f>
        <v/>
      </c>
      <c r="N1048" s="1" t="str">
        <f aca="false">IF(Suiza_DE_CN_ID!A398="","",IFERROR(INDEX(Gamma_Catalogo!$E$3:$E$1451,MATCH(Suiza_DE_CN_ID!D398,Gamma_Catalogo!$A$3:$A$1451,0)),"Revisar Ip Code"))</f>
        <v/>
      </c>
      <c r="O1048" s="1" t="str">
        <f aca="false">IF(Suiza_DE_CN_ID!A398="","","Suiza")</f>
        <v/>
      </c>
    </row>
    <row r="1049" customFormat="false" ht="15" hidden="false" customHeight="true" outlineLevel="0" collapsed="false">
      <c r="A1049" s="1" t="str">
        <f aca="false">IF(Suiza_DE_CN_ID!A399="","",IFERROR(INDEX(Mercados!$C$2:$C$32,MATCH(Suiza_DE_CN_ID!B399,Mercados!$A$2:$A$32,0)),"Revisar Tscode"))</f>
        <v/>
      </c>
      <c r="B1049" s="1" t="str">
        <f aca="false">IF(Suiza_DE_CN_ID!A399="","",Suiza_DE_CN_ID!A399)</f>
        <v/>
      </c>
      <c r="C1049" s="1" t="str">
        <f aca="false">IF(Suiza_DE_CN_ID!A399="","",Suiza_DE_CN_ID!C399)</f>
        <v/>
      </c>
      <c r="D1049" s="1" t="str">
        <f aca="false">IF(Suiza_DE_CN_ID!A399="","",Suiza_DE_CN_ID!D399)</f>
        <v/>
      </c>
      <c r="E1049" s="1" t="str">
        <f aca="false">IF(Suiza_DE_CN_ID!A399="","",Suiza_DE_CN_ID!E399)</f>
        <v/>
      </c>
      <c r="F1049" s="1" t="str">
        <f aca="false">IF(Suiza_DE_CN_ID!A399="","",Suiza_DE_CN_ID!G399)</f>
        <v/>
      </c>
      <c r="I1049" s="1" t="str">
        <f aca="false">IF(Suiza_DE_CN_ID!A399="","",Suiza_DE_CN_ID!H399)</f>
        <v/>
      </c>
      <c r="J1049" s="1" t="str">
        <f aca="false">IF(Suiza_DE_CN_ID!A399="","",Suiza_DE_CN_ID!I399)</f>
        <v/>
      </c>
      <c r="K1049" s="1" t="str">
        <f aca="false">IF(Suiza_DE_CN_ID!A399="","",UPPER(Suiza_DE_CN_ID!J399))</f>
        <v/>
      </c>
      <c r="L1049" s="1" t="str">
        <f aca="false">IF(Suiza_DE_CN_ID!A399="","",IFERROR(INDEX(Gamma_Catalogo!$D$3:$D$1451,MATCH(Suiza_DE_CN_ID!D399,Gamma_Catalogo!$A$3:$A$1451,0)),"Revisar Ip Code"))</f>
        <v/>
      </c>
      <c r="M1049" s="1" t="str">
        <f aca="false">IF(Suiza_DE_CN_ID!A399="","",IFERROR(INDEX(Gamma_Catalogo!$C$3:$C$1451,MATCH(Suiza_DE_CN_ID!D399,Gamma_Catalogo!$A$3:$A$1451,0)),"Revisar Ip Code"))</f>
        <v/>
      </c>
      <c r="N1049" s="1" t="str">
        <f aca="false">IF(Suiza_DE_CN_ID!A399="","",IFERROR(INDEX(Gamma_Catalogo!$E$3:$E$1451,MATCH(Suiza_DE_CN_ID!D399,Gamma_Catalogo!$A$3:$A$1451,0)),"Revisar Ip Code"))</f>
        <v/>
      </c>
      <c r="O1049" s="1" t="str">
        <f aca="false">IF(Suiza_DE_CN_ID!A399="","","Suiza")</f>
        <v/>
      </c>
    </row>
    <row r="1050" customFormat="false" ht="15" hidden="false" customHeight="true" outlineLevel="0" collapsed="false">
      <c r="A1050" s="1" t="str">
        <f aca="false">IF(Suiza_DE_CN_ID!A400="","",IFERROR(INDEX(Mercados!$C$2:$C$32,MATCH(Suiza_DE_CN_ID!B400,Mercados!$A$2:$A$32,0)),"Revisar Tscode"))</f>
        <v/>
      </c>
      <c r="B1050" s="1" t="str">
        <f aca="false">IF(Suiza_DE_CN_ID!A400="","",Suiza_DE_CN_ID!A400)</f>
        <v/>
      </c>
      <c r="C1050" s="1" t="str">
        <f aca="false">IF(Suiza_DE_CN_ID!A400="","",Suiza_DE_CN_ID!C400)</f>
        <v/>
      </c>
      <c r="D1050" s="1" t="str">
        <f aca="false">IF(Suiza_DE_CN_ID!A400="","",Suiza_DE_CN_ID!D400)</f>
        <v/>
      </c>
      <c r="E1050" s="1" t="str">
        <f aca="false">IF(Suiza_DE_CN_ID!A400="","",Suiza_DE_CN_ID!E400)</f>
        <v/>
      </c>
      <c r="F1050" s="1" t="str">
        <f aca="false">IF(Suiza_DE_CN_ID!A400="","",Suiza_DE_CN_ID!G400)</f>
        <v/>
      </c>
      <c r="I1050" s="1" t="str">
        <f aca="false">IF(Suiza_DE_CN_ID!A400="","",Suiza_DE_CN_ID!H400)</f>
        <v/>
      </c>
      <c r="J1050" s="1" t="str">
        <f aca="false">IF(Suiza_DE_CN_ID!A400="","",Suiza_DE_CN_ID!I400)</f>
        <v/>
      </c>
      <c r="K1050" s="1" t="str">
        <f aca="false">IF(Suiza_DE_CN_ID!A400="","",UPPER(Suiza_DE_CN_ID!J400))</f>
        <v/>
      </c>
      <c r="L1050" s="1" t="str">
        <f aca="false">IF(Suiza_DE_CN_ID!A400="","",IFERROR(INDEX(Gamma_Catalogo!$D$3:$D$1451,MATCH(Suiza_DE_CN_ID!D400,Gamma_Catalogo!$A$3:$A$1451,0)),"Revisar Ip Code"))</f>
        <v/>
      </c>
      <c r="M1050" s="1" t="str">
        <f aca="false">IF(Suiza_DE_CN_ID!A400="","",IFERROR(INDEX(Gamma_Catalogo!$C$3:$C$1451,MATCH(Suiza_DE_CN_ID!D400,Gamma_Catalogo!$A$3:$A$1451,0)),"Revisar Ip Code"))</f>
        <v/>
      </c>
      <c r="N1050" s="1" t="str">
        <f aca="false">IF(Suiza_DE_CN_ID!A400="","",IFERROR(INDEX(Gamma_Catalogo!$E$3:$E$1451,MATCH(Suiza_DE_CN_ID!D400,Gamma_Catalogo!$A$3:$A$1451,0)),"Revisar Ip Code"))</f>
        <v/>
      </c>
      <c r="O1050" s="1" t="str">
        <f aca="false">IF(Suiza_DE_CN_ID!A400="","","Suiza")</f>
        <v/>
      </c>
    </row>
    <row r="1051" customFormat="false" ht="15" hidden="false" customHeight="true" outlineLevel="0" collapsed="false">
      <c r="A1051" s="1" t="str">
        <f aca="false">IF(Suiza_DE_CN_ID!A401="","",IFERROR(INDEX(Mercados!$C$2:$C$32,MATCH(Suiza_DE_CN_ID!B401,Mercados!$A$2:$A$32,0)),"Revisar Tscode"))</f>
        <v/>
      </c>
      <c r="B1051" s="1" t="str">
        <f aca="false">IF(Suiza_DE_CN_ID!A401="","",Suiza_DE_CN_ID!A401)</f>
        <v/>
      </c>
      <c r="C1051" s="1" t="str">
        <f aca="false">IF(Suiza_DE_CN_ID!A401="","",Suiza_DE_CN_ID!C401)</f>
        <v/>
      </c>
      <c r="D1051" s="1" t="str">
        <f aca="false">IF(Suiza_DE_CN_ID!A401="","",Suiza_DE_CN_ID!D401)</f>
        <v/>
      </c>
      <c r="E1051" s="1" t="str">
        <f aca="false">IF(Suiza_DE_CN_ID!A401="","",Suiza_DE_CN_ID!E401)</f>
        <v/>
      </c>
      <c r="F1051" s="1" t="str">
        <f aca="false">IF(Suiza_DE_CN_ID!A401="","",Suiza_DE_CN_ID!G401)</f>
        <v/>
      </c>
      <c r="I1051" s="1" t="str">
        <f aca="false">IF(Suiza_DE_CN_ID!A401="","",Suiza_DE_CN_ID!H401)</f>
        <v/>
      </c>
      <c r="J1051" s="1" t="str">
        <f aca="false">IF(Suiza_DE_CN_ID!A401="","",Suiza_DE_CN_ID!I401)</f>
        <v/>
      </c>
      <c r="K1051" s="1" t="str">
        <f aca="false">IF(Suiza_DE_CN_ID!A401="","",UPPER(Suiza_DE_CN_ID!J401))</f>
        <v/>
      </c>
      <c r="L1051" s="1" t="str">
        <f aca="false">IF(Suiza_DE_CN_ID!A401="","",IFERROR(INDEX(Gamma_Catalogo!$D$3:$D$1451,MATCH(Suiza_DE_CN_ID!D401,Gamma_Catalogo!$A$3:$A$1451,0)),"Revisar Ip Code"))</f>
        <v/>
      </c>
      <c r="M1051" s="1" t="str">
        <f aca="false">IF(Suiza_DE_CN_ID!A401="","",IFERROR(INDEX(Gamma_Catalogo!$C$3:$C$1451,MATCH(Suiza_DE_CN_ID!D401,Gamma_Catalogo!$A$3:$A$1451,0)),"Revisar Ip Code"))</f>
        <v/>
      </c>
      <c r="N1051" s="1" t="str">
        <f aca="false">IF(Suiza_DE_CN_ID!A401="","",IFERROR(INDEX(Gamma_Catalogo!$E$3:$E$1451,MATCH(Suiza_DE_CN_ID!D401,Gamma_Catalogo!$A$3:$A$1451,0)),"Revisar Ip Code"))</f>
        <v/>
      </c>
      <c r="O1051" s="1" t="str">
        <f aca="false">IF(Suiza_DE_CN_ID!A401="","","Suiza")</f>
        <v/>
      </c>
    </row>
    <row r="1052" customFormat="false" ht="15" hidden="false" customHeight="true" outlineLevel="0" collapsed="false">
      <c r="A1052" s="1" t="str">
        <f aca="false">IF(Suiza_DE_CN_ID!A402="","",IFERROR(INDEX(Mercados!$C$2:$C$32,MATCH(Suiza_DE_CN_ID!B402,Mercados!$A$2:$A$32,0)),"Revisar Tscode"))</f>
        <v/>
      </c>
      <c r="B1052" s="1" t="str">
        <f aca="false">IF(Suiza_DE_CN_ID!A402="","",Suiza_DE_CN_ID!A402)</f>
        <v/>
      </c>
      <c r="C1052" s="1" t="str">
        <f aca="false">IF(Suiza_DE_CN_ID!A402="","",Suiza_DE_CN_ID!C402)</f>
        <v/>
      </c>
      <c r="D1052" s="1" t="str">
        <f aca="false">IF(Suiza_DE_CN_ID!A402="","",Suiza_DE_CN_ID!D402)</f>
        <v/>
      </c>
      <c r="E1052" s="1" t="str">
        <f aca="false">IF(Suiza_DE_CN_ID!A402="","",Suiza_DE_CN_ID!E402)</f>
        <v/>
      </c>
      <c r="F1052" s="1" t="str">
        <f aca="false">IF(Suiza_DE_CN_ID!A402="","",Suiza_DE_CN_ID!G402)</f>
        <v/>
      </c>
      <c r="I1052" s="1" t="str">
        <f aca="false">IF(Suiza_DE_CN_ID!A402="","",Suiza_DE_CN_ID!H402)</f>
        <v/>
      </c>
      <c r="J1052" s="1" t="str">
        <f aca="false">IF(Suiza_DE_CN_ID!A402="","",Suiza_DE_CN_ID!I402)</f>
        <v/>
      </c>
      <c r="K1052" s="1" t="str">
        <f aca="false">IF(Suiza_DE_CN_ID!A402="","",UPPER(Suiza_DE_CN_ID!J402))</f>
        <v/>
      </c>
      <c r="L1052" s="1" t="str">
        <f aca="false">IF(Suiza_DE_CN_ID!A402="","",IFERROR(INDEX(Gamma_Catalogo!$D$3:$D$1451,MATCH(Suiza_DE_CN_ID!D402,Gamma_Catalogo!$A$3:$A$1451,0)),"Revisar Ip Code"))</f>
        <v/>
      </c>
      <c r="M1052" s="1" t="str">
        <f aca="false">IF(Suiza_DE_CN_ID!A402="","",IFERROR(INDEX(Gamma_Catalogo!$C$3:$C$1451,MATCH(Suiza_DE_CN_ID!D402,Gamma_Catalogo!$A$3:$A$1451,0)),"Revisar Ip Code"))</f>
        <v/>
      </c>
      <c r="N1052" s="1" t="str">
        <f aca="false">IF(Suiza_DE_CN_ID!A402="","",IFERROR(INDEX(Gamma_Catalogo!$E$3:$E$1451,MATCH(Suiza_DE_CN_ID!D402,Gamma_Catalogo!$A$3:$A$1451,0)),"Revisar Ip Code"))</f>
        <v/>
      </c>
      <c r="O1052" s="1" t="str">
        <f aca="false">IF(Suiza_DE_CN_ID!A402="","","Suiza")</f>
        <v/>
      </c>
    </row>
    <row r="1053" customFormat="false" ht="15" hidden="false" customHeight="true" outlineLevel="0" collapsed="false">
      <c r="A1053" s="1" t="str">
        <f aca="false">IF(Suiza_DE_CN_ID!A403="","",IFERROR(INDEX(Mercados!$C$2:$C$32,MATCH(Suiza_DE_CN_ID!B403,Mercados!$A$2:$A$32,0)),"Revisar Tscode"))</f>
        <v/>
      </c>
      <c r="B1053" s="1" t="str">
        <f aca="false">IF(Suiza_DE_CN_ID!A403="","",Suiza_DE_CN_ID!A403)</f>
        <v/>
      </c>
      <c r="C1053" s="1" t="str">
        <f aca="false">IF(Suiza_DE_CN_ID!A403="","",Suiza_DE_CN_ID!C403)</f>
        <v/>
      </c>
      <c r="D1053" s="1" t="str">
        <f aca="false">IF(Suiza_DE_CN_ID!A403="","",Suiza_DE_CN_ID!D403)</f>
        <v/>
      </c>
      <c r="E1053" s="1" t="str">
        <f aca="false">IF(Suiza_DE_CN_ID!A403="","",Suiza_DE_CN_ID!E403)</f>
        <v/>
      </c>
      <c r="F1053" s="1" t="str">
        <f aca="false">IF(Suiza_DE_CN_ID!A403="","",Suiza_DE_CN_ID!G403)</f>
        <v/>
      </c>
      <c r="I1053" s="1" t="str">
        <f aca="false">IF(Suiza_DE_CN_ID!A403="","",Suiza_DE_CN_ID!H403)</f>
        <v/>
      </c>
      <c r="J1053" s="1" t="str">
        <f aca="false">IF(Suiza_DE_CN_ID!A403="","",Suiza_DE_CN_ID!I403)</f>
        <v/>
      </c>
      <c r="K1053" s="1" t="str">
        <f aca="false">IF(Suiza_DE_CN_ID!A403="","",UPPER(Suiza_DE_CN_ID!J403))</f>
        <v/>
      </c>
      <c r="L1053" s="1" t="str">
        <f aca="false">IF(Suiza_DE_CN_ID!A403="","",IFERROR(INDEX(Gamma_Catalogo!$D$3:$D$1451,MATCH(Suiza_DE_CN_ID!D403,Gamma_Catalogo!$A$3:$A$1451,0)),"Revisar Ip Code"))</f>
        <v/>
      </c>
      <c r="M1053" s="1" t="str">
        <f aca="false">IF(Suiza_DE_CN_ID!A403="","",IFERROR(INDEX(Gamma_Catalogo!$C$3:$C$1451,MATCH(Suiza_DE_CN_ID!D403,Gamma_Catalogo!$A$3:$A$1451,0)),"Revisar Ip Code"))</f>
        <v/>
      </c>
      <c r="N1053" s="1" t="str">
        <f aca="false">IF(Suiza_DE_CN_ID!A403="","",IFERROR(INDEX(Gamma_Catalogo!$E$3:$E$1451,MATCH(Suiza_DE_CN_ID!D403,Gamma_Catalogo!$A$3:$A$1451,0)),"Revisar Ip Code"))</f>
        <v/>
      </c>
      <c r="O1053" s="1" t="str">
        <f aca="false">IF(Suiza_DE_CN_ID!A403="","","Suiza")</f>
        <v/>
      </c>
    </row>
    <row r="1054" customFormat="false" ht="15" hidden="false" customHeight="true" outlineLevel="0" collapsed="false">
      <c r="A1054" s="1" t="str">
        <f aca="false">IF(Suiza_DE_CN_ID!A404="","",IFERROR(INDEX(Mercados!$C$2:$C$32,MATCH(Suiza_DE_CN_ID!B404,Mercados!$A$2:$A$32,0)),"Revisar Tscode"))</f>
        <v/>
      </c>
      <c r="B1054" s="1" t="str">
        <f aca="false">IF(Suiza_DE_CN_ID!A404="","",Suiza_DE_CN_ID!A404)</f>
        <v/>
      </c>
      <c r="C1054" s="1" t="str">
        <f aca="false">IF(Suiza_DE_CN_ID!A404="","",Suiza_DE_CN_ID!C404)</f>
        <v/>
      </c>
      <c r="D1054" s="1" t="str">
        <f aca="false">IF(Suiza_DE_CN_ID!A404="","",Suiza_DE_CN_ID!D404)</f>
        <v/>
      </c>
      <c r="E1054" s="1" t="str">
        <f aca="false">IF(Suiza_DE_CN_ID!A404="","",Suiza_DE_CN_ID!E404)</f>
        <v/>
      </c>
      <c r="F1054" s="1" t="str">
        <f aca="false">IF(Suiza_DE_CN_ID!A404="","",Suiza_DE_CN_ID!G404)</f>
        <v/>
      </c>
      <c r="I1054" s="1" t="str">
        <f aca="false">IF(Suiza_DE_CN_ID!A404="","",Suiza_DE_CN_ID!H404)</f>
        <v/>
      </c>
      <c r="J1054" s="1" t="str">
        <f aca="false">IF(Suiza_DE_CN_ID!A404="","",Suiza_DE_CN_ID!I404)</f>
        <v/>
      </c>
      <c r="K1054" s="1" t="str">
        <f aca="false">IF(Suiza_DE_CN_ID!A404="","",UPPER(Suiza_DE_CN_ID!J404))</f>
        <v/>
      </c>
      <c r="L1054" s="1" t="str">
        <f aca="false">IF(Suiza_DE_CN_ID!A404="","",IFERROR(INDEX(Gamma_Catalogo!$D$3:$D$1451,MATCH(Suiza_DE_CN_ID!D404,Gamma_Catalogo!$A$3:$A$1451,0)),"Revisar Ip Code"))</f>
        <v/>
      </c>
      <c r="M1054" s="1" t="str">
        <f aca="false">IF(Suiza_DE_CN_ID!A404="","",IFERROR(INDEX(Gamma_Catalogo!$C$3:$C$1451,MATCH(Suiza_DE_CN_ID!D404,Gamma_Catalogo!$A$3:$A$1451,0)),"Revisar Ip Code"))</f>
        <v/>
      </c>
      <c r="N1054" s="1" t="str">
        <f aca="false">IF(Suiza_DE_CN_ID!A404="","",IFERROR(INDEX(Gamma_Catalogo!$E$3:$E$1451,MATCH(Suiza_DE_CN_ID!D404,Gamma_Catalogo!$A$3:$A$1451,0)),"Revisar Ip Code"))</f>
        <v/>
      </c>
      <c r="O1054" s="1" t="str">
        <f aca="false">IF(Suiza_DE_CN_ID!A404="","","Suiza")</f>
        <v/>
      </c>
    </row>
    <row r="1055" customFormat="false" ht="15" hidden="false" customHeight="true" outlineLevel="0" collapsed="false">
      <c r="A1055" s="1" t="str">
        <f aca="false">IF(Suiza_DE_CN_ID!A405="","",IFERROR(INDEX(Mercados!$C$2:$C$32,MATCH(Suiza_DE_CN_ID!B405,Mercados!$A$2:$A$32,0)),"Revisar Tscode"))</f>
        <v/>
      </c>
      <c r="B1055" s="1" t="str">
        <f aca="false">IF(Suiza_DE_CN_ID!A405="","",Suiza_DE_CN_ID!A405)</f>
        <v/>
      </c>
      <c r="C1055" s="1" t="str">
        <f aca="false">IF(Suiza_DE_CN_ID!A405="","",Suiza_DE_CN_ID!C405)</f>
        <v/>
      </c>
      <c r="D1055" s="1" t="str">
        <f aca="false">IF(Suiza_DE_CN_ID!A405="","",Suiza_DE_CN_ID!D405)</f>
        <v/>
      </c>
      <c r="E1055" s="1" t="str">
        <f aca="false">IF(Suiza_DE_CN_ID!A405="","",Suiza_DE_CN_ID!E405)</f>
        <v/>
      </c>
      <c r="F1055" s="1" t="str">
        <f aca="false">IF(Suiza_DE_CN_ID!A405="","",Suiza_DE_CN_ID!G405)</f>
        <v/>
      </c>
      <c r="I1055" s="1" t="str">
        <f aca="false">IF(Suiza_DE_CN_ID!A405="","",Suiza_DE_CN_ID!H405)</f>
        <v/>
      </c>
      <c r="J1055" s="1" t="str">
        <f aca="false">IF(Suiza_DE_CN_ID!A405="","",Suiza_DE_CN_ID!I405)</f>
        <v/>
      </c>
      <c r="K1055" s="1" t="str">
        <f aca="false">IF(Suiza_DE_CN_ID!A405="","",UPPER(Suiza_DE_CN_ID!J405))</f>
        <v/>
      </c>
      <c r="L1055" s="1" t="str">
        <f aca="false">IF(Suiza_DE_CN_ID!A405="","",IFERROR(INDEX(Gamma_Catalogo!$D$3:$D$1451,MATCH(Suiza_DE_CN_ID!D405,Gamma_Catalogo!$A$3:$A$1451,0)),"Revisar Ip Code"))</f>
        <v/>
      </c>
      <c r="M1055" s="1" t="str">
        <f aca="false">IF(Suiza_DE_CN_ID!A405="","",IFERROR(INDEX(Gamma_Catalogo!$C$3:$C$1451,MATCH(Suiza_DE_CN_ID!D405,Gamma_Catalogo!$A$3:$A$1451,0)),"Revisar Ip Code"))</f>
        <v/>
      </c>
      <c r="N1055" s="1" t="str">
        <f aca="false">IF(Suiza_DE_CN_ID!A405="","",IFERROR(INDEX(Gamma_Catalogo!$E$3:$E$1451,MATCH(Suiza_DE_CN_ID!D405,Gamma_Catalogo!$A$3:$A$1451,0)),"Revisar Ip Code"))</f>
        <v/>
      </c>
      <c r="O1055" s="1" t="str">
        <f aca="false">IF(Suiza_DE_CN_ID!A405="","","Suiza")</f>
        <v/>
      </c>
    </row>
    <row r="1056" customFormat="false" ht="15" hidden="false" customHeight="true" outlineLevel="0" collapsed="false">
      <c r="A1056" s="1" t="str">
        <f aca="false">IF(Suiza_DE_CN_ID!A406="","",IFERROR(INDEX(Mercados!$C$2:$C$32,MATCH(Suiza_DE_CN_ID!B406,Mercados!$A$2:$A$32,0)),"Revisar Tscode"))</f>
        <v/>
      </c>
      <c r="B1056" s="1" t="str">
        <f aca="false">IF(Suiza_DE_CN_ID!A406="","",Suiza_DE_CN_ID!A406)</f>
        <v/>
      </c>
      <c r="C1056" s="1" t="str">
        <f aca="false">IF(Suiza_DE_CN_ID!A406="","",Suiza_DE_CN_ID!C406)</f>
        <v/>
      </c>
      <c r="D1056" s="1" t="str">
        <f aca="false">IF(Suiza_DE_CN_ID!A406="","",Suiza_DE_CN_ID!D406)</f>
        <v/>
      </c>
      <c r="E1056" s="1" t="str">
        <f aca="false">IF(Suiza_DE_CN_ID!A406="","",Suiza_DE_CN_ID!E406)</f>
        <v/>
      </c>
      <c r="F1056" s="1" t="str">
        <f aca="false">IF(Suiza_DE_CN_ID!A406="","",Suiza_DE_CN_ID!G406)</f>
        <v/>
      </c>
      <c r="I1056" s="1" t="str">
        <f aca="false">IF(Suiza_DE_CN_ID!A406="","",Suiza_DE_CN_ID!H406)</f>
        <v/>
      </c>
      <c r="J1056" s="1" t="str">
        <f aca="false">IF(Suiza_DE_CN_ID!A406="","",Suiza_DE_CN_ID!I406)</f>
        <v/>
      </c>
      <c r="K1056" s="1" t="str">
        <f aca="false">IF(Suiza_DE_CN_ID!A406="","",UPPER(Suiza_DE_CN_ID!J406))</f>
        <v/>
      </c>
      <c r="L1056" s="1" t="str">
        <f aca="false">IF(Suiza_DE_CN_ID!A406="","",IFERROR(INDEX(Gamma_Catalogo!$D$3:$D$1451,MATCH(Suiza_DE_CN_ID!D406,Gamma_Catalogo!$A$3:$A$1451,0)),"Revisar Ip Code"))</f>
        <v/>
      </c>
      <c r="M1056" s="1" t="str">
        <f aca="false">IF(Suiza_DE_CN_ID!A406="","",IFERROR(INDEX(Gamma_Catalogo!$C$3:$C$1451,MATCH(Suiza_DE_CN_ID!D406,Gamma_Catalogo!$A$3:$A$1451,0)),"Revisar Ip Code"))</f>
        <v/>
      </c>
      <c r="N1056" s="1" t="str">
        <f aca="false">IF(Suiza_DE_CN_ID!A406="","",IFERROR(INDEX(Gamma_Catalogo!$E$3:$E$1451,MATCH(Suiza_DE_CN_ID!D406,Gamma_Catalogo!$A$3:$A$1451,0)),"Revisar Ip Code"))</f>
        <v/>
      </c>
      <c r="O1056" s="1" t="str">
        <f aca="false">IF(Suiza_DE_CN_ID!A406="","","Suiza")</f>
        <v/>
      </c>
    </row>
    <row r="1057" customFormat="false" ht="15" hidden="false" customHeight="true" outlineLevel="0" collapsed="false">
      <c r="A1057" s="1" t="str">
        <f aca="false">IF(Suiza_DE_CN_ID!A407="","",IFERROR(INDEX(Mercados!$C$2:$C$32,MATCH(Suiza_DE_CN_ID!B407,Mercados!$A$2:$A$32,0)),"Revisar Tscode"))</f>
        <v/>
      </c>
      <c r="B1057" s="1" t="str">
        <f aca="false">IF(Suiza_DE_CN_ID!A407="","",Suiza_DE_CN_ID!A407)</f>
        <v/>
      </c>
      <c r="C1057" s="1" t="str">
        <f aca="false">IF(Suiza_DE_CN_ID!A407="","",Suiza_DE_CN_ID!C407)</f>
        <v/>
      </c>
      <c r="D1057" s="1" t="str">
        <f aca="false">IF(Suiza_DE_CN_ID!A407="","",Suiza_DE_CN_ID!D407)</f>
        <v/>
      </c>
      <c r="E1057" s="1" t="str">
        <f aca="false">IF(Suiza_DE_CN_ID!A407="","",Suiza_DE_CN_ID!E407)</f>
        <v/>
      </c>
      <c r="F1057" s="1" t="str">
        <f aca="false">IF(Suiza_DE_CN_ID!A407="","",Suiza_DE_CN_ID!G407)</f>
        <v/>
      </c>
      <c r="I1057" s="1" t="str">
        <f aca="false">IF(Suiza_DE_CN_ID!A407="","",Suiza_DE_CN_ID!H407)</f>
        <v/>
      </c>
      <c r="J1057" s="1" t="str">
        <f aca="false">IF(Suiza_DE_CN_ID!A407="","",Suiza_DE_CN_ID!I407)</f>
        <v/>
      </c>
      <c r="K1057" s="1" t="str">
        <f aca="false">IF(Suiza_DE_CN_ID!A407="","",UPPER(Suiza_DE_CN_ID!J407))</f>
        <v/>
      </c>
      <c r="L1057" s="1" t="str">
        <f aca="false">IF(Suiza_DE_CN_ID!A407="","",IFERROR(INDEX(Gamma_Catalogo!$D$3:$D$1451,MATCH(Suiza_DE_CN_ID!D407,Gamma_Catalogo!$A$3:$A$1451,0)),"Revisar Ip Code"))</f>
        <v/>
      </c>
      <c r="M1057" s="1" t="str">
        <f aca="false">IF(Suiza_DE_CN_ID!A407="","",IFERROR(INDEX(Gamma_Catalogo!$C$3:$C$1451,MATCH(Suiza_DE_CN_ID!D407,Gamma_Catalogo!$A$3:$A$1451,0)),"Revisar Ip Code"))</f>
        <v/>
      </c>
      <c r="N1057" s="1" t="str">
        <f aca="false">IF(Suiza_DE_CN_ID!A407="","",IFERROR(INDEX(Gamma_Catalogo!$E$3:$E$1451,MATCH(Suiza_DE_CN_ID!D407,Gamma_Catalogo!$A$3:$A$1451,0)),"Revisar Ip Code"))</f>
        <v/>
      </c>
      <c r="O1057" s="1" t="str">
        <f aca="false">IF(Suiza_DE_CN_ID!A407="","","Suiza")</f>
        <v/>
      </c>
    </row>
    <row r="1058" customFormat="false" ht="15" hidden="false" customHeight="true" outlineLevel="0" collapsed="false">
      <c r="A1058" s="1" t="str">
        <f aca="false">IF(Suiza_DE_CN_ID!A408="","",IFERROR(INDEX(Mercados!$C$2:$C$32,MATCH(Suiza_DE_CN_ID!B408,Mercados!$A$2:$A$32,0)),"Revisar Tscode"))</f>
        <v/>
      </c>
      <c r="B1058" s="1" t="str">
        <f aca="false">IF(Suiza_DE_CN_ID!A408="","",Suiza_DE_CN_ID!A408)</f>
        <v/>
      </c>
      <c r="C1058" s="1" t="str">
        <f aca="false">IF(Suiza_DE_CN_ID!A408="","",Suiza_DE_CN_ID!C408)</f>
        <v/>
      </c>
      <c r="D1058" s="1" t="str">
        <f aca="false">IF(Suiza_DE_CN_ID!A408="","",Suiza_DE_CN_ID!D408)</f>
        <v/>
      </c>
      <c r="E1058" s="1" t="str">
        <f aca="false">IF(Suiza_DE_CN_ID!A408="","",Suiza_DE_CN_ID!E408)</f>
        <v/>
      </c>
      <c r="F1058" s="1" t="str">
        <f aca="false">IF(Suiza_DE_CN_ID!A408="","",Suiza_DE_CN_ID!G408)</f>
        <v/>
      </c>
      <c r="I1058" s="1" t="str">
        <f aca="false">IF(Suiza_DE_CN_ID!A408="","",Suiza_DE_CN_ID!H408)</f>
        <v/>
      </c>
      <c r="J1058" s="1" t="str">
        <f aca="false">IF(Suiza_DE_CN_ID!A408="","",Suiza_DE_CN_ID!I408)</f>
        <v/>
      </c>
      <c r="K1058" s="1" t="str">
        <f aca="false">IF(Suiza_DE_CN_ID!A408="","",UPPER(Suiza_DE_CN_ID!J408))</f>
        <v/>
      </c>
      <c r="L1058" s="1" t="str">
        <f aca="false">IF(Suiza_DE_CN_ID!A408="","",IFERROR(INDEX(Gamma_Catalogo!$D$3:$D$1451,MATCH(Suiza_DE_CN_ID!D408,Gamma_Catalogo!$A$3:$A$1451,0)),"Revisar Ip Code"))</f>
        <v/>
      </c>
      <c r="M1058" s="1" t="str">
        <f aca="false">IF(Suiza_DE_CN_ID!A408="","",IFERROR(INDEX(Gamma_Catalogo!$C$3:$C$1451,MATCH(Suiza_DE_CN_ID!D408,Gamma_Catalogo!$A$3:$A$1451,0)),"Revisar Ip Code"))</f>
        <v/>
      </c>
      <c r="N1058" s="1" t="str">
        <f aca="false">IF(Suiza_DE_CN_ID!A408="","",IFERROR(INDEX(Gamma_Catalogo!$E$3:$E$1451,MATCH(Suiza_DE_CN_ID!D408,Gamma_Catalogo!$A$3:$A$1451,0)),"Revisar Ip Code"))</f>
        <v/>
      </c>
      <c r="O1058" s="1" t="str">
        <f aca="false">IF(Suiza_DE_CN_ID!A408="","","Suiza")</f>
        <v/>
      </c>
    </row>
    <row r="1059" customFormat="false" ht="15" hidden="false" customHeight="true" outlineLevel="0" collapsed="false">
      <c r="A1059" s="1" t="str">
        <f aca="false">IF(Suiza_DE_CN_ID!A409="","",IFERROR(INDEX(Mercados!$C$2:$C$32,MATCH(Suiza_DE_CN_ID!B409,Mercados!$A$2:$A$32,0)),"Revisar Tscode"))</f>
        <v/>
      </c>
      <c r="B1059" s="1" t="str">
        <f aca="false">IF(Suiza_DE_CN_ID!A409="","",Suiza_DE_CN_ID!A409)</f>
        <v/>
      </c>
      <c r="C1059" s="1" t="str">
        <f aca="false">IF(Suiza_DE_CN_ID!A409="","",Suiza_DE_CN_ID!C409)</f>
        <v/>
      </c>
      <c r="D1059" s="1" t="str">
        <f aca="false">IF(Suiza_DE_CN_ID!A409="","",Suiza_DE_CN_ID!D409)</f>
        <v/>
      </c>
      <c r="E1059" s="1" t="str">
        <f aca="false">IF(Suiza_DE_CN_ID!A409="","",Suiza_DE_CN_ID!E409)</f>
        <v/>
      </c>
      <c r="F1059" s="1" t="str">
        <f aca="false">IF(Suiza_DE_CN_ID!A409="","",Suiza_DE_CN_ID!G409)</f>
        <v/>
      </c>
      <c r="I1059" s="1" t="str">
        <f aca="false">IF(Suiza_DE_CN_ID!A409="","",Suiza_DE_CN_ID!H409)</f>
        <v/>
      </c>
      <c r="J1059" s="1" t="str">
        <f aca="false">IF(Suiza_DE_CN_ID!A409="","",Suiza_DE_CN_ID!I409)</f>
        <v/>
      </c>
      <c r="K1059" s="1" t="str">
        <f aca="false">IF(Suiza_DE_CN_ID!A409="","",UPPER(Suiza_DE_CN_ID!J409))</f>
        <v/>
      </c>
      <c r="L1059" s="1" t="str">
        <f aca="false">IF(Suiza_DE_CN_ID!A409="","",IFERROR(INDEX(Gamma_Catalogo!$D$3:$D$1451,MATCH(Suiza_DE_CN_ID!D409,Gamma_Catalogo!$A$3:$A$1451,0)),"Revisar Ip Code"))</f>
        <v/>
      </c>
      <c r="M1059" s="1" t="str">
        <f aca="false">IF(Suiza_DE_CN_ID!A409="","",IFERROR(INDEX(Gamma_Catalogo!$C$3:$C$1451,MATCH(Suiza_DE_CN_ID!D409,Gamma_Catalogo!$A$3:$A$1451,0)),"Revisar Ip Code"))</f>
        <v/>
      </c>
      <c r="N1059" s="1" t="str">
        <f aca="false">IF(Suiza_DE_CN_ID!A409="","",IFERROR(INDEX(Gamma_Catalogo!$E$3:$E$1451,MATCH(Suiza_DE_CN_ID!D409,Gamma_Catalogo!$A$3:$A$1451,0)),"Revisar Ip Code"))</f>
        <v/>
      </c>
      <c r="O1059" s="1" t="str">
        <f aca="false">IF(Suiza_DE_CN_ID!A409="","","Suiza")</f>
        <v/>
      </c>
    </row>
    <row r="1060" customFormat="false" ht="15" hidden="false" customHeight="true" outlineLevel="0" collapsed="false">
      <c r="A1060" s="1" t="str">
        <f aca="false">IF(Suiza_DE_CN_ID!A410="","",IFERROR(INDEX(Mercados!$C$2:$C$32,MATCH(Suiza_DE_CN_ID!B410,Mercados!$A$2:$A$32,0)),"Revisar Tscode"))</f>
        <v/>
      </c>
      <c r="B1060" s="1" t="str">
        <f aca="false">IF(Suiza_DE_CN_ID!A410="","",Suiza_DE_CN_ID!A410)</f>
        <v/>
      </c>
      <c r="C1060" s="1" t="str">
        <f aca="false">IF(Suiza_DE_CN_ID!A410="","",Suiza_DE_CN_ID!C410)</f>
        <v/>
      </c>
      <c r="D1060" s="1" t="str">
        <f aca="false">IF(Suiza_DE_CN_ID!A410="","",Suiza_DE_CN_ID!D410)</f>
        <v/>
      </c>
      <c r="E1060" s="1" t="str">
        <f aca="false">IF(Suiza_DE_CN_ID!A410="","",Suiza_DE_CN_ID!E410)</f>
        <v/>
      </c>
      <c r="F1060" s="1" t="str">
        <f aca="false">IF(Suiza_DE_CN_ID!A410="","",Suiza_DE_CN_ID!G410)</f>
        <v/>
      </c>
      <c r="I1060" s="1" t="str">
        <f aca="false">IF(Suiza_DE_CN_ID!A410="","",Suiza_DE_CN_ID!H410)</f>
        <v/>
      </c>
      <c r="J1060" s="1" t="str">
        <f aca="false">IF(Suiza_DE_CN_ID!A410="","",Suiza_DE_CN_ID!I410)</f>
        <v/>
      </c>
      <c r="K1060" s="1" t="str">
        <f aca="false">IF(Suiza_DE_CN_ID!A410="","",UPPER(Suiza_DE_CN_ID!J410))</f>
        <v/>
      </c>
      <c r="L1060" s="1" t="str">
        <f aca="false">IF(Suiza_DE_CN_ID!A410="","",IFERROR(INDEX(Gamma_Catalogo!$D$3:$D$1451,MATCH(Suiza_DE_CN_ID!D410,Gamma_Catalogo!$A$3:$A$1451,0)),"Revisar Ip Code"))</f>
        <v/>
      </c>
      <c r="M1060" s="1" t="str">
        <f aca="false">IF(Suiza_DE_CN_ID!A410="","",IFERROR(INDEX(Gamma_Catalogo!$C$3:$C$1451,MATCH(Suiza_DE_CN_ID!D410,Gamma_Catalogo!$A$3:$A$1451,0)),"Revisar Ip Code"))</f>
        <v/>
      </c>
      <c r="N1060" s="1" t="str">
        <f aca="false">IF(Suiza_DE_CN_ID!A410="","",IFERROR(INDEX(Gamma_Catalogo!$E$3:$E$1451,MATCH(Suiza_DE_CN_ID!D410,Gamma_Catalogo!$A$3:$A$1451,0)),"Revisar Ip Code"))</f>
        <v/>
      </c>
      <c r="O1060" s="1" t="str">
        <f aca="false">IF(Suiza_DE_CN_ID!A410="","","Suiza")</f>
        <v/>
      </c>
    </row>
    <row r="1061" customFormat="false" ht="15" hidden="false" customHeight="true" outlineLevel="0" collapsed="false">
      <c r="A1061" s="1" t="str">
        <f aca="false">IF(Suiza_DE_CN_ID!A411="","",IFERROR(INDEX(Mercados!$C$2:$C$32,MATCH(Suiza_DE_CN_ID!B411,Mercados!$A$2:$A$32,0)),"Revisar Tscode"))</f>
        <v/>
      </c>
      <c r="B1061" s="1" t="str">
        <f aca="false">IF(Suiza_DE_CN_ID!A411="","",Suiza_DE_CN_ID!A411)</f>
        <v/>
      </c>
      <c r="C1061" s="1" t="str">
        <f aca="false">IF(Suiza_DE_CN_ID!A411="","",Suiza_DE_CN_ID!C411)</f>
        <v/>
      </c>
      <c r="D1061" s="1" t="str">
        <f aca="false">IF(Suiza_DE_CN_ID!A411="","",Suiza_DE_CN_ID!D411)</f>
        <v/>
      </c>
      <c r="E1061" s="1" t="str">
        <f aca="false">IF(Suiza_DE_CN_ID!A411="","",Suiza_DE_CN_ID!E411)</f>
        <v/>
      </c>
      <c r="F1061" s="1" t="str">
        <f aca="false">IF(Suiza_DE_CN_ID!A411="","",Suiza_DE_CN_ID!G411)</f>
        <v/>
      </c>
      <c r="I1061" s="1" t="str">
        <f aca="false">IF(Suiza_DE_CN_ID!A411="","",Suiza_DE_CN_ID!H411)</f>
        <v/>
      </c>
      <c r="J1061" s="1" t="str">
        <f aca="false">IF(Suiza_DE_CN_ID!A411="","",Suiza_DE_CN_ID!I411)</f>
        <v/>
      </c>
      <c r="K1061" s="1" t="str">
        <f aca="false">IF(Suiza_DE_CN_ID!A411="","",UPPER(Suiza_DE_CN_ID!J411))</f>
        <v/>
      </c>
      <c r="L1061" s="1" t="str">
        <f aca="false">IF(Suiza_DE_CN_ID!A411="","",IFERROR(INDEX(Gamma_Catalogo!$D$3:$D$1451,MATCH(Suiza_DE_CN_ID!D411,Gamma_Catalogo!$A$3:$A$1451,0)),"Revisar Ip Code"))</f>
        <v/>
      </c>
      <c r="M1061" s="1" t="str">
        <f aca="false">IF(Suiza_DE_CN_ID!A411="","",IFERROR(INDEX(Gamma_Catalogo!$C$3:$C$1451,MATCH(Suiza_DE_CN_ID!D411,Gamma_Catalogo!$A$3:$A$1451,0)),"Revisar Ip Code"))</f>
        <v/>
      </c>
      <c r="N1061" s="1" t="str">
        <f aca="false">IF(Suiza_DE_CN_ID!A411="","",IFERROR(INDEX(Gamma_Catalogo!$E$3:$E$1451,MATCH(Suiza_DE_CN_ID!D411,Gamma_Catalogo!$A$3:$A$1451,0)),"Revisar Ip Code"))</f>
        <v/>
      </c>
      <c r="O1061" s="1" t="str">
        <f aca="false">IF(Suiza_DE_CN_ID!A411="","","Suiza")</f>
        <v/>
      </c>
    </row>
    <row r="1062" customFormat="false" ht="15" hidden="false" customHeight="true" outlineLevel="0" collapsed="false">
      <c r="A1062" s="1" t="str">
        <f aca="false">IF(Suiza_DE_CN_ID!A412="","",IFERROR(INDEX(Mercados!$C$2:$C$32,MATCH(Suiza_DE_CN_ID!B412,Mercados!$A$2:$A$32,0)),"Revisar Tscode"))</f>
        <v/>
      </c>
      <c r="B1062" s="1" t="str">
        <f aca="false">IF(Suiza_DE_CN_ID!A412="","",Suiza_DE_CN_ID!A412)</f>
        <v/>
      </c>
      <c r="C1062" s="1" t="str">
        <f aca="false">IF(Suiza_DE_CN_ID!A412="","",Suiza_DE_CN_ID!C412)</f>
        <v/>
      </c>
      <c r="D1062" s="1" t="str">
        <f aca="false">IF(Suiza_DE_CN_ID!A412="","",Suiza_DE_CN_ID!D412)</f>
        <v/>
      </c>
      <c r="E1062" s="1" t="str">
        <f aca="false">IF(Suiza_DE_CN_ID!A412="","",Suiza_DE_CN_ID!E412)</f>
        <v/>
      </c>
      <c r="F1062" s="1" t="str">
        <f aca="false">IF(Suiza_DE_CN_ID!A412="","",Suiza_DE_CN_ID!G412)</f>
        <v/>
      </c>
      <c r="I1062" s="1" t="str">
        <f aca="false">IF(Suiza_DE_CN_ID!A412="","",Suiza_DE_CN_ID!H412)</f>
        <v/>
      </c>
      <c r="J1062" s="1" t="str">
        <f aca="false">IF(Suiza_DE_CN_ID!A412="","",Suiza_DE_CN_ID!I412)</f>
        <v/>
      </c>
      <c r="K1062" s="1" t="str">
        <f aca="false">IF(Suiza_DE_CN_ID!A412="","",UPPER(Suiza_DE_CN_ID!J412))</f>
        <v/>
      </c>
      <c r="L1062" s="1" t="str">
        <f aca="false">IF(Suiza_DE_CN_ID!A412="","",IFERROR(INDEX(Gamma_Catalogo!$D$3:$D$1451,MATCH(Suiza_DE_CN_ID!D412,Gamma_Catalogo!$A$3:$A$1451,0)),"Revisar Ip Code"))</f>
        <v/>
      </c>
      <c r="M1062" s="1" t="str">
        <f aca="false">IF(Suiza_DE_CN_ID!A412="","",IFERROR(INDEX(Gamma_Catalogo!$C$3:$C$1451,MATCH(Suiza_DE_CN_ID!D412,Gamma_Catalogo!$A$3:$A$1451,0)),"Revisar Ip Code"))</f>
        <v/>
      </c>
      <c r="N1062" s="1" t="str">
        <f aca="false">IF(Suiza_DE_CN_ID!A412="","",IFERROR(INDEX(Gamma_Catalogo!$E$3:$E$1451,MATCH(Suiza_DE_CN_ID!D412,Gamma_Catalogo!$A$3:$A$1451,0)),"Revisar Ip Code"))</f>
        <v/>
      </c>
      <c r="O1062" s="1" t="str">
        <f aca="false">IF(Suiza_DE_CN_ID!A412="","","Suiza")</f>
        <v/>
      </c>
    </row>
    <row r="1063" customFormat="false" ht="15" hidden="false" customHeight="true" outlineLevel="0" collapsed="false">
      <c r="A1063" s="1" t="str">
        <f aca="false">IF(Suiza_DE_CN_ID!A413="","",IFERROR(INDEX(Mercados!$C$2:$C$32,MATCH(Suiza_DE_CN_ID!B413,Mercados!$A$2:$A$32,0)),"Revisar Tscode"))</f>
        <v/>
      </c>
      <c r="B1063" s="1" t="str">
        <f aca="false">IF(Suiza_DE_CN_ID!A413="","",Suiza_DE_CN_ID!A413)</f>
        <v/>
      </c>
      <c r="C1063" s="1" t="str">
        <f aca="false">IF(Suiza_DE_CN_ID!A413="","",Suiza_DE_CN_ID!C413)</f>
        <v/>
      </c>
      <c r="D1063" s="1" t="str">
        <f aca="false">IF(Suiza_DE_CN_ID!A413="","",Suiza_DE_CN_ID!D413)</f>
        <v/>
      </c>
      <c r="E1063" s="1" t="str">
        <f aca="false">IF(Suiza_DE_CN_ID!A413="","",Suiza_DE_CN_ID!E413)</f>
        <v/>
      </c>
      <c r="F1063" s="1" t="str">
        <f aca="false">IF(Suiza_DE_CN_ID!A413="","",Suiza_DE_CN_ID!G413)</f>
        <v/>
      </c>
      <c r="I1063" s="1" t="str">
        <f aca="false">IF(Suiza_DE_CN_ID!A413="","",Suiza_DE_CN_ID!H413)</f>
        <v/>
      </c>
      <c r="J1063" s="1" t="str">
        <f aca="false">IF(Suiza_DE_CN_ID!A413="","",Suiza_DE_CN_ID!I413)</f>
        <v/>
      </c>
      <c r="K1063" s="1" t="str">
        <f aca="false">IF(Suiza_DE_CN_ID!A413="","",UPPER(Suiza_DE_CN_ID!J413))</f>
        <v/>
      </c>
      <c r="L1063" s="1" t="str">
        <f aca="false">IF(Suiza_DE_CN_ID!A413="","",IFERROR(INDEX(Gamma_Catalogo!$D$3:$D$1451,MATCH(Suiza_DE_CN_ID!D413,Gamma_Catalogo!$A$3:$A$1451,0)),"Revisar Ip Code"))</f>
        <v/>
      </c>
      <c r="M1063" s="1" t="str">
        <f aca="false">IF(Suiza_DE_CN_ID!A413="","",IFERROR(INDEX(Gamma_Catalogo!$C$3:$C$1451,MATCH(Suiza_DE_CN_ID!D413,Gamma_Catalogo!$A$3:$A$1451,0)),"Revisar Ip Code"))</f>
        <v/>
      </c>
      <c r="N1063" s="1" t="str">
        <f aca="false">IF(Suiza_DE_CN_ID!A413="","",IFERROR(INDEX(Gamma_Catalogo!$E$3:$E$1451,MATCH(Suiza_DE_CN_ID!D413,Gamma_Catalogo!$A$3:$A$1451,0)),"Revisar Ip Code"))</f>
        <v/>
      </c>
      <c r="O1063" s="1" t="str">
        <f aca="false">IF(Suiza_DE_CN_ID!A413="","","Suiza")</f>
        <v/>
      </c>
    </row>
    <row r="1064" customFormat="false" ht="15" hidden="false" customHeight="true" outlineLevel="0" collapsed="false">
      <c r="A1064" s="1" t="str">
        <f aca="false">IF(Suiza_DE_CN_ID!A414="","",IFERROR(INDEX(Mercados!$C$2:$C$32,MATCH(Suiza_DE_CN_ID!B414,Mercados!$A$2:$A$32,0)),"Revisar Tscode"))</f>
        <v/>
      </c>
      <c r="B1064" s="1" t="str">
        <f aca="false">IF(Suiza_DE_CN_ID!A414="","",Suiza_DE_CN_ID!A414)</f>
        <v/>
      </c>
      <c r="C1064" s="1" t="str">
        <f aca="false">IF(Suiza_DE_CN_ID!A414="","",Suiza_DE_CN_ID!C414)</f>
        <v/>
      </c>
      <c r="D1064" s="1" t="str">
        <f aca="false">IF(Suiza_DE_CN_ID!A414="","",Suiza_DE_CN_ID!D414)</f>
        <v/>
      </c>
      <c r="E1064" s="1" t="str">
        <f aca="false">IF(Suiza_DE_CN_ID!A414="","",Suiza_DE_CN_ID!E414)</f>
        <v/>
      </c>
      <c r="F1064" s="1" t="str">
        <f aca="false">IF(Suiza_DE_CN_ID!A414="","",Suiza_DE_CN_ID!G414)</f>
        <v/>
      </c>
      <c r="I1064" s="1" t="str">
        <f aca="false">IF(Suiza_DE_CN_ID!A414="","",Suiza_DE_CN_ID!H414)</f>
        <v/>
      </c>
      <c r="J1064" s="1" t="str">
        <f aca="false">IF(Suiza_DE_CN_ID!A414="","",Suiza_DE_CN_ID!I414)</f>
        <v/>
      </c>
      <c r="K1064" s="1" t="str">
        <f aca="false">IF(Suiza_DE_CN_ID!A414="","",UPPER(Suiza_DE_CN_ID!J414))</f>
        <v/>
      </c>
      <c r="L1064" s="1" t="str">
        <f aca="false">IF(Suiza_DE_CN_ID!A414="","",IFERROR(INDEX(Gamma_Catalogo!$D$3:$D$1451,MATCH(Suiza_DE_CN_ID!D414,Gamma_Catalogo!$A$3:$A$1451,0)),"Revisar Ip Code"))</f>
        <v/>
      </c>
      <c r="M1064" s="1" t="str">
        <f aca="false">IF(Suiza_DE_CN_ID!A414="","",IFERROR(INDEX(Gamma_Catalogo!$C$3:$C$1451,MATCH(Suiza_DE_CN_ID!D414,Gamma_Catalogo!$A$3:$A$1451,0)),"Revisar Ip Code"))</f>
        <v/>
      </c>
      <c r="N1064" s="1" t="str">
        <f aca="false">IF(Suiza_DE_CN_ID!A414="","",IFERROR(INDEX(Gamma_Catalogo!$E$3:$E$1451,MATCH(Suiza_DE_CN_ID!D414,Gamma_Catalogo!$A$3:$A$1451,0)),"Revisar Ip Code"))</f>
        <v/>
      </c>
      <c r="O1064" s="1" t="str">
        <f aca="false">IF(Suiza_DE_CN_ID!A414="","","Suiza")</f>
        <v/>
      </c>
    </row>
    <row r="1065" customFormat="false" ht="15" hidden="false" customHeight="true" outlineLevel="0" collapsed="false">
      <c r="A1065" s="1" t="str">
        <f aca="false">IF(Suiza_DE_CN_ID!A415="","",IFERROR(INDEX(Mercados!$C$2:$C$32,MATCH(Suiza_DE_CN_ID!B415,Mercados!$A$2:$A$32,0)),"Revisar Tscode"))</f>
        <v/>
      </c>
      <c r="B1065" s="1" t="str">
        <f aca="false">IF(Suiza_DE_CN_ID!A415="","",Suiza_DE_CN_ID!A415)</f>
        <v/>
      </c>
      <c r="C1065" s="1" t="str">
        <f aca="false">IF(Suiza_DE_CN_ID!A415="","",Suiza_DE_CN_ID!C415)</f>
        <v/>
      </c>
      <c r="D1065" s="1" t="str">
        <f aca="false">IF(Suiza_DE_CN_ID!A415="","",Suiza_DE_CN_ID!D415)</f>
        <v/>
      </c>
      <c r="E1065" s="1" t="str">
        <f aca="false">IF(Suiza_DE_CN_ID!A415="","",Suiza_DE_CN_ID!E415)</f>
        <v/>
      </c>
      <c r="F1065" s="1" t="str">
        <f aca="false">IF(Suiza_DE_CN_ID!A415="","",Suiza_DE_CN_ID!G415)</f>
        <v/>
      </c>
      <c r="I1065" s="1" t="str">
        <f aca="false">IF(Suiza_DE_CN_ID!A415="","",Suiza_DE_CN_ID!H415)</f>
        <v/>
      </c>
      <c r="J1065" s="1" t="str">
        <f aca="false">IF(Suiza_DE_CN_ID!A415="","",Suiza_DE_CN_ID!I415)</f>
        <v/>
      </c>
      <c r="K1065" s="1" t="str">
        <f aca="false">IF(Suiza_DE_CN_ID!A415="","",UPPER(Suiza_DE_CN_ID!J415))</f>
        <v/>
      </c>
      <c r="L1065" s="1" t="str">
        <f aca="false">IF(Suiza_DE_CN_ID!A415="","",IFERROR(INDEX(Gamma_Catalogo!$D$3:$D$1451,MATCH(Suiza_DE_CN_ID!D415,Gamma_Catalogo!$A$3:$A$1451,0)),"Revisar Ip Code"))</f>
        <v/>
      </c>
      <c r="M1065" s="1" t="str">
        <f aca="false">IF(Suiza_DE_CN_ID!A415="","",IFERROR(INDEX(Gamma_Catalogo!$C$3:$C$1451,MATCH(Suiza_DE_CN_ID!D415,Gamma_Catalogo!$A$3:$A$1451,0)),"Revisar Ip Code"))</f>
        <v/>
      </c>
      <c r="N1065" s="1" t="str">
        <f aca="false">IF(Suiza_DE_CN_ID!A415="","",IFERROR(INDEX(Gamma_Catalogo!$E$3:$E$1451,MATCH(Suiza_DE_CN_ID!D415,Gamma_Catalogo!$A$3:$A$1451,0)),"Revisar Ip Code"))</f>
        <v/>
      </c>
      <c r="O1065" s="1" t="str">
        <f aca="false">IF(Suiza_DE_CN_ID!A415="","","Suiza")</f>
        <v/>
      </c>
    </row>
    <row r="1066" customFormat="false" ht="15" hidden="false" customHeight="true" outlineLevel="0" collapsed="false">
      <c r="A1066" s="1" t="str">
        <f aca="false">IF(Suiza_DE_CN_ID!A416="","",IFERROR(INDEX(Mercados!$C$2:$C$32,MATCH(Suiza_DE_CN_ID!B416,Mercados!$A$2:$A$32,0)),"Revisar Tscode"))</f>
        <v/>
      </c>
      <c r="B1066" s="1" t="str">
        <f aca="false">IF(Suiza_DE_CN_ID!A416="","",Suiza_DE_CN_ID!A416)</f>
        <v/>
      </c>
      <c r="C1066" s="1" t="str">
        <f aca="false">IF(Suiza_DE_CN_ID!A416="","",Suiza_DE_CN_ID!C416)</f>
        <v/>
      </c>
      <c r="D1066" s="1" t="str">
        <f aca="false">IF(Suiza_DE_CN_ID!A416="","",Suiza_DE_CN_ID!D416)</f>
        <v/>
      </c>
      <c r="E1066" s="1" t="str">
        <f aca="false">IF(Suiza_DE_CN_ID!A416="","",Suiza_DE_CN_ID!E416)</f>
        <v/>
      </c>
      <c r="F1066" s="1" t="str">
        <f aca="false">IF(Suiza_DE_CN_ID!A416="","",Suiza_DE_CN_ID!G416)</f>
        <v/>
      </c>
      <c r="I1066" s="1" t="str">
        <f aca="false">IF(Suiza_DE_CN_ID!A416="","",Suiza_DE_CN_ID!H416)</f>
        <v/>
      </c>
      <c r="J1066" s="1" t="str">
        <f aca="false">IF(Suiza_DE_CN_ID!A416="","",Suiza_DE_CN_ID!I416)</f>
        <v/>
      </c>
      <c r="K1066" s="1" t="str">
        <f aca="false">IF(Suiza_DE_CN_ID!A416="","",UPPER(Suiza_DE_CN_ID!J416))</f>
        <v/>
      </c>
      <c r="L1066" s="1" t="str">
        <f aca="false">IF(Suiza_DE_CN_ID!A416="","",IFERROR(INDEX(Gamma_Catalogo!$D$3:$D$1451,MATCH(Suiza_DE_CN_ID!D416,Gamma_Catalogo!$A$3:$A$1451,0)),"Revisar Ip Code"))</f>
        <v/>
      </c>
      <c r="M1066" s="1" t="str">
        <f aca="false">IF(Suiza_DE_CN_ID!A416="","",IFERROR(INDEX(Gamma_Catalogo!$C$3:$C$1451,MATCH(Suiza_DE_CN_ID!D416,Gamma_Catalogo!$A$3:$A$1451,0)),"Revisar Ip Code"))</f>
        <v/>
      </c>
      <c r="N1066" s="1" t="str">
        <f aca="false">IF(Suiza_DE_CN_ID!A416="","",IFERROR(INDEX(Gamma_Catalogo!$E$3:$E$1451,MATCH(Suiza_DE_CN_ID!D416,Gamma_Catalogo!$A$3:$A$1451,0)),"Revisar Ip Code"))</f>
        <v/>
      </c>
      <c r="O1066" s="1" t="str">
        <f aca="false">IF(Suiza_DE_CN_ID!A416="","","Suiza")</f>
        <v/>
      </c>
    </row>
    <row r="1067" customFormat="false" ht="15" hidden="false" customHeight="true" outlineLevel="0" collapsed="false">
      <c r="A1067" s="1" t="str">
        <f aca="false">IF(Suiza_DE_CN_ID!A417="","",IFERROR(INDEX(Mercados!$C$2:$C$32,MATCH(Suiza_DE_CN_ID!B417,Mercados!$A$2:$A$32,0)),"Revisar Tscode"))</f>
        <v/>
      </c>
      <c r="B1067" s="1" t="str">
        <f aca="false">IF(Suiza_DE_CN_ID!A417="","",Suiza_DE_CN_ID!A417)</f>
        <v/>
      </c>
      <c r="C1067" s="1" t="str">
        <f aca="false">IF(Suiza_DE_CN_ID!A417="","",Suiza_DE_CN_ID!C417)</f>
        <v/>
      </c>
      <c r="D1067" s="1" t="str">
        <f aca="false">IF(Suiza_DE_CN_ID!A417="","",Suiza_DE_CN_ID!D417)</f>
        <v/>
      </c>
      <c r="E1067" s="1" t="str">
        <f aca="false">IF(Suiza_DE_CN_ID!A417="","",Suiza_DE_CN_ID!E417)</f>
        <v/>
      </c>
      <c r="F1067" s="1" t="str">
        <f aca="false">IF(Suiza_DE_CN_ID!A417="","",Suiza_DE_CN_ID!G417)</f>
        <v/>
      </c>
      <c r="I1067" s="1" t="str">
        <f aca="false">IF(Suiza_DE_CN_ID!A417="","",Suiza_DE_CN_ID!H417)</f>
        <v/>
      </c>
      <c r="J1067" s="1" t="str">
        <f aca="false">IF(Suiza_DE_CN_ID!A417="","",Suiza_DE_CN_ID!I417)</f>
        <v/>
      </c>
      <c r="K1067" s="1" t="str">
        <f aca="false">IF(Suiza_DE_CN_ID!A417="","",UPPER(Suiza_DE_CN_ID!J417))</f>
        <v/>
      </c>
      <c r="L1067" s="1" t="str">
        <f aca="false">IF(Suiza_DE_CN_ID!A417="","",IFERROR(INDEX(Gamma_Catalogo!$D$3:$D$1451,MATCH(Suiza_DE_CN_ID!D417,Gamma_Catalogo!$A$3:$A$1451,0)),"Revisar Ip Code"))</f>
        <v/>
      </c>
      <c r="M1067" s="1" t="str">
        <f aca="false">IF(Suiza_DE_CN_ID!A417="","",IFERROR(INDEX(Gamma_Catalogo!$C$3:$C$1451,MATCH(Suiza_DE_CN_ID!D417,Gamma_Catalogo!$A$3:$A$1451,0)),"Revisar Ip Code"))</f>
        <v/>
      </c>
      <c r="N1067" s="1" t="str">
        <f aca="false">IF(Suiza_DE_CN_ID!A417="","",IFERROR(INDEX(Gamma_Catalogo!$E$3:$E$1451,MATCH(Suiza_DE_CN_ID!D417,Gamma_Catalogo!$A$3:$A$1451,0)),"Revisar Ip Code"))</f>
        <v/>
      </c>
      <c r="O1067" s="1" t="str">
        <f aca="false">IF(Suiza_DE_CN_ID!A417="","","Suiza")</f>
        <v/>
      </c>
    </row>
    <row r="1068" customFormat="false" ht="15" hidden="false" customHeight="true" outlineLevel="0" collapsed="false">
      <c r="A1068" s="1" t="str">
        <f aca="false">IF(Suiza_DE_CN_ID!A418="","",IFERROR(INDEX(Mercados!$C$2:$C$32,MATCH(Suiza_DE_CN_ID!B418,Mercados!$A$2:$A$32,0)),"Revisar Tscode"))</f>
        <v/>
      </c>
      <c r="B1068" s="1" t="str">
        <f aca="false">IF(Suiza_DE_CN_ID!A418="","",Suiza_DE_CN_ID!A418)</f>
        <v/>
      </c>
      <c r="C1068" s="1" t="str">
        <f aca="false">IF(Suiza_DE_CN_ID!A418="","",Suiza_DE_CN_ID!C418)</f>
        <v/>
      </c>
      <c r="D1068" s="1" t="str">
        <f aca="false">IF(Suiza_DE_CN_ID!A418="","",Suiza_DE_CN_ID!D418)</f>
        <v/>
      </c>
      <c r="E1068" s="1" t="str">
        <f aca="false">IF(Suiza_DE_CN_ID!A418="","",Suiza_DE_CN_ID!E418)</f>
        <v/>
      </c>
      <c r="F1068" s="1" t="str">
        <f aca="false">IF(Suiza_DE_CN_ID!A418="","",Suiza_DE_CN_ID!G418)</f>
        <v/>
      </c>
      <c r="I1068" s="1" t="str">
        <f aca="false">IF(Suiza_DE_CN_ID!A418="","",Suiza_DE_CN_ID!H418)</f>
        <v/>
      </c>
      <c r="J1068" s="1" t="str">
        <f aca="false">IF(Suiza_DE_CN_ID!A418="","",Suiza_DE_CN_ID!I418)</f>
        <v/>
      </c>
      <c r="K1068" s="1" t="str">
        <f aca="false">IF(Suiza_DE_CN_ID!A418="","",UPPER(Suiza_DE_CN_ID!J418))</f>
        <v/>
      </c>
      <c r="L1068" s="1" t="str">
        <f aca="false">IF(Suiza_DE_CN_ID!A418="","",IFERROR(INDEX(Gamma_Catalogo!$D$3:$D$1451,MATCH(Suiza_DE_CN_ID!D418,Gamma_Catalogo!$A$3:$A$1451,0)),"Revisar Ip Code"))</f>
        <v/>
      </c>
      <c r="M1068" s="1" t="str">
        <f aca="false">IF(Suiza_DE_CN_ID!A418="","",IFERROR(INDEX(Gamma_Catalogo!$C$3:$C$1451,MATCH(Suiza_DE_CN_ID!D418,Gamma_Catalogo!$A$3:$A$1451,0)),"Revisar Ip Code"))</f>
        <v/>
      </c>
      <c r="N1068" s="1" t="str">
        <f aca="false">IF(Suiza_DE_CN_ID!A418="","",IFERROR(INDEX(Gamma_Catalogo!$E$3:$E$1451,MATCH(Suiza_DE_CN_ID!D418,Gamma_Catalogo!$A$3:$A$1451,0)),"Revisar Ip Code"))</f>
        <v/>
      </c>
      <c r="O1068" s="1" t="str">
        <f aca="false">IF(Suiza_DE_CN_ID!A418="","","Suiza")</f>
        <v/>
      </c>
    </row>
    <row r="1069" customFormat="false" ht="15" hidden="false" customHeight="true" outlineLevel="0" collapsed="false">
      <c r="A1069" s="1" t="str">
        <f aca="false">IF(Suiza_DE_CN_ID!A419="","",IFERROR(INDEX(Mercados!$C$2:$C$32,MATCH(Suiza_DE_CN_ID!B419,Mercados!$A$2:$A$32,0)),"Revisar Tscode"))</f>
        <v/>
      </c>
      <c r="B1069" s="1" t="str">
        <f aca="false">IF(Suiza_DE_CN_ID!A419="","",Suiza_DE_CN_ID!A419)</f>
        <v/>
      </c>
      <c r="C1069" s="1" t="str">
        <f aca="false">IF(Suiza_DE_CN_ID!A419="","",Suiza_DE_CN_ID!C419)</f>
        <v/>
      </c>
      <c r="D1069" s="1" t="str">
        <f aca="false">IF(Suiza_DE_CN_ID!A419="","",Suiza_DE_CN_ID!D419)</f>
        <v/>
      </c>
      <c r="E1069" s="1" t="str">
        <f aca="false">IF(Suiza_DE_CN_ID!A419="","",Suiza_DE_CN_ID!E419)</f>
        <v/>
      </c>
      <c r="F1069" s="1" t="str">
        <f aca="false">IF(Suiza_DE_CN_ID!A419="","",Suiza_DE_CN_ID!G419)</f>
        <v/>
      </c>
      <c r="I1069" s="1" t="str">
        <f aca="false">IF(Suiza_DE_CN_ID!A419="","",Suiza_DE_CN_ID!H419)</f>
        <v/>
      </c>
      <c r="J1069" s="1" t="str">
        <f aca="false">IF(Suiza_DE_CN_ID!A419="","",Suiza_DE_CN_ID!I419)</f>
        <v/>
      </c>
      <c r="K1069" s="1" t="str">
        <f aca="false">IF(Suiza_DE_CN_ID!A419="","",UPPER(Suiza_DE_CN_ID!J419))</f>
        <v/>
      </c>
      <c r="L1069" s="1" t="str">
        <f aca="false">IF(Suiza_DE_CN_ID!A419="","",IFERROR(INDEX(Gamma_Catalogo!$D$3:$D$1451,MATCH(Suiza_DE_CN_ID!D419,Gamma_Catalogo!$A$3:$A$1451,0)),"Revisar Ip Code"))</f>
        <v/>
      </c>
      <c r="M1069" s="1" t="str">
        <f aca="false">IF(Suiza_DE_CN_ID!A419="","",IFERROR(INDEX(Gamma_Catalogo!$C$3:$C$1451,MATCH(Suiza_DE_CN_ID!D419,Gamma_Catalogo!$A$3:$A$1451,0)),"Revisar Ip Code"))</f>
        <v/>
      </c>
      <c r="N1069" s="1" t="str">
        <f aca="false">IF(Suiza_DE_CN_ID!A419="","",IFERROR(INDEX(Gamma_Catalogo!$E$3:$E$1451,MATCH(Suiza_DE_CN_ID!D419,Gamma_Catalogo!$A$3:$A$1451,0)),"Revisar Ip Code"))</f>
        <v/>
      </c>
      <c r="O1069" s="1" t="str">
        <f aca="false">IF(Suiza_DE_CN_ID!A419="","","Suiza")</f>
        <v/>
      </c>
    </row>
    <row r="1070" customFormat="false" ht="15" hidden="false" customHeight="true" outlineLevel="0" collapsed="false">
      <c r="A1070" s="1" t="str">
        <f aca="false">IF(Suiza_DE_CN_ID!A420="","",IFERROR(INDEX(Mercados!$C$2:$C$32,MATCH(Suiza_DE_CN_ID!B420,Mercados!$A$2:$A$32,0)),"Revisar Tscode"))</f>
        <v/>
      </c>
      <c r="B1070" s="1" t="str">
        <f aca="false">IF(Suiza_DE_CN_ID!A420="","",Suiza_DE_CN_ID!A420)</f>
        <v/>
      </c>
      <c r="C1070" s="1" t="str">
        <f aca="false">IF(Suiza_DE_CN_ID!A420="","",Suiza_DE_CN_ID!C420)</f>
        <v/>
      </c>
      <c r="D1070" s="1" t="str">
        <f aca="false">IF(Suiza_DE_CN_ID!A420="","",Suiza_DE_CN_ID!D420)</f>
        <v/>
      </c>
      <c r="E1070" s="1" t="str">
        <f aca="false">IF(Suiza_DE_CN_ID!A420="","",Suiza_DE_CN_ID!E420)</f>
        <v/>
      </c>
      <c r="F1070" s="1" t="str">
        <f aca="false">IF(Suiza_DE_CN_ID!A420="","",Suiza_DE_CN_ID!G420)</f>
        <v/>
      </c>
      <c r="I1070" s="1" t="str">
        <f aca="false">IF(Suiza_DE_CN_ID!A420="","",Suiza_DE_CN_ID!H420)</f>
        <v/>
      </c>
      <c r="J1070" s="1" t="str">
        <f aca="false">IF(Suiza_DE_CN_ID!A420="","",Suiza_DE_CN_ID!I420)</f>
        <v/>
      </c>
      <c r="K1070" s="1" t="str">
        <f aca="false">IF(Suiza_DE_CN_ID!A420="","",UPPER(Suiza_DE_CN_ID!J420))</f>
        <v/>
      </c>
      <c r="L1070" s="1" t="str">
        <f aca="false">IF(Suiza_DE_CN_ID!A420="","",IFERROR(INDEX(Gamma_Catalogo!$D$3:$D$1451,MATCH(Suiza_DE_CN_ID!D420,Gamma_Catalogo!$A$3:$A$1451,0)),"Revisar Ip Code"))</f>
        <v/>
      </c>
      <c r="M1070" s="1" t="str">
        <f aca="false">IF(Suiza_DE_CN_ID!A420="","",IFERROR(INDEX(Gamma_Catalogo!$C$3:$C$1451,MATCH(Suiza_DE_CN_ID!D420,Gamma_Catalogo!$A$3:$A$1451,0)),"Revisar Ip Code"))</f>
        <v/>
      </c>
      <c r="N1070" s="1" t="str">
        <f aca="false">IF(Suiza_DE_CN_ID!A420="","",IFERROR(INDEX(Gamma_Catalogo!$E$3:$E$1451,MATCH(Suiza_DE_CN_ID!D420,Gamma_Catalogo!$A$3:$A$1451,0)),"Revisar Ip Code"))</f>
        <v/>
      </c>
      <c r="O1070" s="1" t="str">
        <f aca="false">IF(Suiza_DE_CN_ID!A420="","","Suiza")</f>
        <v/>
      </c>
    </row>
    <row r="1071" customFormat="false" ht="15" hidden="false" customHeight="true" outlineLevel="0" collapsed="false">
      <c r="A1071" s="1" t="str">
        <f aca="false">IF(Suiza_DE_CN_ID!A421="","",IFERROR(INDEX(Mercados!$C$2:$C$32,MATCH(Suiza_DE_CN_ID!B421,Mercados!$A$2:$A$32,0)),"Revisar Tscode"))</f>
        <v/>
      </c>
      <c r="B1071" s="1" t="str">
        <f aca="false">IF(Suiza_DE_CN_ID!A421="","",Suiza_DE_CN_ID!A421)</f>
        <v/>
      </c>
      <c r="C1071" s="1" t="str">
        <f aca="false">IF(Suiza_DE_CN_ID!A421="","",Suiza_DE_CN_ID!C421)</f>
        <v/>
      </c>
      <c r="D1071" s="1" t="str">
        <f aca="false">IF(Suiza_DE_CN_ID!A421="","",Suiza_DE_CN_ID!D421)</f>
        <v/>
      </c>
      <c r="E1071" s="1" t="str">
        <f aca="false">IF(Suiza_DE_CN_ID!A421="","",Suiza_DE_CN_ID!E421)</f>
        <v/>
      </c>
      <c r="F1071" s="1" t="str">
        <f aca="false">IF(Suiza_DE_CN_ID!A421="","",Suiza_DE_CN_ID!G421)</f>
        <v/>
      </c>
      <c r="I1071" s="1" t="str">
        <f aca="false">IF(Suiza_DE_CN_ID!A421="","",Suiza_DE_CN_ID!H421)</f>
        <v/>
      </c>
      <c r="J1071" s="1" t="str">
        <f aca="false">IF(Suiza_DE_CN_ID!A421="","",Suiza_DE_CN_ID!I421)</f>
        <v/>
      </c>
      <c r="K1071" s="1" t="str">
        <f aca="false">IF(Suiza_DE_CN_ID!A421="","",UPPER(Suiza_DE_CN_ID!J421))</f>
        <v/>
      </c>
      <c r="L1071" s="1" t="str">
        <f aca="false">IF(Suiza_DE_CN_ID!A421="","",IFERROR(INDEX(Gamma_Catalogo!$D$3:$D$1451,MATCH(Suiza_DE_CN_ID!D421,Gamma_Catalogo!$A$3:$A$1451,0)),"Revisar Ip Code"))</f>
        <v/>
      </c>
      <c r="M1071" s="1" t="str">
        <f aca="false">IF(Suiza_DE_CN_ID!A421="","",IFERROR(INDEX(Gamma_Catalogo!$C$3:$C$1451,MATCH(Suiza_DE_CN_ID!D421,Gamma_Catalogo!$A$3:$A$1451,0)),"Revisar Ip Code"))</f>
        <v/>
      </c>
      <c r="N1071" s="1" t="str">
        <f aca="false">IF(Suiza_DE_CN_ID!A421="","",IFERROR(INDEX(Gamma_Catalogo!$E$3:$E$1451,MATCH(Suiza_DE_CN_ID!D421,Gamma_Catalogo!$A$3:$A$1451,0)),"Revisar Ip Code"))</f>
        <v/>
      </c>
      <c r="O1071" s="1" t="str">
        <f aca="false">IF(Suiza_DE_CN_ID!A421="","","Suiza")</f>
        <v/>
      </c>
    </row>
    <row r="1072" customFormat="false" ht="15" hidden="false" customHeight="true" outlineLevel="0" collapsed="false">
      <c r="A1072" s="1" t="str">
        <f aca="false">IF(Suiza_DE_CN_ID!A422="","",IFERROR(INDEX(Mercados!$C$2:$C$32,MATCH(Suiza_DE_CN_ID!B422,Mercados!$A$2:$A$32,0)),"Revisar Tscode"))</f>
        <v/>
      </c>
      <c r="B1072" s="1" t="str">
        <f aca="false">IF(Suiza_DE_CN_ID!A422="","",Suiza_DE_CN_ID!A422)</f>
        <v/>
      </c>
      <c r="C1072" s="1" t="str">
        <f aca="false">IF(Suiza_DE_CN_ID!A422="","",Suiza_DE_CN_ID!C422)</f>
        <v/>
      </c>
      <c r="D1072" s="1" t="str">
        <f aca="false">IF(Suiza_DE_CN_ID!A422="","",Suiza_DE_CN_ID!D422)</f>
        <v/>
      </c>
      <c r="E1072" s="1" t="str">
        <f aca="false">IF(Suiza_DE_CN_ID!A422="","",Suiza_DE_CN_ID!E422)</f>
        <v/>
      </c>
      <c r="F1072" s="1" t="str">
        <f aca="false">IF(Suiza_DE_CN_ID!A422="","",Suiza_DE_CN_ID!G422)</f>
        <v/>
      </c>
      <c r="I1072" s="1" t="str">
        <f aca="false">IF(Suiza_DE_CN_ID!A422="","",Suiza_DE_CN_ID!H422)</f>
        <v/>
      </c>
      <c r="J1072" s="1" t="str">
        <f aca="false">IF(Suiza_DE_CN_ID!A422="","",Suiza_DE_CN_ID!I422)</f>
        <v/>
      </c>
      <c r="K1072" s="1" t="str">
        <f aca="false">IF(Suiza_DE_CN_ID!A422="","",UPPER(Suiza_DE_CN_ID!J422))</f>
        <v/>
      </c>
      <c r="L1072" s="1" t="str">
        <f aca="false">IF(Suiza_DE_CN_ID!A422="","",IFERROR(INDEX(Gamma_Catalogo!$D$3:$D$1451,MATCH(Suiza_DE_CN_ID!D422,Gamma_Catalogo!$A$3:$A$1451,0)),"Revisar Ip Code"))</f>
        <v/>
      </c>
      <c r="M1072" s="1" t="str">
        <f aca="false">IF(Suiza_DE_CN_ID!A422="","",IFERROR(INDEX(Gamma_Catalogo!$C$3:$C$1451,MATCH(Suiza_DE_CN_ID!D422,Gamma_Catalogo!$A$3:$A$1451,0)),"Revisar Ip Code"))</f>
        <v/>
      </c>
      <c r="N1072" s="1" t="str">
        <f aca="false">IF(Suiza_DE_CN_ID!A422="","",IFERROR(INDEX(Gamma_Catalogo!$E$3:$E$1451,MATCH(Suiza_DE_CN_ID!D422,Gamma_Catalogo!$A$3:$A$1451,0)),"Revisar Ip Code"))</f>
        <v/>
      </c>
      <c r="O1072" s="1" t="str">
        <f aca="false">IF(Suiza_DE_CN_ID!A422="","","Suiza")</f>
        <v/>
      </c>
    </row>
    <row r="1073" customFormat="false" ht="15" hidden="false" customHeight="true" outlineLevel="0" collapsed="false">
      <c r="A1073" s="1" t="str">
        <f aca="false">IF(Suiza_DE_CN_ID!A423="","",IFERROR(INDEX(Mercados!$C$2:$C$32,MATCH(Suiza_DE_CN_ID!B423,Mercados!$A$2:$A$32,0)),"Revisar Tscode"))</f>
        <v/>
      </c>
      <c r="B1073" s="1" t="str">
        <f aca="false">IF(Suiza_DE_CN_ID!A423="","",Suiza_DE_CN_ID!A423)</f>
        <v/>
      </c>
      <c r="C1073" s="1" t="str">
        <f aca="false">IF(Suiza_DE_CN_ID!A423="","",Suiza_DE_CN_ID!C423)</f>
        <v/>
      </c>
      <c r="D1073" s="1" t="str">
        <f aca="false">IF(Suiza_DE_CN_ID!A423="","",Suiza_DE_CN_ID!D423)</f>
        <v/>
      </c>
      <c r="E1073" s="1" t="str">
        <f aca="false">IF(Suiza_DE_CN_ID!A423="","",Suiza_DE_CN_ID!E423)</f>
        <v/>
      </c>
      <c r="F1073" s="1" t="str">
        <f aca="false">IF(Suiza_DE_CN_ID!A423="","",Suiza_DE_CN_ID!G423)</f>
        <v/>
      </c>
      <c r="I1073" s="1" t="str">
        <f aca="false">IF(Suiza_DE_CN_ID!A423="","",Suiza_DE_CN_ID!H423)</f>
        <v/>
      </c>
      <c r="J1073" s="1" t="str">
        <f aca="false">IF(Suiza_DE_CN_ID!A423="","",Suiza_DE_CN_ID!I423)</f>
        <v/>
      </c>
      <c r="K1073" s="1" t="str">
        <f aca="false">IF(Suiza_DE_CN_ID!A423="","",UPPER(Suiza_DE_CN_ID!J423))</f>
        <v/>
      </c>
      <c r="L1073" s="1" t="str">
        <f aca="false">IF(Suiza_DE_CN_ID!A423="","",IFERROR(INDEX(Gamma_Catalogo!$D$3:$D$1451,MATCH(Suiza_DE_CN_ID!D423,Gamma_Catalogo!$A$3:$A$1451,0)),"Revisar Ip Code"))</f>
        <v/>
      </c>
      <c r="M1073" s="1" t="str">
        <f aca="false">IF(Suiza_DE_CN_ID!A423="","",IFERROR(INDEX(Gamma_Catalogo!$C$3:$C$1451,MATCH(Suiza_DE_CN_ID!D423,Gamma_Catalogo!$A$3:$A$1451,0)),"Revisar Ip Code"))</f>
        <v/>
      </c>
      <c r="N1073" s="1" t="str">
        <f aca="false">IF(Suiza_DE_CN_ID!A423="","",IFERROR(INDEX(Gamma_Catalogo!$E$3:$E$1451,MATCH(Suiza_DE_CN_ID!D423,Gamma_Catalogo!$A$3:$A$1451,0)),"Revisar Ip Code"))</f>
        <v/>
      </c>
      <c r="O1073" s="1" t="str">
        <f aca="false">IF(Suiza_DE_CN_ID!A423="","","Suiza")</f>
        <v/>
      </c>
    </row>
    <row r="1074" customFormat="false" ht="15" hidden="false" customHeight="true" outlineLevel="0" collapsed="false">
      <c r="A1074" s="1" t="str">
        <f aca="false">IF(Suiza_DE_CN_ID!A424="","",IFERROR(INDEX(Mercados!$C$2:$C$32,MATCH(Suiza_DE_CN_ID!B424,Mercados!$A$2:$A$32,0)),"Revisar Tscode"))</f>
        <v/>
      </c>
      <c r="B1074" s="1" t="str">
        <f aca="false">IF(Suiza_DE_CN_ID!A424="","",Suiza_DE_CN_ID!A424)</f>
        <v/>
      </c>
      <c r="C1074" s="1" t="str">
        <f aca="false">IF(Suiza_DE_CN_ID!A424="","",Suiza_DE_CN_ID!C424)</f>
        <v/>
      </c>
      <c r="D1074" s="1" t="str">
        <f aca="false">IF(Suiza_DE_CN_ID!A424="","",Suiza_DE_CN_ID!D424)</f>
        <v/>
      </c>
      <c r="E1074" s="1" t="str">
        <f aca="false">IF(Suiza_DE_CN_ID!A424="","",Suiza_DE_CN_ID!E424)</f>
        <v/>
      </c>
      <c r="F1074" s="1" t="str">
        <f aca="false">IF(Suiza_DE_CN_ID!A424="","",Suiza_DE_CN_ID!G424)</f>
        <v/>
      </c>
      <c r="I1074" s="1" t="str">
        <f aca="false">IF(Suiza_DE_CN_ID!A424="","",Suiza_DE_CN_ID!H424)</f>
        <v/>
      </c>
      <c r="J1074" s="1" t="str">
        <f aca="false">IF(Suiza_DE_CN_ID!A424="","",Suiza_DE_CN_ID!I424)</f>
        <v/>
      </c>
      <c r="K1074" s="1" t="str">
        <f aca="false">IF(Suiza_DE_CN_ID!A424="","",UPPER(Suiza_DE_CN_ID!J424))</f>
        <v/>
      </c>
      <c r="L1074" s="1" t="str">
        <f aca="false">IF(Suiza_DE_CN_ID!A424="","",IFERROR(INDEX(Gamma_Catalogo!$D$3:$D$1451,MATCH(Suiza_DE_CN_ID!D424,Gamma_Catalogo!$A$3:$A$1451,0)),"Revisar Ip Code"))</f>
        <v/>
      </c>
      <c r="M1074" s="1" t="str">
        <f aca="false">IF(Suiza_DE_CN_ID!A424="","",IFERROR(INDEX(Gamma_Catalogo!$C$3:$C$1451,MATCH(Suiza_DE_CN_ID!D424,Gamma_Catalogo!$A$3:$A$1451,0)),"Revisar Ip Code"))</f>
        <v/>
      </c>
      <c r="N1074" s="1" t="str">
        <f aca="false">IF(Suiza_DE_CN_ID!A424="","",IFERROR(INDEX(Gamma_Catalogo!$E$3:$E$1451,MATCH(Suiza_DE_CN_ID!D424,Gamma_Catalogo!$A$3:$A$1451,0)),"Revisar Ip Code"))</f>
        <v/>
      </c>
      <c r="O1074" s="1" t="str">
        <f aca="false">IF(Suiza_DE_CN_ID!A424="","","Suiza")</f>
        <v/>
      </c>
    </row>
    <row r="1075" customFormat="false" ht="15" hidden="false" customHeight="true" outlineLevel="0" collapsed="false">
      <c r="A1075" s="1" t="str">
        <f aca="false">IF(Suiza_DE_CN_ID!A425="","",IFERROR(INDEX(Mercados!$C$2:$C$32,MATCH(Suiza_DE_CN_ID!B425,Mercados!$A$2:$A$32,0)),"Revisar Tscode"))</f>
        <v/>
      </c>
      <c r="B1075" s="1" t="str">
        <f aca="false">IF(Suiza_DE_CN_ID!A425="","",Suiza_DE_CN_ID!A425)</f>
        <v/>
      </c>
      <c r="C1075" s="1" t="str">
        <f aca="false">IF(Suiza_DE_CN_ID!A425="","",Suiza_DE_CN_ID!C425)</f>
        <v/>
      </c>
      <c r="D1075" s="1" t="str">
        <f aca="false">IF(Suiza_DE_CN_ID!A425="","",Suiza_DE_CN_ID!D425)</f>
        <v/>
      </c>
      <c r="E1075" s="1" t="str">
        <f aca="false">IF(Suiza_DE_CN_ID!A425="","",Suiza_DE_CN_ID!E425)</f>
        <v/>
      </c>
      <c r="F1075" s="1" t="str">
        <f aca="false">IF(Suiza_DE_CN_ID!A425="","",Suiza_DE_CN_ID!G425)</f>
        <v/>
      </c>
      <c r="I1075" s="1" t="str">
        <f aca="false">IF(Suiza_DE_CN_ID!A425="","",Suiza_DE_CN_ID!H425)</f>
        <v/>
      </c>
      <c r="J1075" s="1" t="str">
        <f aca="false">IF(Suiza_DE_CN_ID!A425="","",Suiza_DE_CN_ID!I425)</f>
        <v/>
      </c>
      <c r="K1075" s="1" t="str">
        <f aca="false">IF(Suiza_DE_CN_ID!A425="","",UPPER(Suiza_DE_CN_ID!J425))</f>
        <v/>
      </c>
      <c r="L1075" s="1" t="str">
        <f aca="false">IF(Suiza_DE_CN_ID!A425="","",IFERROR(INDEX(Gamma_Catalogo!$D$3:$D$1451,MATCH(Suiza_DE_CN_ID!D425,Gamma_Catalogo!$A$3:$A$1451,0)),"Revisar Ip Code"))</f>
        <v/>
      </c>
      <c r="M1075" s="1" t="str">
        <f aca="false">IF(Suiza_DE_CN_ID!A425="","",IFERROR(INDEX(Gamma_Catalogo!$C$3:$C$1451,MATCH(Suiza_DE_CN_ID!D425,Gamma_Catalogo!$A$3:$A$1451,0)),"Revisar Ip Code"))</f>
        <v/>
      </c>
      <c r="N1075" s="1" t="str">
        <f aca="false">IF(Suiza_DE_CN_ID!A425="","",IFERROR(INDEX(Gamma_Catalogo!$E$3:$E$1451,MATCH(Suiza_DE_CN_ID!D425,Gamma_Catalogo!$A$3:$A$1451,0)),"Revisar Ip Code"))</f>
        <v/>
      </c>
      <c r="O1075" s="1" t="str">
        <f aca="false">IF(Suiza_DE_CN_ID!A425="","","Suiza")</f>
        <v/>
      </c>
    </row>
    <row r="1076" customFormat="false" ht="15" hidden="false" customHeight="true" outlineLevel="0" collapsed="false">
      <c r="A1076" s="1" t="str">
        <f aca="false">IF(Suiza_DE_CN_ID!A426="","",IFERROR(INDEX(Mercados!$C$2:$C$32,MATCH(Suiza_DE_CN_ID!B426,Mercados!$A$2:$A$32,0)),"Revisar Tscode"))</f>
        <v/>
      </c>
      <c r="B1076" s="1" t="str">
        <f aca="false">IF(Suiza_DE_CN_ID!A426="","",Suiza_DE_CN_ID!A426)</f>
        <v/>
      </c>
      <c r="C1076" s="1" t="str">
        <f aca="false">IF(Suiza_DE_CN_ID!A426="","",Suiza_DE_CN_ID!C426)</f>
        <v/>
      </c>
      <c r="D1076" s="1" t="str">
        <f aca="false">IF(Suiza_DE_CN_ID!A426="","",Suiza_DE_CN_ID!D426)</f>
        <v/>
      </c>
      <c r="E1076" s="1" t="str">
        <f aca="false">IF(Suiza_DE_CN_ID!A426="","",Suiza_DE_CN_ID!E426)</f>
        <v/>
      </c>
      <c r="F1076" s="1" t="str">
        <f aca="false">IF(Suiza_DE_CN_ID!A426="","",Suiza_DE_CN_ID!G426)</f>
        <v/>
      </c>
      <c r="I1076" s="1" t="str">
        <f aca="false">IF(Suiza_DE_CN_ID!A426="","",Suiza_DE_CN_ID!H426)</f>
        <v/>
      </c>
      <c r="J1076" s="1" t="str">
        <f aca="false">IF(Suiza_DE_CN_ID!A426="","",Suiza_DE_CN_ID!I426)</f>
        <v/>
      </c>
      <c r="K1076" s="1" t="str">
        <f aca="false">IF(Suiza_DE_CN_ID!A426="","",UPPER(Suiza_DE_CN_ID!J426))</f>
        <v/>
      </c>
      <c r="L1076" s="1" t="str">
        <f aca="false">IF(Suiza_DE_CN_ID!A426="","",IFERROR(INDEX(Gamma_Catalogo!$D$3:$D$1451,MATCH(Suiza_DE_CN_ID!D426,Gamma_Catalogo!$A$3:$A$1451,0)),"Revisar Ip Code"))</f>
        <v/>
      </c>
      <c r="M1076" s="1" t="str">
        <f aca="false">IF(Suiza_DE_CN_ID!A426="","",IFERROR(INDEX(Gamma_Catalogo!$C$3:$C$1451,MATCH(Suiza_DE_CN_ID!D426,Gamma_Catalogo!$A$3:$A$1451,0)),"Revisar Ip Code"))</f>
        <v/>
      </c>
      <c r="N1076" s="1" t="str">
        <f aca="false">IF(Suiza_DE_CN_ID!A426="","",IFERROR(INDEX(Gamma_Catalogo!$E$3:$E$1451,MATCH(Suiza_DE_CN_ID!D426,Gamma_Catalogo!$A$3:$A$1451,0)),"Revisar Ip Code"))</f>
        <v/>
      </c>
      <c r="O1076" s="1" t="str">
        <f aca="false">IF(Suiza_DE_CN_ID!A426="","","Suiza")</f>
        <v/>
      </c>
    </row>
    <row r="1077" customFormat="false" ht="15" hidden="false" customHeight="true" outlineLevel="0" collapsed="false">
      <c r="A1077" s="1" t="str">
        <f aca="false">IF(Suiza_DE_CN_ID!A427="","",IFERROR(INDEX(Mercados!$C$2:$C$32,MATCH(Suiza_DE_CN_ID!B427,Mercados!$A$2:$A$32,0)),"Revisar Tscode"))</f>
        <v/>
      </c>
      <c r="B1077" s="1" t="str">
        <f aca="false">IF(Suiza_DE_CN_ID!A427="","",Suiza_DE_CN_ID!A427)</f>
        <v/>
      </c>
      <c r="C1077" s="1" t="str">
        <f aca="false">IF(Suiza_DE_CN_ID!A427="","",Suiza_DE_CN_ID!C427)</f>
        <v/>
      </c>
      <c r="D1077" s="1" t="str">
        <f aca="false">IF(Suiza_DE_CN_ID!A427="","",Suiza_DE_CN_ID!D427)</f>
        <v/>
      </c>
      <c r="E1077" s="1" t="str">
        <f aca="false">IF(Suiza_DE_CN_ID!A427="","",Suiza_DE_CN_ID!E427)</f>
        <v/>
      </c>
      <c r="F1077" s="1" t="str">
        <f aca="false">IF(Suiza_DE_CN_ID!A427="","",Suiza_DE_CN_ID!G427)</f>
        <v/>
      </c>
      <c r="I1077" s="1" t="str">
        <f aca="false">IF(Suiza_DE_CN_ID!A427="","",Suiza_DE_CN_ID!H427)</f>
        <v/>
      </c>
      <c r="J1077" s="1" t="str">
        <f aca="false">IF(Suiza_DE_CN_ID!A427="","",Suiza_DE_CN_ID!I427)</f>
        <v/>
      </c>
      <c r="K1077" s="1" t="str">
        <f aca="false">IF(Suiza_DE_CN_ID!A427="","",UPPER(Suiza_DE_CN_ID!J427))</f>
        <v/>
      </c>
      <c r="L1077" s="1" t="str">
        <f aca="false">IF(Suiza_DE_CN_ID!A427="","",IFERROR(INDEX(Gamma_Catalogo!$D$3:$D$1451,MATCH(Suiza_DE_CN_ID!D427,Gamma_Catalogo!$A$3:$A$1451,0)),"Revisar Ip Code"))</f>
        <v/>
      </c>
      <c r="M1077" s="1" t="str">
        <f aca="false">IF(Suiza_DE_CN_ID!A427="","",IFERROR(INDEX(Gamma_Catalogo!$C$3:$C$1451,MATCH(Suiza_DE_CN_ID!D427,Gamma_Catalogo!$A$3:$A$1451,0)),"Revisar Ip Code"))</f>
        <v/>
      </c>
      <c r="N1077" s="1" t="str">
        <f aca="false">IF(Suiza_DE_CN_ID!A427="","",IFERROR(INDEX(Gamma_Catalogo!$E$3:$E$1451,MATCH(Suiza_DE_CN_ID!D427,Gamma_Catalogo!$A$3:$A$1451,0)),"Revisar Ip Code"))</f>
        <v/>
      </c>
      <c r="O1077" s="1" t="str">
        <f aca="false">IF(Suiza_DE_CN_ID!A427="","","Suiza")</f>
        <v/>
      </c>
    </row>
    <row r="1078" customFormat="false" ht="15" hidden="false" customHeight="true" outlineLevel="0" collapsed="false">
      <c r="A1078" s="1" t="str">
        <f aca="false">IF(Suiza_DE_CN_ID!A428="","",IFERROR(INDEX(Mercados!$C$2:$C$32,MATCH(Suiza_DE_CN_ID!B428,Mercados!$A$2:$A$32,0)),"Revisar Tscode"))</f>
        <v/>
      </c>
      <c r="B1078" s="1" t="str">
        <f aca="false">IF(Suiza_DE_CN_ID!A428="","",Suiza_DE_CN_ID!A428)</f>
        <v/>
      </c>
      <c r="C1078" s="1" t="str">
        <f aca="false">IF(Suiza_DE_CN_ID!A428="","",Suiza_DE_CN_ID!C428)</f>
        <v/>
      </c>
      <c r="D1078" s="1" t="str">
        <f aca="false">IF(Suiza_DE_CN_ID!A428="","",Suiza_DE_CN_ID!D428)</f>
        <v/>
      </c>
      <c r="E1078" s="1" t="str">
        <f aca="false">IF(Suiza_DE_CN_ID!A428="","",Suiza_DE_CN_ID!E428)</f>
        <v/>
      </c>
      <c r="F1078" s="1" t="str">
        <f aca="false">IF(Suiza_DE_CN_ID!A428="","",Suiza_DE_CN_ID!G428)</f>
        <v/>
      </c>
      <c r="I1078" s="1" t="str">
        <f aca="false">IF(Suiza_DE_CN_ID!A428="","",Suiza_DE_CN_ID!H428)</f>
        <v/>
      </c>
      <c r="J1078" s="1" t="str">
        <f aca="false">IF(Suiza_DE_CN_ID!A428="","",Suiza_DE_CN_ID!I428)</f>
        <v/>
      </c>
      <c r="K1078" s="1" t="str">
        <f aca="false">IF(Suiza_DE_CN_ID!A428="","",UPPER(Suiza_DE_CN_ID!J428))</f>
        <v/>
      </c>
      <c r="L1078" s="1" t="str">
        <f aca="false">IF(Suiza_DE_CN_ID!A428="","",IFERROR(INDEX(Gamma_Catalogo!$D$3:$D$1451,MATCH(Suiza_DE_CN_ID!D428,Gamma_Catalogo!$A$3:$A$1451,0)),"Revisar Ip Code"))</f>
        <v/>
      </c>
      <c r="M1078" s="1" t="str">
        <f aca="false">IF(Suiza_DE_CN_ID!A428="","",IFERROR(INDEX(Gamma_Catalogo!$C$3:$C$1451,MATCH(Suiza_DE_CN_ID!D428,Gamma_Catalogo!$A$3:$A$1451,0)),"Revisar Ip Code"))</f>
        <v/>
      </c>
      <c r="N1078" s="1" t="str">
        <f aca="false">IF(Suiza_DE_CN_ID!A428="","",IFERROR(INDEX(Gamma_Catalogo!$E$3:$E$1451,MATCH(Suiza_DE_CN_ID!D428,Gamma_Catalogo!$A$3:$A$1451,0)),"Revisar Ip Code"))</f>
        <v/>
      </c>
      <c r="O1078" s="1" t="str">
        <f aca="false">IF(Suiza_DE_CN_ID!A428="","","Suiza")</f>
        <v/>
      </c>
    </row>
    <row r="1079" customFormat="false" ht="15" hidden="false" customHeight="true" outlineLevel="0" collapsed="false">
      <c r="A1079" s="1" t="str">
        <f aca="false">IF(Suiza_DE_CN_ID!A429="","",IFERROR(INDEX(Mercados!$C$2:$C$32,MATCH(Suiza_DE_CN_ID!B429,Mercados!$A$2:$A$32,0)),"Revisar Tscode"))</f>
        <v/>
      </c>
      <c r="B1079" s="1" t="str">
        <f aca="false">IF(Suiza_DE_CN_ID!A429="","",Suiza_DE_CN_ID!A429)</f>
        <v/>
      </c>
      <c r="C1079" s="1" t="str">
        <f aca="false">IF(Suiza_DE_CN_ID!A429="","",Suiza_DE_CN_ID!C429)</f>
        <v/>
      </c>
      <c r="D1079" s="1" t="str">
        <f aca="false">IF(Suiza_DE_CN_ID!A429="","",Suiza_DE_CN_ID!D429)</f>
        <v/>
      </c>
      <c r="E1079" s="1" t="str">
        <f aca="false">IF(Suiza_DE_CN_ID!A429="","",Suiza_DE_CN_ID!E429)</f>
        <v/>
      </c>
      <c r="F1079" s="1" t="str">
        <f aca="false">IF(Suiza_DE_CN_ID!A429="","",Suiza_DE_CN_ID!G429)</f>
        <v/>
      </c>
      <c r="I1079" s="1" t="str">
        <f aca="false">IF(Suiza_DE_CN_ID!A429="","",Suiza_DE_CN_ID!H429)</f>
        <v/>
      </c>
      <c r="J1079" s="1" t="str">
        <f aca="false">IF(Suiza_DE_CN_ID!A429="","",Suiza_DE_CN_ID!I429)</f>
        <v/>
      </c>
      <c r="K1079" s="1" t="str">
        <f aca="false">IF(Suiza_DE_CN_ID!A429="","",UPPER(Suiza_DE_CN_ID!J429))</f>
        <v/>
      </c>
      <c r="L1079" s="1" t="str">
        <f aca="false">IF(Suiza_DE_CN_ID!A429="","",IFERROR(INDEX(Gamma_Catalogo!$D$3:$D$1451,MATCH(Suiza_DE_CN_ID!D429,Gamma_Catalogo!$A$3:$A$1451,0)),"Revisar Ip Code"))</f>
        <v/>
      </c>
      <c r="M1079" s="1" t="str">
        <f aca="false">IF(Suiza_DE_CN_ID!A429="","",IFERROR(INDEX(Gamma_Catalogo!$C$3:$C$1451,MATCH(Suiza_DE_CN_ID!D429,Gamma_Catalogo!$A$3:$A$1451,0)),"Revisar Ip Code"))</f>
        <v/>
      </c>
      <c r="N1079" s="1" t="str">
        <f aca="false">IF(Suiza_DE_CN_ID!A429="","",IFERROR(INDEX(Gamma_Catalogo!$E$3:$E$1451,MATCH(Suiza_DE_CN_ID!D429,Gamma_Catalogo!$A$3:$A$1451,0)),"Revisar Ip Code"))</f>
        <v/>
      </c>
      <c r="O1079" s="1" t="str">
        <f aca="false">IF(Suiza_DE_CN_ID!A429="","","Suiza")</f>
        <v/>
      </c>
    </row>
    <row r="1080" customFormat="false" ht="15" hidden="false" customHeight="true" outlineLevel="0" collapsed="false">
      <c r="A1080" s="1" t="str">
        <f aca="false">IF(Suiza_DE_CN_ID!A430="","",IFERROR(INDEX(Mercados!$C$2:$C$32,MATCH(Suiza_DE_CN_ID!B430,Mercados!$A$2:$A$32,0)),"Revisar Tscode"))</f>
        <v/>
      </c>
      <c r="B1080" s="1" t="str">
        <f aca="false">IF(Suiza_DE_CN_ID!A430="","",Suiza_DE_CN_ID!A430)</f>
        <v/>
      </c>
      <c r="C1080" s="1" t="str">
        <f aca="false">IF(Suiza_DE_CN_ID!A430="","",Suiza_DE_CN_ID!C430)</f>
        <v/>
      </c>
      <c r="D1080" s="1" t="str">
        <f aca="false">IF(Suiza_DE_CN_ID!A430="","",Suiza_DE_CN_ID!D430)</f>
        <v/>
      </c>
      <c r="E1080" s="1" t="str">
        <f aca="false">IF(Suiza_DE_CN_ID!A430="","",Suiza_DE_CN_ID!E430)</f>
        <v/>
      </c>
      <c r="F1080" s="1" t="str">
        <f aca="false">IF(Suiza_DE_CN_ID!A430="","",Suiza_DE_CN_ID!G430)</f>
        <v/>
      </c>
      <c r="I1080" s="1" t="str">
        <f aca="false">IF(Suiza_DE_CN_ID!A430="","",Suiza_DE_CN_ID!H430)</f>
        <v/>
      </c>
      <c r="J1080" s="1" t="str">
        <f aca="false">IF(Suiza_DE_CN_ID!A430="","",Suiza_DE_CN_ID!I430)</f>
        <v/>
      </c>
      <c r="K1080" s="1" t="str">
        <f aca="false">IF(Suiza_DE_CN_ID!A430="","",UPPER(Suiza_DE_CN_ID!J430))</f>
        <v/>
      </c>
      <c r="L1080" s="1" t="str">
        <f aca="false">IF(Suiza_DE_CN_ID!A430="","",IFERROR(INDEX(Gamma_Catalogo!$D$3:$D$1451,MATCH(Suiza_DE_CN_ID!D430,Gamma_Catalogo!$A$3:$A$1451,0)),"Revisar Ip Code"))</f>
        <v/>
      </c>
      <c r="M1080" s="1" t="str">
        <f aca="false">IF(Suiza_DE_CN_ID!A430="","",IFERROR(INDEX(Gamma_Catalogo!$C$3:$C$1451,MATCH(Suiza_DE_CN_ID!D430,Gamma_Catalogo!$A$3:$A$1451,0)),"Revisar Ip Code"))</f>
        <v/>
      </c>
      <c r="N1080" s="1" t="str">
        <f aca="false">IF(Suiza_DE_CN_ID!A430="","",IFERROR(INDEX(Gamma_Catalogo!$E$3:$E$1451,MATCH(Suiza_DE_CN_ID!D430,Gamma_Catalogo!$A$3:$A$1451,0)),"Revisar Ip Code"))</f>
        <v/>
      </c>
      <c r="O1080" s="1" t="str">
        <f aca="false">IF(Suiza_DE_CN_ID!A430="","","Suiza")</f>
        <v/>
      </c>
    </row>
    <row r="1081" customFormat="false" ht="15" hidden="false" customHeight="true" outlineLevel="0" collapsed="false">
      <c r="A1081" s="1" t="str">
        <f aca="false">IF(Suiza_DE_CN_ID!A431="","",IFERROR(INDEX(Mercados!$C$2:$C$32,MATCH(Suiza_DE_CN_ID!B431,Mercados!$A$2:$A$32,0)),"Revisar Tscode"))</f>
        <v/>
      </c>
      <c r="B1081" s="1" t="str">
        <f aca="false">IF(Suiza_DE_CN_ID!A431="","",Suiza_DE_CN_ID!A431)</f>
        <v/>
      </c>
      <c r="C1081" s="1" t="str">
        <f aca="false">IF(Suiza_DE_CN_ID!A431="","",Suiza_DE_CN_ID!C431)</f>
        <v/>
      </c>
      <c r="D1081" s="1" t="str">
        <f aca="false">IF(Suiza_DE_CN_ID!A431="","",Suiza_DE_CN_ID!D431)</f>
        <v/>
      </c>
      <c r="E1081" s="1" t="str">
        <f aca="false">IF(Suiza_DE_CN_ID!A431="","",Suiza_DE_CN_ID!E431)</f>
        <v/>
      </c>
      <c r="F1081" s="1" t="str">
        <f aca="false">IF(Suiza_DE_CN_ID!A431="","",Suiza_DE_CN_ID!G431)</f>
        <v/>
      </c>
      <c r="I1081" s="1" t="str">
        <f aca="false">IF(Suiza_DE_CN_ID!A431="","",Suiza_DE_CN_ID!H431)</f>
        <v/>
      </c>
      <c r="J1081" s="1" t="str">
        <f aca="false">IF(Suiza_DE_CN_ID!A431="","",Suiza_DE_CN_ID!I431)</f>
        <v/>
      </c>
      <c r="K1081" s="1" t="str">
        <f aca="false">IF(Suiza_DE_CN_ID!A431="","",UPPER(Suiza_DE_CN_ID!J431))</f>
        <v/>
      </c>
      <c r="L1081" s="1" t="str">
        <f aca="false">IF(Suiza_DE_CN_ID!A431="","",IFERROR(INDEX(Gamma_Catalogo!$D$3:$D$1451,MATCH(Suiza_DE_CN_ID!D431,Gamma_Catalogo!$A$3:$A$1451,0)),"Revisar Ip Code"))</f>
        <v/>
      </c>
      <c r="M1081" s="1" t="str">
        <f aca="false">IF(Suiza_DE_CN_ID!A431="","",IFERROR(INDEX(Gamma_Catalogo!$C$3:$C$1451,MATCH(Suiza_DE_CN_ID!D431,Gamma_Catalogo!$A$3:$A$1451,0)),"Revisar Ip Code"))</f>
        <v/>
      </c>
      <c r="N1081" s="1" t="str">
        <f aca="false">IF(Suiza_DE_CN_ID!A431="","",IFERROR(INDEX(Gamma_Catalogo!$E$3:$E$1451,MATCH(Suiza_DE_CN_ID!D431,Gamma_Catalogo!$A$3:$A$1451,0)),"Revisar Ip Code"))</f>
        <v/>
      </c>
      <c r="O1081" s="1" t="str">
        <f aca="false">IF(Suiza_DE_CN_ID!A431="","","Suiza")</f>
        <v/>
      </c>
    </row>
    <row r="1082" customFormat="false" ht="15" hidden="false" customHeight="true" outlineLevel="0" collapsed="false">
      <c r="A1082" s="1" t="str">
        <f aca="false">IF(Suiza_DE_CN_ID!A432="","",IFERROR(INDEX(Mercados!$C$2:$C$32,MATCH(Suiza_DE_CN_ID!B432,Mercados!$A$2:$A$32,0)),"Revisar Tscode"))</f>
        <v/>
      </c>
      <c r="B1082" s="1" t="str">
        <f aca="false">IF(Suiza_DE_CN_ID!A432="","",Suiza_DE_CN_ID!A432)</f>
        <v/>
      </c>
      <c r="C1082" s="1" t="str">
        <f aca="false">IF(Suiza_DE_CN_ID!A432="","",Suiza_DE_CN_ID!C432)</f>
        <v/>
      </c>
      <c r="D1082" s="1" t="str">
        <f aca="false">IF(Suiza_DE_CN_ID!A432="","",Suiza_DE_CN_ID!D432)</f>
        <v/>
      </c>
      <c r="E1082" s="1" t="str">
        <f aca="false">IF(Suiza_DE_CN_ID!A432="","",Suiza_DE_CN_ID!E432)</f>
        <v/>
      </c>
      <c r="F1082" s="1" t="str">
        <f aca="false">IF(Suiza_DE_CN_ID!A432="","",Suiza_DE_CN_ID!G432)</f>
        <v/>
      </c>
      <c r="I1082" s="1" t="str">
        <f aca="false">IF(Suiza_DE_CN_ID!A432="","",Suiza_DE_CN_ID!H432)</f>
        <v/>
      </c>
      <c r="J1082" s="1" t="str">
        <f aca="false">IF(Suiza_DE_CN_ID!A432="","",Suiza_DE_CN_ID!I432)</f>
        <v/>
      </c>
      <c r="K1082" s="1" t="str">
        <f aca="false">IF(Suiza_DE_CN_ID!A432="","",UPPER(Suiza_DE_CN_ID!J432))</f>
        <v/>
      </c>
      <c r="L1082" s="1" t="str">
        <f aca="false">IF(Suiza_DE_CN_ID!A432="","",IFERROR(INDEX(Gamma_Catalogo!$D$3:$D$1451,MATCH(Suiza_DE_CN_ID!D432,Gamma_Catalogo!$A$3:$A$1451,0)),"Revisar Ip Code"))</f>
        <v/>
      </c>
      <c r="M1082" s="1" t="str">
        <f aca="false">IF(Suiza_DE_CN_ID!A432="","",IFERROR(INDEX(Gamma_Catalogo!$C$3:$C$1451,MATCH(Suiza_DE_CN_ID!D432,Gamma_Catalogo!$A$3:$A$1451,0)),"Revisar Ip Code"))</f>
        <v/>
      </c>
      <c r="N1082" s="1" t="str">
        <f aca="false">IF(Suiza_DE_CN_ID!A432="","",IFERROR(INDEX(Gamma_Catalogo!$E$3:$E$1451,MATCH(Suiza_DE_CN_ID!D432,Gamma_Catalogo!$A$3:$A$1451,0)),"Revisar Ip Code"))</f>
        <v/>
      </c>
      <c r="O1082" s="1" t="str">
        <f aca="false">IF(Suiza_DE_CN_ID!A432="","","Suiza")</f>
        <v/>
      </c>
    </row>
    <row r="1083" customFormat="false" ht="15" hidden="false" customHeight="true" outlineLevel="0" collapsed="false">
      <c r="A1083" s="1" t="str">
        <f aca="false">IF(Suiza_DE_CN_ID!A433="","",IFERROR(INDEX(Mercados!$C$2:$C$32,MATCH(Suiza_DE_CN_ID!B433,Mercados!$A$2:$A$32,0)),"Revisar Tscode"))</f>
        <v/>
      </c>
      <c r="B1083" s="1" t="str">
        <f aca="false">IF(Suiza_DE_CN_ID!A433="","",Suiza_DE_CN_ID!A433)</f>
        <v/>
      </c>
      <c r="C1083" s="1" t="str">
        <f aca="false">IF(Suiza_DE_CN_ID!A433="","",Suiza_DE_CN_ID!C433)</f>
        <v/>
      </c>
      <c r="D1083" s="1" t="str">
        <f aca="false">IF(Suiza_DE_CN_ID!A433="","",Suiza_DE_CN_ID!D433)</f>
        <v/>
      </c>
      <c r="E1083" s="1" t="str">
        <f aca="false">IF(Suiza_DE_CN_ID!A433="","",Suiza_DE_CN_ID!E433)</f>
        <v/>
      </c>
      <c r="F1083" s="1" t="str">
        <f aca="false">IF(Suiza_DE_CN_ID!A433="","",Suiza_DE_CN_ID!G433)</f>
        <v/>
      </c>
      <c r="I1083" s="1" t="str">
        <f aca="false">IF(Suiza_DE_CN_ID!A433="","",Suiza_DE_CN_ID!H433)</f>
        <v/>
      </c>
      <c r="J1083" s="1" t="str">
        <f aca="false">IF(Suiza_DE_CN_ID!A433="","",Suiza_DE_CN_ID!I433)</f>
        <v/>
      </c>
      <c r="K1083" s="1" t="str">
        <f aca="false">IF(Suiza_DE_CN_ID!A433="","",UPPER(Suiza_DE_CN_ID!J433))</f>
        <v/>
      </c>
      <c r="L1083" s="1" t="str">
        <f aca="false">IF(Suiza_DE_CN_ID!A433="","",IFERROR(INDEX(Gamma_Catalogo!$D$3:$D$1451,MATCH(Suiza_DE_CN_ID!D433,Gamma_Catalogo!$A$3:$A$1451,0)),"Revisar Ip Code"))</f>
        <v/>
      </c>
      <c r="M1083" s="1" t="str">
        <f aca="false">IF(Suiza_DE_CN_ID!A433="","",IFERROR(INDEX(Gamma_Catalogo!$C$3:$C$1451,MATCH(Suiza_DE_CN_ID!D433,Gamma_Catalogo!$A$3:$A$1451,0)),"Revisar Ip Code"))</f>
        <v/>
      </c>
      <c r="N1083" s="1" t="str">
        <f aca="false">IF(Suiza_DE_CN_ID!A433="","",IFERROR(INDEX(Gamma_Catalogo!$E$3:$E$1451,MATCH(Suiza_DE_CN_ID!D433,Gamma_Catalogo!$A$3:$A$1451,0)),"Revisar Ip Code"))</f>
        <v/>
      </c>
      <c r="O1083" s="1" t="str">
        <f aca="false">IF(Suiza_DE_CN_ID!A433="","","Suiza")</f>
        <v/>
      </c>
    </row>
    <row r="1084" customFormat="false" ht="15" hidden="false" customHeight="true" outlineLevel="0" collapsed="false">
      <c r="A1084" s="1" t="str">
        <f aca="false">IF(Suiza_DE_CN_ID!A434="","",IFERROR(INDEX(Mercados!$C$2:$C$32,MATCH(Suiza_DE_CN_ID!B434,Mercados!$A$2:$A$32,0)),"Revisar Tscode"))</f>
        <v/>
      </c>
      <c r="B1084" s="1" t="str">
        <f aca="false">IF(Suiza_DE_CN_ID!A434="","",Suiza_DE_CN_ID!A434)</f>
        <v/>
      </c>
      <c r="C1084" s="1" t="str">
        <f aca="false">IF(Suiza_DE_CN_ID!A434="","",Suiza_DE_CN_ID!C434)</f>
        <v/>
      </c>
      <c r="D1084" s="1" t="str">
        <f aca="false">IF(Suiza_DE_CN_ID!A434="","",Suiza_DE_CN_ID!D434)</f>
        <v/>
      </c>
      <c r="E1084" s="1" t="str">
        <f aca="false">IF(Suiza_DE_CN_ID!A434="","",Suiza_DE_CN_ID!E434)</f>
        <v/>
      </c>
      <c r="F1084" s="1" t="str">
        <f aca="false">IF(Suiza_DE_CN_ID!A434="","",Suiza_DE_CN_ID!G434)</f>
        <v/>
      </c>
      <c r="I1084" s="1" t="str">
        <f aca="false">IF(Suiza_DE_CN_ID!A434="","",Suiza_DE_CN_ID!H434)</f>
        <v/>
      </c>
      <c r="J1084" s="1" t="str">
        <f aca="false">IF(Suiza_DE_CN_ID!A434="","",Suiza_DE_CN_ID!I434)</f>
        <v/>
      </c>
      <c r="K1084" s="1" t="str">
        <f aca="false">IF(Suiza_DE_CN_ID!A434="","",UPPER(Suiza_DE_CN_ID!J434))</f>
        <v/>
      </c>
      <c r="L1084" s="1" t="str">
        <f aca="false">IF(Suiza_DE_CN_ID!A434="","",IFERROR(INDEX(Gamma_Catalogo!$D$3:$D$1451,MATCH(Suiza_DE_CN_ID!D434,Gamma_Catalogo!$A$3:$A$1451,0)),"Revisar Ip Code"))</f>
        <v/>
      </c>
      <c r="M1084" s="1" t="str">
        <f aca="false">IF(Suiza_DE_CN_ID!A434="","",IFERROR(INDEX(Gamma_Catalogo!$C$3:$C$1451,MATCH(Suiza_DE_CN_ID!D434,Gamma_Catalogo!$A$3:$A$1451,0)),"Revisar Ip Code"))</f>
        <v/>
      </c>
      <c r="N1084" s="1" t="str">
        <f aca="false">IF(Suiza_DE_CN_ID!A434="","",IFERROR(INDEX(Gamma_Catalogo!$E$3:$E$1451,MATCH(Suiza_DE_CN_ID!D434,Gamma_Catalogo!$A$3:$A$1451,0)),"Revisar Ip Code"))</f>
        <v/>
      </c>
      <c r="O1084" s="1" t="str">
        <f aca="false">IF(Suiza_DE_CN_ID!A434="","","Suiza")</f>
        <v/>
      </c>
    </row>
    <row r="1085" customFormat="false" ht="15" hidden="false" customHeight="true" outlineLevel="0" collapsed="false">
      <c r="A1085" s="1" t="str">
        <f aca="false">IF(Suiza_DE_CN_ID!A435="","",IFERROR(INDEX(Mercados!$C$2:$C$32,MATCH(Suiza_DE_CN_ID!B435,Mercados!$A$2:$A$32,0)),"Revisar Tscode"))</f>
        <v/>
      </c>
      <c r="B1085" s="1" t="str">
        <f aca="false">IF(Suiza_DE_CN_ID!A435="","",Suiza_DE_CN_ID!A435)</f>
        <v/>
      </c>
      <c r="C1085" s="1" t="str">
        <f aca="false">IF(Suiza_DE_CN_ID!A435="","",Suiza_DE_CN_ID!C435)</f>
        <v/>
      </c>
      <c r="D1085" s="1" t="str">
        <f aca="false">IF(Suiza_DE_CN_ID!A435="","",Suiza_DE_CN_ID!D435)</f>
        <v/>
      </c>
      <c r="E1085" s="1" t="str">
        <f aca="false">IF(Suiza_DE_CN_ID!A435="","",Suiza_DE_CN_ID!E435)</f>
        <v/>
      </c>
      <c r="F1085" s="1" t="str">
        <f aca="false">IF(Suiza_DE_CN_ID!A435="","",Suiza_DE_CN_ID!G435)</f>
        <v/>
      </c>
      <c r="I1085" s="1" t="str">
        <f aca="false">IF(Suiza_DE_CN_ID!A435="","",Suiza_DE_CN_ID!H435)</f>
        <v/>
      </c>
      <c r="J1085" s="1" t="str">
        <f aca="false">IF(Suiza_DE_CN_ID!A435="","",Suiza_DE_CN_ID!I435)</f>
        <v/>
      </c>
      <c r="K1085" s="1" t="str">
        <f aca="false">IF(Suiza_DE_CN_ID!A435="","",UPPER(Suiza_DE_CN_ID!J435))</f>
        <v/>
      </c>
      <c r="L1085" s="1" t="str">
        <f aca="false">IF(Suiza_DE_CN_ID!A435="","",IFERROR(INDEX(Gamma_Catalogo!$D$3:$D$1451,MATCH(Suiza_DE_CN_ID!D435,Gamma_Catalogo!$A$3:$A$1451,0)),"Revisar Ip Code"))</f>
        <v/>
      </c>
      <c r="M1085" s="1" t="str">
        <f aca="false">IF(Suiza_DE_CN_ID!A435="","",IFERROR(INDEX(Gamma_Catalogo!$C$3:$C$1451,MATCH(Suiza_DE_CN_ID!D435,Gamma_Catalogo!$A$3:$A$1451,0)),"Revisar Ip Code"))</f>
        <v/>
      </c>
      <c r="N1085" s="1" t="str">
        <f aca="false">IF(Suiza_DE_CN_ID!A435="","",IFERROR(INDEX(Gamma_Catalogo!$E$3:$E$1451,MATCH(Suiza_DE_CN_ID!D435,Gamma_Catalogo!$A$3:$A$1451,0)),"Revisar Ip Code"))</f>
        <v/>
      </c>
      <c r="O1085" s="1" t="str">
        <f aca="false">IF(Suiza_DE_CN_ID!A435="","","Suiza")</f>
        <v/>
      </c>
    </row>
    <row r="1086" customFormat="false" ht="15" hidden="false" customHeight="true" outlineLevel="0" collapsed="false">
      <c r="A1086" s="1" t="str">
        <f aca="false">IF(Suiza_DE_CN_ID!A436="","",IFERROR(INDEX(Mercados!$C$2:$C$32,MATCH(Suiza_DE_CN_ID!B436,Mercados!$A$2:$A$32,0)),"Revisar Tscode"))</f>
        <v/>
      </c>
      <c r="B1086" s="1" t="str">
        <f aca="false">IF(Suiza_DE_CN_ID!A436="","",Suiza_DE_CN_ID!A436)</f>
        <v/>
      </c>
      <c r="C1086" s="1" t="str">
        <f aca="false">IF(Suiza_DE_CN_ID!A436="","",Suiza_DE_CN_ID!C436)</f>
        <v/>
      </c>
      <c r="D1086" s="1" t="str">
        <f aca="false">IF(Suiza_DE_CN_ID!A436="","",Suiza_DE_CN_ID!D436)</f>
        <v/>
      </c>
      <c r="E1086" s="1" t="str">
        <f aca="false">IF(Suiza_DE_CN_ID!A436="","",Suiza_DE_CN_ID!E436)</f>
        <v/>
      </c>
      <c r="F1086" s="1" t="str">
        <f aca="false">IF(Suiza_DE_CN_ID!A436="","",Suiza_DE_CN_ID!G436)</f>
        <v/>
      </c>
      <c r="I1086" s="1" t="str">
        <f aca="false">IF(Suiza_DE_CN_ID!A436="","",Suiza_DE_CN_ID!H436)</f>
        <v/>
      </c>
      <c r="J1086" s="1" t="str">
        <f aca="false">IF(Suiza_DE_CN_ID!A436="","",Suiza_DE_CN_ID!I436)</f>
        <v/>
      </c>
      <c r="K1086" s="1" t="str">
        <f aca="false">IF(Suiza_DE_CN_ID!A436="","",UPPER(Suiza_DE_CN_ID!J436))</f>
        <v/>
      </c>
      <c r="L1086" s="1" t="str">
        <f aca="false">IF(Suiza_DE_CN_ID!A436="","",IFERROR(INDEX(Gamma_Catalogo!$D$3:$D$1451,MATCH(Suiza_DE_CN_ID!D436,Gamma_Catalogo!$A$3:$A$1451,0)),"Revisar Ip Code"))</f>
        <v/>
      </c>
      <c r="M1086" s="1" t="str">
        <f aca="false">IF(Suiza_DE_CN_ID!A436="","",IFERROR(INDEX(Gamma_Catalogo!$C$3:$C$1451,MATCH(Suiza_DE_CN_ID!D436,Gamma_Catalogo!$A$3:$A$1451,0)),"Revisar Ip Code"))</f>
        <v/>
      </c>
      <c r="N1086" s="1" t="str">
        <f aca="false">IF(Suiza_DE_CN_ID!A436="","",IFERROR(INDEX(Gamma_Catalogo!$E$3:$E$1451,MATCH(Suiza_DE_CN_ID!D436,Gamma_Catalogo!$A$3:$A$1451,0)),"Revisar Ip Code"))</f>
        <v/>
      </c>
      <c r="O1086" s="1" t="str">
        <f aca="false">IF(Suiza_DE_CN_ID!A436="","","Suiza")</f>
        <v/>
      </c>
    </row>
    <row r="1087" customFormat="false" ht="15" hidden="false" customHeight="true" outlineLevel="0" collapsed="false">
      <c r="A1087" s="1" t="str">
        <f aca="false">IF(Suiza_DE_CN_ID!A437="","",IFERROR(INDEX(Mercados!$C$2:$C$32,MATCH(Suiza_DE_CN_ID!B437,Mercados!$A$2:$A$32,0)),"Revisar Tscode"))</f>
        <v/>
      </c>
      <c r="B1087" s="1" t="str">
        <f aca="false">IF(Suiza_DE_CN_ID!A437="","",Suiza_DE_CN_ID!A437)</f>
        <v/>
      </c>
      <c r="C1087" s="1" t="str">
        <f aca="false">IF(Suiza_DE_CN_ID!A437="","",Suiza_DE_CN_ID!C437)</f>
        <v/>
      </c>
      <c r="D1087" s="1" t="str">
        <f aca="false">IF(Suiza_DE_CN_ID!A437="","",Suiza_DE_CN_ID!D437)</f>
        <v/>
      </c>
      <c r="E1087" s="1" t="str">
        <f aca="false">IF(Suiza_DE_CN_ID!A437="","",Suiza_DE_CN_ID!E437)</f>
        <v/>
      </c>
      <c r="F1087" s="1" t="str">
        <f aca="false">IF(Suiza_DE_CN_ID!A437="","",Suiza_DE_CN_ID!G437)</f>
        <v/>
      </c>
      <c r="I1087" s="1" t="str">
        <f aca="false">IF(Suiza_DE_CN_ID!A437="","",Suiza_DE_CN_ID!H437)</f>
        <v/>
      </c>
      <c r="J1087" s="1" t="str">
        <f aca="false">IF(Suiza_DE_CN_ID!A437="","",Suiza_DE_CN_ID!I437)</f>
        <v/>
      </c>
      <c r="K1087" s="1" t="str">
        <f aca="false">IF(Suiza_DE_CN_ID!A437="","",UPPER(Suiza_DE_CN_ID!J437))</f>
        <v/>
      </c>
      <c r="L1087" s="1" t="str">
        <f aca="false">IF(Suiza_DE_CN_ID!A437="","",IFERROR(INDEX(Gamma_Catalogo!$D$3:$D$1451,MATCH(Suiza_DE_CN_ID!D437,Gamma_Catalogo!$A$3:$A$1451,0)),"Revisar Ip Code"))</f>
        <v/>
      </c>
      <c r="M1087" s="1" t="str">
        <f aca="false">IF(Suiza_DE_CN_ID!A437="","",IFERROR(INDEX(Gamma_Catalogo!$C$3:$C$1451,MATCH(Suiza_DE_CN_ID!D437,Gamma_Catalogo!$A$3:$A$1451,0)),"Revisar Ip Code"))</f>
        <v/>
      </c>
      <c r="N1087" s="1" t="str">
        <f aca="false">IF(Suiza_DE_CN_ID!A437="","",IFERROR(INDEX(Gamma_Catalogo!$E$3:$E$1451,MATCH(Suiza_DE_CN_ID!D437,Gamma_Catalogo!$A$3:$A$1451,0)),"Revisar Ip Code"))</f>
        <v/>
      </c>
      <c r="O1087" s="1" t="str">
        <f aca="false">IF(Suiza_DE_CN_ID!A437="","","Suiza")</f>
        <v/>
      </c>
    </row>
    <row r="1088" customFormat="false" ht="15" hidden="false" customHeight="true" outlineLevel="0" collapsed="false">
      <c r="A1088" s="1" t="str">
        <f aca="false">IF(Suiza_DE_CN_ID!A438="","",IFERROR(INDEX(Mercados!$C$2:$C$32,MATCH(Suiza_DE_CN_ID!B438,Mercados!$A$2:$A$32,0)),"Revisar Tscode"))</f>
        <v/>
      </c>
      <c r="B1088" s="1" t="str">
        <f aca="false">IF(Suiza_DE_CN_ID!A438="","",Suiza_DE_CN_ID!A438)</f>
        <v/>
      </c>
      <c r="C1088" s="1" t="str">
        <f aca="false">IF(Suiza_DE_CN_ID!A438="","",Suiza_DE_CN_ID!C438)</f>
        <v/>
      </c>
      <c r="D1088" s="1" t="str">
        <f aca="false">IF(Suiza_DE_CN_ID!A438="","",Suiza_DE_CN_ID!D438)</f>
        <v/>
      </c>
      <c r="E1088" s="1" t="str">
        <f aca="false">IF(Suiza_DE_CN_ID!A438="","",Suiza_DE_CN_ID!E438)</f>
        <v/>
      </c>
      <c r="F1088" s="1" t="str">
        <f aca="false">IF(Suiza_DE_CN_ID!A438="","",Suiza_DE_CN_ID!G438)</f>
        <v/>
      </c>
      <c r="I1088" s="1" t="str">
        <f aca="false">IF(Suiza_DE_CN_ID!A438="","",Suiza_DE_CN_ID!H438)</f>
        <v/>
      </c>
      <c r="J1088" s="1" t="str">
        <f aca="false">IF(Suiza_DE_CN_ID!A438="","",Suiza_DE_CN_ID!I438)</f>
        <v/>
      </c>
      <c r="K1088" s="1" t="str">
        <f aca="false">IF(Suiza_DE_CN_ID!A438="","",UPPER(Suiza_DE_CN_ID!J438))</f>
        <v/>
      </c>
      <c r="L1088" s="1" t="str">
        <f aca="false">IF(Suiza_DE_CN_ID!A438="","",IFERROR(INDEX(Gamma_Catalogo!$D$3:$D$1451,MATCH(Suiza_DE_CN_ID!D438,Gamma_Catalogo!$A$3:$A$1451,0)),"Revisar Ip Code"))</f>
        <v/>
      </c>
      <c r="M1088" s="1" t="str">
        <f aca="false">IF(Suiza_DE_CN_ID!A438="","",IFERROR(INDEX(Gamma_Catalogo!$C$3:$C$1451,MATCH(Suiza_DE_CN_ID!D438,Gamma_Catalogo!$A$3:$A$1451,0)),"Revisar Ip Code"))</f>
        <v/>
      </c>
      <c r="N1088" s="1" t="str">
        <f aca="false">IF(Suiza_DE_CN_ID!A438="","",IFERROR(INDEX(Gamma_Catalogo!$E$3:$E$1451,MATCH(Suiza_DE_CN_ID!D438,Gamma_Catalogo!$A$3:$A$1451,0)),"Revisar Ip Code"))</f>
        <v/>
      </c>
      <c r="O1088" s="1" t="str">
        <f aca="false">IF(Suiza_DE_CN_ID!A438="","","Suiza")</f>
        <v/>
      </c>
    </row>
    <row r="1089" customFormat="false" ht="15" hidden="false" customHeight="true" outlineLevel="0" collapsed="false">
      <c r="A1089" s="1" t="str">
        <f aca="false">IF(Suiza_DE_CN_ID!A439="","",IFERROR(INDEX(Mercados!$C$2:$C$32,MATCH(Suiza_DE_CN_ID!B439,Mercados!$A$2:$A$32,0)),"Revisar Tscode"))</f>
        <v/>
      </c>
      <c r="B1089" s="1" t="str">
        <f aca="false">IF(Suiza_DE_CN_ID!A439="","",Suiza_DE_CN_ID!A439)</f>
        <v/>
      </c>
      <c r="C1089" s="1" t="str">
        <f aca="false">IF(Suiza_DE_CN_ID!A439="","",Suiza_DE_CN_ID!C439)</f>
        <v/>
      </c>
      <c r="D1089" s="1" t="str">
        <f aca="false">IF(Suiza_DE_CN_ID!A439="","",Suiza_DE_CN_ID!D439)</f>
        <v/>
      </c>
      <c r="E1089" s="1" t="str">
        <f aca="false">IF(Suiza_DE_CN_ID!A439="","",Suiza_DE_CN_ID!E439)</f>
        <v/>
      </c>
      <c r="F1089" s="1" t="str">
        <f aca="false">IF(Suiza_DE_CN_ID!A439="","",Suiza_DE_CN_ID!G439)</f>
        <v/>
      </c>
      <c r="I1089" s="1" t="str">
        <f aca="false">IF(Suiza_DE_CN_ID!A439="","",Suiza_DE_CN_ID!H439)</f>
        <v/>
      </c>
      <c r="J1089" s="1" t="str">
        <f aca="false">IF(Suiza_DE_CN_ID!A439="","",Suiza_DE_CN_ID!I439)</f>
        <v/>
      </c>
      <c r="K1089" s="1" t="str">
        <f aca="false">IF(Suiza_DE_CN_ID!A439="","",UPPER(Suiza_DE_CN_ID!J439))</f>
        <v/>
      </c>
      <c r="L1089" s="1" t="str">
        <f aca="false">IF(Suiza_DE_CN_ID!A439="","",IFERROR(INDEX(Gamma_Catalogo!$D$3:$D$1451,MATCH(Suiza_DE_CN_ID!D439,Gamma_Catalogo!$A$3:$A$1451,0)),"Revisar Ip Code"))</f>
        <v/>
      </c>
      <c r="M1089" s="1" t="str">
        <f aca="false">IF(Suiza_DE_CN_ID!A439="","",IFERROR(INDEX(Gamma_Catalogo!$C$3:$C$1451,MATCH(Suiza_DE_CN_ID!D439,Gamma_Catalogo!$A$3:$A$1451,0)),"Revisar Ip Code"))</f>
        <v/>
      </c>
      <c r="N1089" s="1" t="str">
        <f aca="false">IF(Suiza_DE_CN_ID!A439="","",IFERROR(INDEX(Gamma_Catalogo!$E$3:$E$1451,MATCH(Suiza_DE_CN_ID!D439,Gamma_Catalogo!$A$3:$A$1451,0)),"Revisar Ip Code"))</f>
        <v/>
      </c>
      <c r="O1089" s="1" t="str">
        <f aca="false">IF(Suiza_DE_CN_ID!A439="","","Suiza")</f>
        <v/>
      </c>
    </row>
    <row r="1090" customFormat="false" ht="15" hidden="false" customHeight="true" outlineLevel="0" collapsed="false">
      <c r="A1090" s="1" t="str">
        <f aca="false">IF(Suiza_DE_CN_ID!A440="","",IFERROR(INDEX(Mercados!$C$2:$C$32,MATCH(Suiza_DE_CN_ID!B440,Mercados!$A$2:$A$32,0)),"Revisar Tscode"))</f>
        <v/>
      </c>
      <c r="B1090" s="1" t="str">
        <f aca="false">IF(Suiza_DE_CN_ID!A440="","",Suiza_DE_CN_ID!A440)</f>
        <v/>
      </c>
      <c r="C1090" s="1" t="str">
        <f aca="false">IF(Suiza_DE_CN_ID!A440="","",Suiza_DE_CN_ID!C440)</f>
        <v/>
      </c>
      <c r="D1090" s="1" t="str">
        <f aca="false">IF(Suiza_DE_CN_ID!A440="","",Suiza_DE_CN_ID!D440)</f>
        <v/>
      </c>
      <c r="E1090" s="1" t="str">
        <f aca="false">IF(Suiza_DE_CN_ID!A440="","",Suiza_DE_CN_ID!E440)</f>
        <v/>
      </c>
      <c r="F1090" s="1" t="str">
        <f aca="false">IF(Suiza_DE_CN_ID!A440="","",Suiza_DE_CN_ID!G440)</f>
        <v/>
      </c>
      <c r="I1090" s="1" t="str">
        <f aca="false">IF(Suiza_DE_CN_ID!A440="","",Suiza_DE_CN_ID!H440)</f>
        <v/>
      </c>
      <c r="J1090" s="1" t="str">
        <f aca="false">IF(Suiza_DE_CN_ID!A440="","",Suiza_DE_CN_ID!I440)</f>
        <v/>
      </c>
      <c r="K1090" s="1" t="str">
        <f aca="false">IF(Suiza_DE_CN_ID!A440="","",UPPER(Suiza_DE_CN_ID!J440))</f>
        <v/>
      </c>
      <c r="L1090" s="1" t="str">
        <f aca="false">IF(Suiza_DE_CN_ID!A440="","",IFERROR(INDEX(Gamma_Catalogo!$D$3:$D$1451,MATCH(Suiza_DE_CN_ID!D440,Gamma_Catalogo!$A$3:$A$1451,0)),"Revisar Ip Code"))</f>
        <v/>
      </c>
      <c r="M1090" s="1" t="str">
        <f aca="false">IF(Suiza_DE_CN_ID!A440="","",IFERROR(INDEX(Gamma_Catalogo!$C$3:$C$1451,MATCH(Suiza_DE_CN_ID!D440,Gamma_Catalogo!$A$3:$A$1451,0)),"Revisar Ip Code"))</f>
        <v/>
      </c>
      <c r="N1090" s="1" t="str">
        <f aca="false">IF(Suiza_DE_CN_ID!A440="","",IFERROR(INDEX(Gamma_Catalogo!$E$3:$E$1451,MATCH(Suiza_DE_CN_ID!D440,Gamma_Catalogo!$A$3:$A$1451,0)),"Revisar Ip Code"))</f>
        <v/>
      </c>
      <c r="O1090" s="1" t="str">
        <f aca="false">IF(Suiza_DE_CN_ID!A440="","","Suiza")</f>
        <v/>
      </c>
    </row>
    <row r="1091" customFormat="false" ht="15" hidden="false" customHeight="true" outlineLevel="0" collapsed="false">
      <c r="A1091" s="1" t="str">
        <f aca="false">IF(Suiza_DE_CN_ID!A441="","",IFERROR(INDEX(Mercados!$C$2:$C$32,MATCH(Suiza_DE_CN_ID!B441,Mercados!$A$2:$A$32,0)),"Revisar Tscode"))</f>
        <v/>
      </c>
      <c r="B1091" s="1" t="str">
        <f aca="false">IF(Suiza_DE_CN_ID!A441="","",Suiza_DE_CN_ID!A441)</f>
        <v/>
      </c>
      <c r="C1091" s="1" t="str">
        <f aca="false">IF(Suiza_DE_CN_ID!A441="","",Suiza_DE_CN_ID!C441)</f>
        <v/>
      </c>
      <c r="D1091" s="1" t="str">
        <f aca="false">IF(Suiza_DE_CN_ID!A441="","",Suiza_DE_CN_ID!D441)</f>
        <v/>
      </c>
      <c r="E1091" s="1" t="str">
        <f aca="false">IF(Suiza_DE_CN_ID!A441="","",Suiza_DE_CN_ID!E441)</f>
        <v/>
      </c>
      <c r="F1091" s="1" t="str">
        <f aca="false">IF(Suiza_DE_CN_ID!A441="","",Suiza_DE_CN_ID!G441)</f>
        <v/>
      </c>
      <c r="I1091" s="1" t="str">
        <f aca="false">IF(Suiza_DE_CN_ID!A441="","",Suiza_DE_CN_ID!H441)</f>
        <v/>
      </c>
      <c r="J1091" s="1" t="str">
        <f aca="false">IF(Suiza_DE_CN_ID!A441="","",Suiza_DE_CN_ID!I441)</f>
        <v/>
      </c>
      <c r="K1091" s="1" t="str">
        <f aca="false">IF(Suiza_DE_CN_ID!A441="","",UPPER(Suiza_DE_CN_ID!J441))</f>
        <v/>
      </c>
      <c r="L1091" s="1" t="str">
        <f aca="false">IF(Suiza_DE_CN_ID!A441="","",IFERROR(INDEX(Gamma_Catalogo!$D$3:$D$1451,MATCH(Suiza_DE_CN_ID!D441,Gamma_Catalogo!$A$3:$A$1451,0)),"Revisar Ip Code"))</f>
        <v/>
      </c>
      <c r="M1091" s="1" t="str">
        <f aca="false">IF(Suiza_DE_CN_ID!A441="","",IFERROR(INDEX(Gamma_Catalogo!$C$3:$C$1451,MATCH(Suiza_DE_CN_ID!D441,Gamma_Catalogo!$A$3:$A$1451,0)),"Revisar Ip Code"))</f>
        <v/>
      </c>
      <c r="N1091" s="1" t="str">
        <f aca="false">IF(Suiza_DE_CN_ID!A441="","",IFERROR(INDEX(Gamma_Catalogo!$E$3:$E$1451,MATCH(Suiza_DE_CN_ID!D441,Gamma_Catalogo!$A$3:$A$1451,0)),"Revisar Ip Code"))</f>
        <v/>
      </c>
      <c r="O1091" s="1" t="str">
        <f aca="false">IF(Suiza_DE_CN_ID!A441="","","Suiza")</f>
        <v/>
      </c>
    </row>
    <row r="1092" customFormat="false" ht="15" hidden="false" customHeight="true" outlineLevel="0" collapsed="false">
      <c r="A1092" s="1" t="str">
        <f aca="false">IF(Suiza_DE_CN_ID!A442="","",IFERROR(INDEX(Mercados!$C$2:$C$32,MATCH(Suiza_DE_CN_ID!B442,Mercados!$A$2:$A$32,0)),"Revisar Tscode"))</f>
        <v/>
      </c>
      <c r="B1092" s="1" t="str">
        <f aca="false">IF(Suiza_DE_CN_ID!A442="","",Suiza_DE_CN_ID!A442)</f>
        <v/>
      </c>
      <c r="C1092" s="1" t="str">
        <f aca="false">IF(Suiza_DE_CN_ID!A442="","",Suiza_DE_CN_ID!C442)</f>
        <v/>
      </c>
      <c r="D1092" s="1" t="str">
        <f aca="false">IF(Suiza_DE_CN_ID!A442="","",Suiza_DE_CN_ID!D442)</f>
        <v/>
      </c>
      <c r="E1092" s="1" t="str">
        <f aca="false">IF(Suiza_DE_CN_ID!A442="","",Suiza_DE_CN_ID!E442)</f>
        <v/>
      </c>
      <c r="F1092" s="1" t="str">
        <f aca="false">IF(Suiza_DE_CN_ID!A442="","",Suiza_DE_CN_ID!G442)</f>
        <v/>
      </c>
      <c r="I1092" s="1" t="str">
        <f aca="false">IF(Suiza_DE_CN_ID!A442="","",Suiza_DE_CN_ID!H442)</f>
        <v/>
      </c>
      <c r="J1092" s="1" t="str">
        <f aca="false">IF(Suiza_DE_CN_ID!A442="","",Suiza_DE_CN_ID!I442)</f>
        <v/>
      </c>
      <c r="K1092" s="1" t="str">
        <f aca="false">IF(Suiza_DE_CN_ID!A442="","",UPPER(Suiza_DE_CN_ID!J442))</f>
        <v/>
      </c>
      <c r="L1092" s="1" t="str">
        <f aca="false">IF(Suiza_DE_CN_ID!A442="","",IFERROR(INDEX(Gamma_Catalogo!$D$3:$D$1451,MATCH(Suiza_DE_CN_ID!D442,Gamma_Catalogo!$A$3:$A$1451,0)),"Revisar Ip Code"))</f>
        <v/>
      </c>
      <c r="M1092" s="1" t="str">
        <f aca="false">IF(Suiza_DE_CN_ID!A442="","",IFERROR(INDEX(Gamma_Catalogo!$C$3:$C$1451,MATCH(Suiza_DE_CN_ID!D442,Gamma_Catalogo!$A$3:$A$1451,0)),"Revisar Ip Code"))</f>
        <v/>
      </c>
      <c r="N1092" s="1" t="str">
        <f aca="false">IF(Suiza_DE_CN_ID!A442="","",IFERROR(INDEX(Gamma_Catalogo!$E$3:$E$1451,MATCH(Suiza_DE_CN_ID!D442,Gamma_Catalogo!$A$3:$A$1451,0)),"Revisar Ip Code"))</f>
        <v/>
      </c>
      <c r="O1092" s="1" t="str">
        <f aca="false">IF(Suiza_DE_CN_ID!A442="","","Suiza")</f>
        <v/>
      </c>
    </row>
    <row r="1093" customFormat="false" ht="15" hidden="false" customHeight="true" outlineLevel="0" collapsed="false">
      <c r="A1093" s="1" t="str">
        <f aca="false">IF(Suiza_DE_CN_ID!A443="","",IFERROR(INDEX(Mercados!$C$2:$C$32,MATCH(Suiza_DE_CN_ID!B443,Mercados!$A$2:$A$32,0)),"Revisar Tscode"))</f>
        <v/>
      </c>
      <c r="B1093" s="1" t="str">
        <f aca="false">IF(Suiza_DE_CN_ID!A443="","",Suiza_DE_CN_ID!A443)</f>
        <v/>
      </c>
      <c r="C1093" s="1" t="str">
        <f aca="false">IF(Suiza_DE_CN_ID!A443="","",Suiza_DE_CN_ID!C443)</f>
        <v/>
      </c>
      <c r="D1093" s="1" t="str">
        <f aca="false">IF(Suiza_DE_CN_ID!A443="","",Suiza_DE_CN_ID!D443)</f>
        <v/>
      </c>
      <c r="E1093" s="1" t="str">
        <f aca="false">IF(Suiza_DE_CN_ID!A443="","",Suiza_DE_CN_ID!E443)</f>
        <v/>
      </c>
      <c r="F1093" s="1" t="str">
        <f aca="false">IF(Suiza_DE_CN_ID!A443="","",Suiza_DE_CN_ID!G443)</f>
        <v/>
      </c>
      <c r="I1093" s="1" t="str">
        <f aca="false">IF(Suiza_DE_CN_ID!A443="","",Suiza_DE_CN_ID!H443)</f>
        <v/>
      </c>
      <c r="J1093" s="1" t="str">
        <f aca="false">IF(Suiza_DE_CN_ID!A443="","",Suiza_DE_CN_ID!I443)</f>
        <v/>
      </c>
      <c r="K1093" s="1" t="str">
        <f aca="false">IF(Suiza_DE_CN_ID!A443="","",UPPER(Suiza_DE_CN_ID!J443))</f>
        <v/>
      </c>
      <c r="L1093" s="1" t="str">
        <f aca="false">IF(Suiza_DE_CN_ID!A443="","",IFERROR(INDEX(Gamma_Catalogo!$D$3:$D$1451,MATCH(Suiza_DE_CN_ID!D443,Gamma_Catalogo!$A$3:$A$1451,0)),"Revisar Ip Code"))</f>
        <v/>
      </c>
      <c r="M1093" s="1" t="str">
        <f aca="false">IF(Suiza_DE_CN_ID!A443="","",IFERROR(INDEX(Gamma_Catalogo!$C$3:$C$1451,MATCH(Suiza_DE_CN_ID!D443,Gamma_Catalogo!$A$3:$A$1451,0)),"Revisar Ip Code"))</f>
        <v/>
      </c>
      <c r="N1093" s="1" t="str">
        <f aca="false">IF(Suiza_DE_CN_ID!A443="","",IFERROR(INDEX(Gamma_Catalogo!$E$3:$E$1451,MATCH(Suiza_DE_CN_ID!D443,Gamma_Catalogo!$A$3:$A$1451,0)),"Revisar Ip Code"))</f>
        <v/>
      </c>
      <c r="O1093" s="1" t="str">
        <f aca="false">IF(Suiza_DE_CN_ID!A443="","","Suiza")</f>
        <v/>
      </c>
    </row>
    <row r="1094" customFormat="false" ht="15" hidden="false" customHeight="true" outlineLevel="0" collapsed="false">
      <c r="A1094" s="1" t="str">
        <f aca="false">IF(Suiza_DE_CN_ID!A444="","",IFERROR(INDEX(Mercados!$C$2:$C$32,MATCH(Suiza_DE_CN_ID!B444,Mercados!$A$2:$A$32,0)),"Revisar Tscode"))</f>
        <v/>
      </c>
      <c r="B1094" s="1" t="str">
        <f aca="false">IF(Suiza_DE_CN_ID!A444="","",Suiza_DE_CN_ID!A444)</f>
        <v/>
      </c>
      <c r="C1094" s="1" t="str">
        <f aca="false">IF(Suiza_DE_CN_ID!A444="","",Suiza_DE_CN_ID!C444)</f>
        <v/>
      </c>
      <c r="D1094" s="1" t="str">
        <f aca="false">IF(Suiza_DE_CN_ID!A444="","",Suiza_DE_CN_ID!D444)</f>
        <v/>
      </c>
      <c r="E1094" s="1" t="str">
        <f aca="false">IF(Suiza_DE_CN_ID!A444="","",Suiza_DE_CN_ID!E444)</f>
        <v/>
      </c>
      <c r="F1094" s="1" t="str">
        <f aca="false">IF(Suiza_DE_CN_ID!A444="","",Suiza_DE_CN_ID!G444)</f>
        <v/>
      </c>
      <c r="I1094" s="1" t="str">
        <f aca="false">IF(Suiza_DE_CN_ID!A444="","",Suiza_DE_CN_ID!H444)</f>
        <v/>
      </c>
      <c r="J1094" s="1" t="str">
        <f aca="false">IF(Suiza_DE_CN_ID!A444="","",Suiza_DE_CN_ID!I444)</f>
        <v/>
      </c>
      <c r="K1094" s="1" t="str">
        <f aca="false">IF(Suiza_DE_CN_ID!A444="","",UPPER(Suiza_DE_CN_ID!J444))</f>
        <v/>
      </c>
      <c r="L1094" s="1" t="str">
        <f aca="false">IF(Suiza_DE_CN_ID!A444="","",IFERROR(INDEX(Gamma_Catalogo!$D$3:$D$1451,MATCH(Suiza_DE_CN_ID!D444,Gamma_Catalogo!$A$3:$A$1451,0)),"Revisar Ip Code"))</f>
        <v/>
      </c>
      <c r="M1094" s="1" t="str">
        <f aca="false">IF(Suiza_DE_CN_ID!A444="","",IFERROR(INDEX(Gamma_Catalogo!$C$3:$C$1451,MATCH(Suiza_DE_CN_ID!D444,Gamma_Catalogo!$A$3:$A$1451,0)),"Revisar Ip Code"))</f>
        <v/>
      </c>
      <c r="N1094" s="1" t="str">
        <f aca="false">IF(Suiza_DE_CN_ID!A444="","",IFERROR(INDEX(Gamma_Catalogo!$E$3:$E$1451,MATCH(Suiza_DE_CN_ID!D444,Gamma_Catalogo!$A$3:$A$1451,0)),"Revisar Ip Code"))</f>
        <v/>
      </c>
      <c r="O1094" s="1" t="str">
        <f aca="false">IF(Suiza_DE_CN_ID!A444="","","Suiza")</f>
        <v/>
      </c>
    </row>
    <row r="1095" customFormat="false" ht="15" hidden="false" customHeight="true" outlineLevel="0" collapsed="false">
      <c r="A1095" s="1" t="str">
        <f aca="false">IF(Suiza_DE_CN_ID!A445="","",IFERROR(INDEX(Mercados!$C$2:$C$32,MATCH(Suiza_DE_CN_ID!B445,Mercados!$A$2:$A$32,0)),"Revisar Tscode"))</f>
        <v/>
      </c>
      <c r="B1095" s="1" t="str">
        <f aca="false">IF(Suiza_DE_CN_ID!A445="","",Suiza_DE_CN_ID!A445)</f>
        <v/>
      </c>
      <c r="C1095" s="1" t="str">
        <f aca="false">IF(Suiza_DE_CN_ID!A445="","",Suiza_DE_CN_ID!C445)</f>
        <v/>
      </c>
      <c r="D1095" s="1" t="str">
        <f aca="false">IF(Suiza_DE_CN_ID!A445="","",Suiza_DE_CN_ID!D445)</f>
        <v/>
      </c>
      <c r="E1095" s="1" t="str">
        <f aca="false">IF(Suiza_DE_CN_ID!A445="","",Suiza_DE_CN_ID!E445)</f>
        <v/>
      </c>
      <c r="F1095" s="1" t="str">
        <f aca="false">IF(Suiza_DE_CN_ID!A445="","",Suiza_DE_CN_ID!G445)</f>
        <v/>
      </c>
      <c r="I1095" s="1" t="str">
        <f aca="false">IF(Suiza_DE_CN_ID!A445="","",Suiza_DE_CN_ID!H445)</f>
        <v/>
      </c>
      <c r="J1095" s="1" t="str">
        <f aca="false">IF(Suiza_DE_CN_ID!A445="","",Suiza_DE_CN_ID!I445)</f>
        <v/>
      </c>
      <c r="K1095" s="1" t="str">
        <f aca="false">IF(Suiza_DE_CN_ID!A445="","",UPPER(Suiza_DE_CN_ID!J445))</f>
        <v/>
      </c>
      <c r="L1095" s="1" t="str">
        <f aca="false">IF(Suiza_DE_CN_ID!A445="","",IFERROR(INDEX(Gamma_Catalogo!$D$3:$D$1451,MATCH(Suiza_DE_CN_ID!D445,Gamma_Catalogo!$A$3:$A$1451,0)),"Revisar Ip Code"))</f>
        <v/>
      </c>
      <c r="M1095" s="1" t="str">
        <f aca="false">IF(Suiza_DE_CN_ID!A445="","",IFERROR(INDEX(Gamma_Catalogo!$C$3:$C$1451,MATCH(Suiza_DE_CN_ID!D445,Gamma_Catalogo!$A$3:$A$1451,0)),"Revisar Ip Code"))</f>
        <v/>
      </c>
      <c r="N1095" s="1" t="str">
        <f aca="false">IF(Suiza_DE_CN_ID!A445="","",IFERROR(INDEX(Gamma_Catalogo!$E$3:$E$1451,MATCH(Suiza_DE_CN_ID!D445,Gamma_Catalogo!$A$3:$A$1451,0)),"Revisar Ip Code"))</f>
        <v/>
      </c>
      <c r="O1095" s="1" t="str">
        <f aca="false">IF(Suiza_DE_CN_ID!A445="","","Suiza")</f>
        <v/>
      </c>
    </row>
    <row r="1096" customFormat="false" ht="15" hidden="false" customHeight="true" outlineLevel="0" collapsed="false">
      <c r="A1096" s="1" t="str">
        <f aca="false">IF(Suiza_DE_CN_ID!A446="","",IFERROR(INDEX(Mercados!$C$2:$C$32,MATCH(Suiza_DE_CN_ID!B446,Mercados!$A$2:$A$32,0)),"Revisar Tscode"))</f>
        <v/>
      </c>
      <c r="B1096" s="1" t="str">
        <f aca="false">IF(Suiza_DE_CN_ID!A446="","",Suiza_DE_CN_ID!A446)</f>
        <v/>
      </c>
      <c r="C1096" s="1" t="str">
        <f aca="false">IF(Suiza_DE_CN_ID!A446="","",Suiza_DE_CN_ID!C446)</f>
        <v/>
      </c>
      <c r="D1096" s="1" t="str">
        <f aca="false">IF(Suiza_DE_CN_ID!A446="","",Suiza_DE_CN_ID!D446)</f>
        <v/>
      </c>
      <c r="E1096" s="1" t="str">
        <f aca="false">IF(Suiza_DE_CN_ID!A446="","",Suiza_DE_CN_ID!E446)</f>
        <v/>
      </c>
      <c r="F1096" s="1" t="str">
        <f aca="false">IF(Suiza_DE_CN_ID!A446="","",Suiza_DE_CN_ID!G446)</f>
        <v/>
      </c>
      <c r="I1096" s="1" t="str">
        <f aca="false">IF(Suiza_DE_CN_ID!A446="","",Suiza_DE_CN_ID!H446)</f>
        <v/>
      </c>
      <c r="J1096" s="1" t="str">
        <f aca="false">IF(Suiza_DE_CN_ID!A446="","",Suiza_DE_CN_ID!I446)</f>
        <v/>
      </c>
      <c r="K1096" s="1" t="str">
        <f aca="false">IF(Suiza_DE_CN_ID!A446="","",UPPER(Suiza_DE_CN_ID!J446))</f>
        <v/>
      </c>
      <c r="L1096" s="1" t="str">
        <f aca="false">IF(Suiza_DE_CN_ID!A446="","",IFERROR(INDEX(Gamma_Catalogo!$D$3:$D$1451,MATCH(Suiza_DE_CN_ID!D446,Gamma_Catalogo!$A$3:$A$1451,0)),"Revisar Ip Code"))</f>
        <v/>
      </c>
      <c r="M1096" s="1" t="str">
        <f aca="false">IF(Suiza_DE_CN_ID!A446="","",IFERROR(INDEX(Gamma_Catalogo!$C$3:$C$1451,MATCH(Suiza_DE_CN_ID!D446,Gamma_Catalogo!$A$3:$A$1451,0)),"Revisar Ip Code"))</f>
        <v/>
      </c>
      <c r="N1096" s="1" t="str">
        <f aca="false">IF(Suiza_DE_CN_ID!A446="","",IFERROR(INDEX(Gamma_Catalogo!$E$3:$E$1451,MATCH(Suiza_DE_CN_ID!D446,Gamma_Catalogo!$A$3:$A$1451,0)),"Revisar Ip Code"))</f>
        <v/>
      </c>
      <c r="O1096" s="1" t="str">
        <f aca="false">IF(Suiza_DE_CN_ID!A446="","","Suiza")</f>
        <v/>
      </c>
    </row>
    <row r="1097" customFormat="false" ht="15" hidden="false" customHeight="true" outlineLevel="0" collapsed="false">
      <c r="A1097" s="1" t="str">
        <f aca="false">IF(Suiza_DE_CN_ID!A447="","",IFERROR(INDEX(Mercados!$C$2:$C$32,MATCH(Suiza_DE_CN_ID!B447,Mercados!$A$2:$A$32,0)),"Revisar Tscode"))</f>
        <v/>
      </c>
      <c r="B1097" s="1" t="str">
        <f aca="false">IF(Suiza_DE_CN_ID!A447="","",Suiza_DE_CN_ID!A447)</f>
        <v/>
      </c>
      <c r="C1097" s="1" t="str">
        <f aca="false">IF(Suiza_DE_CN_ID!A447="","",Suiza_DE_CN_ID!C447)</f>
        <v/>
      </c>
      <c r="D1097" s="1" t="str">
        <f aca="false">IF(Suiza_DE_CN_ID!A447="","",Suiza_DE_CN_ID!D447)</f>
        <v/>
      </c>
      <c r="E1097" s="1" t="str">
        <f aca="false">IF(Suiza_DE_CN_ID!A447="","",Suiza_DE_CN_ID!E447)</f>
        <v/>
      </c>
      <c r="F1097" s="1" t="str">
        <f aca="false">IF(Suiza_DE_CN_ID!A447="","",Suiza_DE_CN_ID!G447)</f>
        <v/>
      </c>
      <c r="I1097" s="1" t="str">
        <f aca="false">IF(Suiza_DE_CN_ID!A447="","",Suiza_DE_CN_ID!H447)</f>
        <v/>
      </c>
      <c r="J1097" s="1" t="str">
        <f aca="false">IF(Suiza_DE_CN_ID!A447="","",Suiza_DE_CN_ID!I447)</f>
        <v/>
      </c>
      <c r="K1097" s="1" t="str">
        <f aca="false">IF(Suiza_DE_CN_ID!A447="","",UPPER(Suiza_DE_CN_ID!J447))</f>
        <v/>
      </c>
      <c r="L1097" s="1" t="str">
        <f aca="false">IF(Suiza_DE_CN_ID!A447="","",IFERROR(INDEX(Gamma_Catalogo!$D$3:$D$1451,MATCH(Suiza_DE_CN_ID!D447,Gamma_Catalogo!$A$3:$A$1451,0)),"Revisar Ip Code"))</f>
        <v/>
      </c>
      <c r="M1097" s="1" t="str">
        <f aca="false">IF(Suiza_DE_CN_ID!A447="","",IFERROR(INDEX(Gamma_Catalogo!$C$3:$C$1451,MATCH(Suiza_DE_CN_ID!D447,Gamma_Catalogo!$A$3:$A$1451,0)),"Revisar Ip Code"))</f>
        <v/>
      </c>
      <c r="N1097" s="1" t="str">
        <f aca="false">IF(Suiza_DE_CN_ID!A447="","",IFERROR(INDEX(Gamma_Catalogo!$E$3:$E$1451,MATCH(Suiza_DE_CN_ID!D447,Gamma_Catalogo!$A$3:$A$1451,0)),"Revisar Ip Code"))</f>
        <v/>
      </c>
      <c r="O1097" s="1" t="str">
        <f aca="false">IF(Suiza_DE_CN_ID!A447="","","Suiza")</f>
        <v/>
      </c>
    </row>
    <row r="1098" customFormat="false" ht="15" hidden="false" customHeight="true" outlineLevel="0" collapsed="false">
      <c r="A1098" s="1" t="str">
        <f aca="false">IF(Suiza_DE_CN_ID!A448="","",IFERROR(INDEX(Mercados!$C$2:$C$32,MATCH(Suiza_DE_CN_ID!B448,Mercados!$A$2:$A$32,0)),"Revisar Tscode"))</f>
        <v/>
      </c>
      <c r="B1098" s="1" t="str">
        <f aca="false">IF(Suiza_DE_CN_ID!A448="","",Suiza_DE_CN_ID!A448)</f>
        <v/>
      </c>
      <c r="C1098" s="1" t="str">
        <f aca="false">IF(Suiza_DE_CN_ID!A448="","",Suiza_DE_CN_ID!C448)</f>
        <v/>
      </c>
      <c r="D1098" s="1" t="str">
        <f aca="false">IF(Suiza_DE_CN_ID!A448="","",Suiza_DE_CN_ID!D448)</f>
        <v/>
      </c>
      <c r="E1098" s="1" t="str">
        <f aca="false">IF(Suiza_DE_CN_ID!A448="","",Suiza_DE_CN_ID!E448)</f>
        <v/>
      </c>
      <c r="F1098" s="1" t="str">
        <f aca="false">IF(Suiza_DE_CN_ID!A448="","",Suiza_DE_CN_ID!G448)</f>
        <v/>
      </c>
      <c r="I1098" s="1" t="str">
        <f aca="false">IF(Suiza_DE_CN_ID!A448="","",Suiza_DE_CN_ID!H448)</f>
        <v/>
      </c>
      <c r="J1098" s="1" t="str">
        <f aca="false">IF(Suiza_DE_CN_ID!A448="","",Suiza_DE_CN_ID!I448)</f>
        <v/>
      </c>
      <c r="K1098" s="1" t="str">
        <f aca="false">IF(Suiza_DE_CN_ID!A448="","",UPPER(Suiza_DE_CN_ID!J448))</f>
        <v/>
      </c>
      <c r="L1098" s="1" t="str">
        <f aca="false">IF(Suiza_DE_CN_ID!A448="","",IFERROR(INDEX(Gamma_Catalogo!$D$3:$D$1451,MATCH(Suiza_DE_CN_ID!D448,Gamma_Catalogo!$A$3:$A$1451,0)),"Revisar Ip Code"))</f>
        <v/>
      </c>
      <c r="M1098" s="1" t="str">
        <f aca="false">IF(Suiza_DE_CN_ID!A448="","",IFERROR(INDEX(Gamma_Catalogo!$C$3:$C$1451,MATCH(Suiza_DE_CN_ID!D448,Gamma_Catalogo!$A$3:$A$1451,0)),"Revisar Ip Code"))</f>
        <v/>
      </c>
      <c r="N1098" s="1" t="str">
        <f aca="false">IF(Suiza_DE_CN_ID!A448="","",IFERROR(INDEX(Gamma_Catalogo!$E$3:$E$1451,MATCH(Suiza_DE_CN_ID!D448,Gamma_Catalogo!$A$3:$A$1451,0)),"Revisar Ip Code"))</f>
        <v/>
      </c>
      <c r="O1098" s="1" t="str">
        <f aca="false">IF(Suiza_DE_CN_ID!A448="","","Suiza")</f>
        <v/>
      </c>
    </row>
    <row r="1099" customFormat="false" ht="15" hidden="false" customHeight="true" outlineLevel="0" collapsed="false">
      <c r="A1099" s="1" t="str">
        <f aca="false">IF(Suiza_DE_CN_ID!A449="","",IFERROR(INDEX(Mercados!$C$2:$C$32,MATCH(Suiza_DE_CN_ID!B449,Mercados!$A$2:$A$32,0)),"Revisar Tscode"))</f>
        <v/>
      </c>
      <c r="B1099" s="1" t="str">
        <f aca="false">IF(Suiza_DE_CN_ID!A449="","",Suiza_DE_CN_ID!A449)</f>
        <v/>
      </c>
      <c r="C1099" s="1" t="str">
        <f aca="false">IF(Suiza_DE_CN_ID!A449="","",Suiza_DE_CN_ID!C449)</f>
        <v/>
      </c>
      <c r="D1099" s="1" t="str">
        <f aca="false">IF(Suiza_DE_CN_ID!A449="","",Suiza_DE_CN_ID!D449)</f>
        <v/>
      </c>
      <c r="E1099" s="1" t="str">
        <f aca="false">IF(Suiza_DE_CN_ID!A449="","",Suiza_DE_CN_ID!E449)</f>
        <v/>
      </c>
      <c r="F1099" s="1" t="str">
        <f aca="false">IF(Suiza_DE_CN_ID!A449="","",Suiza_DE_CN_ID!G449)</f>
        <v/>
      </c>
      <c r="I1099" s="1" t="str">
        <f aca="false">IF(Suiza_DE_CN_ID!A449="","",Suiza_DE_CN_ID!H449)</f>
        <v/>
      </c>
      <c r="J1099" s="1" t="str">
        <f aca="false">IF(Suiza_DE_CN_ID!A449="","",Suiza_DE_CN_ID!I449)</f>
        <v/>
      </c>
      <c r="K1099" s="1" t="str">
        <f aca="false">IF(Suiza_DE_CN_ID!A449="","",UPPER(Suiza_DE_CN_ID!J449))</f>
        <v/>
      </c>
      <c r="L1099" s="1" t="str">
        <f aca="false">IF(Suiza_DE_CN_ID!A449="","",IFERROR(INDEX(Gamma_Catalogo!$D$3:$D$1451,MATCH(Suiza_DE_CN_ID!D449,Gamma_Catalogo!$A$3:$A$1451,0)),"Revisar Ip Code"))</f>
        <v/>
      </c>
      <c r="M1099" s="1" t="str">
        <f aca="false">IF(Suiza_DE_CN_ID!A449="","",IFERROR(INDEX(Gamma_Catalogo!$C$3:$C$1451,MATCH(Suiza_DE_CN_ID!D449,Gamma_Catalogo!$A$3:$A$1451,0)),"Revisar Ip Code"))</f>
        <v/>
      </c>
      <c r="N1099" s="1" t="str">
        <f aca="false">IF(Suiza_DE_CN_ID!A449="","",IFERROR(INDEX(Gamma_Catalogo!$E$3:$E$1451,MATCH(Suiza_DE_CN_ID!D449,Gamma_Catalogo!$A$3:$A$1451,0)),"Revisar Ip Code"))</f>
        <v/>
      </c>
      <c r="O1099" s="1" t="str">
        <f aca="false">IF(Suiza_DE_CN_ID!A449="","","Suiza")</f>
        <v/>
      </c>
    </row>
    <row r="1100" customFormat="false" ht="15" hidden="false" customHeight="true" outlineLevel="0" collapsed="false">
      <c r="A1100" s="1" t="str">
        <f aca="false">IF(Suiza_DE_CN_ID!A450="","",IFERROR(INDEX(Mercados!$C$2:$C$32,MATCH(Suiza_DE_CN_ID!B450,Mercados!$A$2:$A$32,0)),"Revisar Tscode"))</f>
        <v/>
      </c>
      <c r="B1100" s="1" t="str">
        <f aca="false">IF(Suiza_DE_CN_ID!A450="","",Suiza_DE_CN_ID!A450)</f>
        <v/>
      </c>
      <c r="C1100" s="1" t="str">
        <f aca="false">IF(Suiza_DE_CN_ID!A450="","",Suiza_DE_CN_ID!C450)</f>
        <v/>
      </c>
      <c r="D1100" s="1" t="str">
        <f aca="false">IF(Suiza_DE_CN_ID!A450="","",Suiza_DE_CN_ID!D450)</f>
        <v/>
      </c>
      <c r="E1100" s="1" t="str">
        <f aca="false">IF(Suiza_DE_CN_ID!A450="","",Suiza_DE_CN_ID!E450)</f>
        <v/>
      </c>
      <c r="F1100" s="1" t="str">
        <f aca="false">IF(Suiza_DE_CN_ID!A450="","",Suiza_DE_CN_ID!G450)</f>
        <v/>
      </c>
      <c r="I1100" s="1" t="str">
        <f aca="false">IF(Suiza_DE_CN_ID!A450="","",Suiza_DE_CN_ID!H450)</f>
        <v/>
      </c>
      <c r="J1100" s="1" t="str">
        <f aca="false">IF(Suiza_DE_CN_ID!A450="","",Suiza_DE_CN_ID!I450)</f>
        <v/>
      </c>
      <c r="K1100" s="1" t="str">
        <f aca="false">IF(Suiza_DE_CN_ID!A450="","",UPPER(Suiza_DE_CN_ID!J450))</f>
        <v/>
      </c>
      <c r="L1100" s="1" t="str">
        <f aca="false">IF(Suiza_DE_CN_ID!A450="","",IFERROR(INDEX(Gamma_Catalogo!$D$3:$D$1451,MATCH(Suiza_DE_CN_ID!D450,Gamma_Catalogo!$A$3:$A$1451,0)),"Revisar Ip Code"))</f>
        <v/>
      </c>
      <c r="M1100" s="1" t="str">
        <f aca="false">IF(Suiza_DE_CN_ID!A450="","",IFERROR(INDEX(Gamma_Catalogo!$C$3:$C$1451,MATCH(Suiza_DE_CN_ID!D450,Gamma_Catalogo!$A$3:$A$1451,0)),"Revisar Ip Code"))</f>
        <v/>
      </c>
      <c r="N1100" s="1" t="str">
        <f aca="false">IF(Suiza_DE_CN_ID!A450="","",IFERROR(INDEX(Gamma_Catalogo!$E$3:$E$1451,MATCH(Suiza_DE_CN_ID!D450,Gamma_Catalogo!$A$3:$A$1451,0)),"Revisar Ip Code"))</f>
        <v/>
      </c>
      <c r="O1100" s="1" t="str">
        <f aca="false">IF(Suiza_DE_CN_ID!A450="","","Suiza")</f>
        <v/>
      </c>
    </row>
    <row r="1101" customFormat="false" ht="15" hidden="false" customHeight="true" outlineLevel="0" collapsed="false">
      <c r="A1101" s="1" t="str">
        <f aca="false">IF(Suiza_DE_CN_ID!A451="","",IFERROR(INDEX(Mercados!$C$2:$C$32,MATCH(Suiza_DE_CN_ID!B451,Mercados!$A$2:$A$32,0)),"Revisar Tscode"))</f>
        <v/>
      </c>
      <c r="B1101" s="1" t="str">
        <f aca="false">IF(Suiza_DE_CN_ID!A451="","",Suiza_DE_CN_ID!A451)</f>
        <v/>
      </c>
      <c r="C1101" s="1" t="str">
        <f aca="false">IF(Suiza_DE_CN_ID!A451="","",Suiza_DE_CN_ID!C451)</f>
        <v/>
      </c>
      <c r="D1101" s="1" t="str">
        <f aca="false">IF(Suiza_DE_CN_ID!A451="","",Suiza_DE_CN_ID!D451)</f>
        <v/>
      </c>
      <c r="E1101" s="1" t="str">
        <f aca="false">IF(Suiza_DE_CN_ID!A451="","",Suiza_DE_CN_ID!E451)</f>
        <v/>
      </c>
      <c r="F1101" s="1" t="str">
        <f aca="false">IF(Suiza_DE_CN_ID!A451="","",Suiza_DE_CN_ID!G451)</f>
        <v/>
      </c>
      <c r="I1101" s="1" t="str">
        <f aca="false">IF(Suiza_DE_CN_ID!A451="","",Suiza_DE_CN_ID!H451)</f>
        <v/>
      </c>
      <c r="J1101" s="1" t="str">
        <f aca="false">IF(Suiza_DE_CN_ID!A451="","",Suiza_DE_CN_ID!I451)</f>
        <v/>
      </c>
      <c r="K1101" s="1" t="str">
        <f aca="false">IF(Suiza_DE_CN_ID!A451="","",UPPER(Suiza_DE_CN_ID!J451))</f>
        <v/>
      </c>
      <c r="L1101" s="1" t="str">
        <f aca="false">IF(Suiza_DE_CN_ID!A451="","",IFERROR(INDEX(Gamma_Catalogo!$D$3:$D$1451,MATCH(Suiza_DE_CN_ID!D451,Gamma_Catalogo!$A$3:$A$1451,0)),"Revisar Ip Code"))</f>
        <v/>
      </c>
      <c r="M1101" s="1" t="str">
        <f aca="false">IF(Suiza_DE_CN_ID!A451="","",IFERROR(INDEX(Gamma_Catalogo!$C$3:$C$1451,MATCH(Suiza_DE_CN_ID!D451,Gamma_Catalogo!$A$3:$A$1451,0)),"Revisar Ip Code"))</f>
        <v/>
      </c>
      <c r="N1101" s="1" t="str">
        <f aca="false">IF(Suiza_DE_CN_ID!A451="","",IFERROR(INDEX(Gamma_Catalogo!$E$3:$E$1451,MATCH(Suiza_DE_CN_ID!D451,Gamma_Catalogo!$A$3:$A$1451,0)),"Revisar Ip Code"))</f>
        <v/>
      </c>
      <c r="O1101" s="1" t="str">
        <f aca="false">IF(Suiza_DE_CN_ID!A451="","","Suiza")</f>
        <v/>
      </c>
    </row>
  </sheetData>
  <autoFilter ref="A1:O1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2026-08-26T15:24:30Z</dcterms:created>
  <dc:creator>openpyxl</dc:creator>
  <dc:description/>
  <dc:language>en-US</dc:language>
  <cp:lastModifiedBy/>
  <dcterms:modified xsi:type="dcterms:W3CDTF">2026-09-16T11:46:02Z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